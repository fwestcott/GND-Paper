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pet4768_ox_ac_uk/Documents/Desktop/Other Stuff/GND Paper/"/>
    </mc:Choice>
  </mc:AlternateContent>
  <xr:revisionPtr revIDLastSave="216" documentId="8_{D1CA8BD6-F5AF-47CA-9F00-B04CF81A8253}" xr6:coauthVersionLast="47" xr6:coauthVersionMax="47" xr10:uidLastSave="{80C5B269-691D-4D05-A084-A329C1958C9F}"/>
  <bookViews>
    <workbookView xWindow="-120" yWindow="-120" windowWidth="29040" windowHeight="15840" activeTab="1" xr2:uid="{00000000-000D-0000-FFFF-FFFF00000000}"/>
  </bookViews>
  <sheets>
    <sheet name="All data" sheetId="1" r:id="rId1"/>
    <sheet name="All data A visit only" sheetId="13" r:id="rId2"/>
    <sheet name="Fasting" sheetId="15" r:id="rId3"/>
    <sheet name="Sample Numbers" sheetId="2" r:id="rId4"/>
    <sheet name="PostPrandial" sheetId="7" r:id="rId5"/>
    <sheet name="HFHS" sheetId="5" r:id="rId6"/>
    <sheet name="FOS" sheetId="8" r:id="rId7"/>
    <sheet name="SMASH" sheetId="9" r:id="rId8"/>
    <sheet name="SOS" sheetId="10" r:id="rId9"/>
    <sheet name="SOS Full" sheetId="14" r:id="rId10"/>
    <sheet name="Sugar" sheetId="11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" i="15" l="1"/>
  <c r="Z3" i="15"/>
  <c r="Z4" i="15"/>
  <c r="Z5" i="15"/>
  <c r="Z6" i="15"/>
  <c r="Z7" i="15"/>
  <c r="Z8" i="15"/>
  <c r="Z9" i="15"/>
  <c r="Z10" i="15"/>
  <c r="Z11" i="15"/>
  <c r="Z12" i="15"/>
  <c r="Z13" i="15"/>
  <c r="Z15" i="15"/>
  <c r="AQ2" i="15"/>
  <c r="AQ3" i="15"/>
  <c r="AQ4" i="15"/>
  <c r="AQ5" i="15"/>
  <c r="AQ6" i="15"/>
  <c r="AQ7" i="15"/>
  <c r="AQ8" i="15"/>
  <c r="AQ9" i="15"/>
  <c r="AQ10" i="15"/>
  <c r="AQ11" i="15"/>
  <c r="AQ12" i="15"/>
  <c r="AQ13" i="15"/>
  <c r="AQ15" i="15"/>
  <c r="AR2" i="15"/>
  <c r="AR3" i="15"/>
  <c r="AR4" i="15"/>
  <c r="AR5" i="15"/>
  <c r="AR6" i="15"/>
  <c r="AR7" i="15"/>
  <c r="AR8" i="15"/>
  <c r="AR9" i="15"/>
  <c r="AR10" i="15"/>
  <c r="AR11" i="15"/>
  <c r="AR12" i="15"/>
  <c r="AR13" i="15"/>
  <c r="AR15" i="15"/>
  <c r="Z108" i="13"/>
  <c r="Z66" i="13"/>
  <c r="Z110" i="13"/>
  <c r="Z87" i="13"/>
  <c r="Z59" i="13"/>
  <c r="Z44" i="13"/>
  <c r="Z89" i="13"/>
  <c r="Z105" i="13"/>
  <c r="Z125" i="13"/>
  <c r="Z17" i="13"/>
  <c r="Z70" i="13"/>
  <c r="Z91" i="13"/>
  <c r="Z117" i="13"/>
  <c r="Z123" i="13"/>
  <c r="Z71" i="13"/>
  <c r="Z55" i="13"/>
  <c r="Z69" i="13"/>
  <c r="Z103" i="13"/>
  <c r="Z11" i="13"/>
  <c r="Z58" i="13"/>
  <c r="Z7" i="13"/>
  <c r="Z140" i="13"/>
  <c r="Z114" i="13"/>
  <c r="Z61" i="13"/>
  <c r="Z151" i="13"/>
  <c r="Z46" i="13"/>
  <c r="Z26" i="13"/>
  <c r="Z4" i="13"/>
  <c r="Z76" i="13"/>
  <c r="Z83" i="13"/>
  <c r="Z90" i="13"/>
  <c r="Z94" i="13"/>
  <c r="Z28" i="13"/>
  <c r="Z88" i="13"/>
  <c r="Z24" i="13"/>
  <c r="Z47" i="13"/>
  <c r="Z97" i="13"/>
  <c r="Z75" i="13"/>
  <c r="Z67" i="13"/>
  <c r="Z50" i="13"/>
  <c r="Z95" i="13"/>
  <c r="Z78" i="13"/>
  <c r="Z18" i="13"/>
  <c r="Z158" i="13"/>
  <c r="Z79" i="13"/>
  <c r="Z60" i="13"/>
  <c r="Z65" i="13"/>
  <c r="Z38" i="13"/>
  <c r="Z84" i="13"/>
  <c r="Z98" i="13"/>
  <c r="Z23" i="13"/>
  <c r="Z53" i="13"/>
  <c r="Z22" i="13"/>
  <c r="Z139" i="13"/>
  <c r="Z49" i="13"/>
  <c r="Z85" i="13"/>
  <c r="Z19" i="13"/>
  <c r="Z57" i="13"/>
  <c r="Z72" i="13"/>
  <c r="Z40" i="13"/>
  <c r="AL36" i="13"/>
  <c r="AJ36" i="13"/>
  <c r="AK36" i="13" s="1"/>
  <c r="AI36" i="13"/>
  <c r="AE36" i="13"/>
  <c r="AD36" i="13"/>
  <c r="AC36" i="13"/>
  <c r="AB36" i="13"/>
  <c r="AA36" i="13"/>
  <c r="Y36" i="13"/>
  <c r="X36" i="13"/>
  <c r="AM36" i="13" s="1"/>
  <c r="R36" i="13"/>
  <c r="Q36" i="13"/>
  <c r="P36" i="13"/>
  <c r="M36" i="13"/>
  <c r="AL111" i="13"/>
  <c r="AJ111" i="13"/>
  <c r="AK111" i="13" s="1"/>
  <c r="AI111" i="13"/>
  <c r="AE111" i="13"/>
  <c r="AD111" i="13"/>
  <c r="AC111" i="13"/>
  <c r="AB111" i="13"/>
  <c r="AA111" i="13"/>
  <c r="Y111" i="13"/>
  <c r="X111" i="13"/>
  <c r="Z111" i="13" s="1"/>
  <c r="R111" i="13"/>
  <c r="Q111" i="13"/>
  <c r="P111" i="13"/>
  <c r="M111" i="13"/>
  <c r="AL9" i="13"/>
  <c r="AJ9" i="13"/>
  <c r="AK9" i="13" s="1"/>
  <c r="AI9" i="13"/>
  <c r="AE9" i="13"/>
  <c r="AD9" i="13"/>
  <c r="AC9" i="13"/>
  <c r="AB9" i="13"/>
  <c r="AA9" i="13"/>
  <c r="Y9" i="13"/>
  <c r="X9" i="13"/>
  <c r="R9" i="13"/>
  <c r="Q9" i="13"/>
  <c r="P9" i="13"/>
  <c r="M9" i="13"/>
  <c r="AL30" i="13"/>
  <c r="AJ30" i="13"/>
  <c r="AK30" i="13" s="1"/>
  <c r="AI30" i="13"/>
  <c r="AE30" i="13"/>
  <c r="AD30" i="13"/>
  <c r="AC30" i="13"/>
  <c r="AB30" i="13"/>
  <c r="AA30" i="13"/>
  <c r="Y30" i="13"/>
  <c r="X30" i="13"/>
  <c r="R30" i="13"/>
  <c r="Q30" i="13"/>
  <c r="P30" i="13"/>
  <c r="M30" i="13"/>
  <c r="AL33" i="13"/>
  <c r="AJ33" i="13"/>
  <c r="AK33" i="13" s="1"/>
  <c r="AI33" i="13"/>
  <c r="AE33" i="13"/>
  <c r="AD33" i="13"/>
  <c r="AC33" i="13"/>
  <c r="AB33" i="13"/>
  <c r="AA33" i="13"/>
  <c r="Y33" i="13"/>
  <c r="X33" i="13"/>
  <c r="R33" i="13"/>
  <c r="Q33" i="13"/>
  <c r="P33" i="13"/>
  <c r="M33" i="13"/>
  <c r="AL138" i="13"/>
  <c r="AJ138" i="13"/>
  <c r="AK138" i="13" s="1"/>
  <c r="AI138" i="13"/>
  <c r="AE138" i="13"/>
  <c r="AD138" i="13"/>
  <c r="AC138" i="13"/>
  <c r="AB138" i="13"/>
  <c r="AA138" i="13"/>
  <c r="Y138" i="13"/>
  <c r="X138" i="13"/>
  <c r="Z138" i="13" s="1"/>
  <c r="R138" i="13"/>
  <c r="Q138" i="13"/>
  <c r="P138" i="13"/>
  <c r="M138" i="13"/>
  <c r="AL25" i="13"/>
  <c r="AJ25" i="13"/>
  <c r="AK25" i="13" s="1"/>
  <c r="AI25" i="13"/>
  <c r="AE25" i="13"/>
  <c r="AD25" i="13"/>
  <c r="AC25" i="13"/>
  <c r="AB25" i="13"/>
  <c r="AA25" i="13"/>
  <c r="Y25" i="13"/>
  <c r="X25" i="13"/>
  <c r="R25" i="13"/>
  <c r="Q25" i="13"/>
  <c r="P25" i="13"/>
  <c r="M25" i="13"/>
  <c r="AL21" i="13"/>
  <c r="AJ21" i="13"/>
  <c r="AK21" i="13" s="1"/>
  <c r="AI21" i="13"/>
  <c r="AE21" i="13"/>
  <c r="AD21" i="13"/>
  <c r="AC21" i="13"/>
  <c r="AB21" i="13"/>
  <c r="AA21" i="13"/>
  <c r="Y21" i="13"/>
  <c r="X21" i="13"/>
  <c r="R21" i="13"/>
  <c r="Q21" i="13"/>
  <c r="P21" i="13"/>
  <c r="M21" i="13"/>
  <c r="AL63" i="13"/>
  <c r="AJ63" i="13"/>
  <c r="AK63" i="13" s="1"/>
  <c r="AI63" i="13"/>
  <c r="AE63" i="13"/>
  <c r="AD63" i="13"/>
  <c r="AC63" i="13"/>
  <c r="AB63" i="13"/>
  <c r="AA63" i="13"/>
  <c r="Y63" i="13"/>
  <c r="X63" i="13"/>
  <c r="R63" i="13"/>
  <c r="Q63" i="13"/>
  <c r="P63" i="13"/>
  <c r="M63" i="13"/>
  <c r="AL31" i="13"/>
  <c r="AJ31" i="13"/>
  <c r="AK31" i="13" s="1"/>
  <c r="AI31" i="13"/>
  <c r="AE31" i="13"/>
  <c r="AD31" i="13"/>
  <c r="AC31" i="13"/>
  <c r="AB31" i="13"/>
  <c r="AA31" i="13"/>
  <c r="Y31" i="13"/>
  <c r="X31" i="13"/>
  <c r="Z31" i="13" s="1"/>
  <c r="R31" i="13"/>
  <c r="Q31" i="13"/>
  <c r="P31" i="13"/>
  <c r="M31" i="13"/>
  <c r="AL144" i="13"/>
  <c r="AJ144" i="13"/>
  <c r="AK144" i="13" s="1"/>
  <c r="AI144" i="13"/>
  <c r="AE144" i="13"/>
  <c r="AD144" i="13"/>
  <c r="AF144" i="13" s="1"/>
  <c r="AC144" i="13"/>
  <c r="AB144" i="13"/>
  <c r="AA144" i="13"/>
  <c r="Y144" i="13"/>
  <c r="X144" i="13"/>
  <c r="R144" i="13"/>
  <c r="Q144" i="13"/>
  <c r="P144" i="13"/>
  <c r="M144" i="13"/>
  <c r="AL99" i="13"/>
  <c r="AJ99" i="13"/>
  <c r="AK99" i="13" s="1"/>
  <c r="AI99" i="13"/>
  <c r="AE99" i="13"/>
  <c r="AD99" i="13"/>
  <c r="AC99" i="13"/>
  <c r="AB99" i="13"/>
  <c r="AA99" i="13"/>
  <c r="Y99" i="13"/>
  <c r="X99" i="13"/>
  <c r="R99" i="13"/>
  <c r="Q99" i="13"/>
  <c r="P99" i="13"/>
  <c r="M99" i="13"/>
  <c r="AL104" i="13"/>
  <c r="AJ104" i="13"/>
  <c r="AK104" i="13" s="1"/>
  <c r="AI104" i="13"/>
  <c r="AE104" i="13"/>
  <c r="AD104" i="13"/>
  <c r="AC104" i="13"/>
  <c r="AB104" i="13"/>
  <c r="AA104" i="13"/>
  <c r="Y104" i="13"/>
  <c r="X104" i="13"/>
  <c r="R104" i="13"/>
  <c r="Q104" i="13"/>
  <c r="P104" i="13"/>
  <c r="M104" i="13"/>
  <c r="AL115" i="13"/>
  <c r="AJ115" i="13"/>
  <c r="AK115" i="13" s="1"/>
  <c r="AI115" i="13"/>
  <c r="AE115" i="13"/>
  <c r="AD115" i="13"/>
  <c r="AC115" i="13"/>
  <c r="AB115" i="13"/>
  <c r="AA115" i="13"/>
  <c r="Y115" i="13"/>
  <c r="X115" i="13"/>
  <c r="Z115" i="13" s="1"/>
  <c r="R115" i="13"/>
  <c r="Q115" i="13"/>
  <c r="P115" i="13"/>
  <c r="M115" i="13"/>
  <c r="AL32" i="13"/>
  <c r="AJ32" i="13"/>
  <c r="AK32" i="13" s="1"/>
  <c r="AI32" i="13"/>
  <c r="AE32" i="13"/>
  <c r="AD32" i="13"/>
  <c r="AF32" i="13" s="1"/>
  <c r="AC32" i="13"/>
  <c r="AB32" i="13"/>
  <c r="AA32" i="13"/>
  <c r="Y32" i="13"/>
  <c r="X32" i="13"/>
  <c r="R32" i="13"/>
  <c r="Q32" i="13"/>
  <c r="P32" i="13"/>
  <c r="M32" i="13"/>
  <c r="AL146" i="13"/>
  <c r="AJ146" i="13"/>
  <c r="AK146" i="13" s="1"/>
  <c r="AI146" i="13"/>
  <c r="AE146" i="13"/>
  <c r="AD146" i="13"/>
  <c r="AC146" i="13"/>
  <c r="AB146" i="13"/>
  <c r="AA146" i="13"/>
  <c r="Y146" i="13"/>
  <c r="X146" i="13"/>
  <c r="R146" i="13"/>
  <c r="Q146" i="13"/>
  <c r="P146" i="13"/>
  <c r="M146" i="13"/>
  <c r="AL131" i="13"/>
  <c r="AJ131" i="13"/>
  <c r="AK131" i="13" s="1"/>
  <c r="AI131" i="13"/>
  <c r="AE131" i="13"/>
  <c r="AD131" i="13"/>
  <c r="AC131" i="13"/>
  <c r="AB131" i="13"/>
  <c r="AA131" i="13"/>
  <c r="Y131" i="13"/>
  <c r="X131" i="13"/>
  <c r="R131" i="13"/>
  <c r="Q131" i="13"/>
  <c r="P131" i="13"/>
  <c r="M131" i="13"/>
  <c r="AL68" i="13"/>
  <c r="AJ68" i="13"/>
  <c r="AK68" i="13" s="1"/>
  <c r="AI68" i="13"/>
  <c r="AE68" i="13"/>
  <c r="AD68" i="13"/>
  <c r="AC68" i="13"/>
  <c r="AB68" i="13"/>
  <c r="AA68" i="13"/>
  <c r="Y68" i="13"/>
  <c r="X68" i="13"/>
  <c r="Z68" i="13" s="1"/>
  <c r="R68" i="13"/>
  <c r="Q68" i="13"/>
  <c r="P68" i="13"/>
  <c r="M68" i="13"/>
  <c r="AL74" i="13"/>
  <c r="AJ74" i="13"/>
  <c r="AK74" i="13" s="1"/>
  <c r="AI74" i="13"/>
  <c r="AE74" i="13"/>
  <c r="AD74" i="13"/>
  <c r="AC74" i="13"/>
  <c r="AB74" i="13"/>
  <c r="AA74" i="13"/>
  <c r="Y74" i="13"/>
  <c r="X74" i="13"/>
  <c r="R74" i="13"/>
  <c r="Q74" i="13"/>
  <c r="P74" i="13"/>
  <c r="M74" i="13"/>
  <c r="AL52" i="13"/>
  <c r="AJ52" i="13"/>
  <c r="AK52" i="13" s="1"/>
  <c r="AI52" i="13"/>
  <c r="AE52" i="13"/>
  <c r="AD52" i="13"/>
  <c r="AC52" i="13"/>
  <c r="AB52" i="13"/>
  <c r="AA52" i="13"/>
  <c r="Y52" i="13"/>
  <c r="X52" i="13"/>
  <c r="Z52" i="13" s="1"/>
  <c r="R52" i="13"/>
  <c r="Q52" i="13"/>
  <c r="P52" i="13"/>
  <c r="M52" i="13"/>
  <c r="AL101" i="13"/>
  <c r="AJ101" i="13"/>
  <c r="AK101" i="13" s="1"/>
  <c r="AI101" i="13"/>
  <c r="AE101" i="13"/>
  <c r="AD101" i="13"/>
  <c r="AC101" i="13"/>
  <c r="AB101" i="13"/>
  <c r="AA101" i="13"/>
  <c r="Y101" i="13"/>
  <c r="X101" i="13"/>
  <c r="R101" i="13"/>
  <c r="Q101" i="13"/>
  <c r="P101" i="13"/>
  <c r="M101" i="13"/>
  <c r="AL35" i="13"/>
  <c r="AJ35" i="13"/>
  <c r="AK35" i="13" s="1"/>
  <c r="AI35" i="13"/>
  <c r="AE35" i="13"/>
  <c r="AD35" i="13"/>
  <c r="AC35" i="13"/>
  <c r="AB35" i="13"/>
  <c r="AA35" i="13"/>
  <c r="Y35" i="13"/>
  <c r="X35" i="13"/>
  <c r="Z35" i="13" s="1"/>
  <c r="R35" i="13"/>
  <c r="Q35" i="13"/>
  <c r="P35" i="13"/>
  <c r="M35" i="13"/>
  <c r="AL15" i="13"/>
  <c r="AJ15" i="13"/>
  <c r="AK15" i="13" s="1"/>
  <c r="AI15" i="13"/>
  <c r="AE15" i="13"/>
  <c r="AD15" i="13"/>
  <c r="AC15" i="13"/>
  <c r="AB15" i="13"/>
  <c r="AA15" i="13"/>
  <c r="Y15" i="13"/>
  <c r="X15" i="13"/>
  <c r="R15" i="13"/>
  <c r="Q15" i="13"/>
  <c r="P15" i="13"/>
  <c r="M15" i="13"/>
  <c r="AL40" i="13"/>
  <c r="AM40" i="13" s="1"/>
  <c r="AN40" i="13" s="1"/>
  <c r="AK40" i="13"/>
  <c r="AF40" i="13"/>
  <c r="AG40" i="13" s="1"/>
  <c r="S40" i="13"/>
  <c r="T40" i="13" s="1"/>
  <c r="P40" i="13"/>
  <c r="M40" i="13"/>
  <c r="AL72" i="13"/>
  <c r="AM72" i="13" s="1"/>
  <c r="AN72" i="13" s="1"/>
  <c r="AK72" i="13"/>
  <c r="AF72" i="13"/>
  <c r="AG72" i="13" s="1"/>
  <c r="S72" i="13"/>
  <c r="U72" i="13" s="1"/>
  <c r="P72" i="13"/>
  <c r="M72" i="13"/>
  <c r="AL57" i="13"/>
  <c r="AM57" i="13" s="1"/>
  <c r="AN57" i="13" s="1"/>
  <c r="AK57" i="13"/>
  <c r="AF57" i="13"/>
  <c r="AG57" i="13" s="1"/>
  <c r="S57" i="13"/>
  <c r="U57" i="13" s="1"/>
  <c r="P57" i="13"/>
  <c r="M57" i="13"/>
  <c r="AL19" i="13"/>
  <c r="AM19" i="13" s="1"/>
  <c r="AN19" i="13" s="1"/>
  <c r="AK19" i="13"/>
  <c r="AF19" i="13"/>
  <c r="AG19" i="13" s="1"/>
  <c r="S19" i="13"/>
  <c r="U19" i="13" s="1"/>
  <c r="P19" i="13"/>
  <c r="M19" i="13"/>
  <c r="AL85" i="13"/>
  <c r="AM85" i="13" s="1"/>
  <c r="AN85" i="13" s="1"/>
  <c r="AK85" i="13"/>
  <c r="AF85" i="13"/>
  <c r="AG85" i="13" s="1"/>
  <c r="S85" i="13"/>
  <c r="T85" i="13" s="1"/>
  <c r="P85" i="13"/>
  <c r="M85" i="13"/>
  <c r="AL49" i="13"/>
  <c r="AM49" i="13" s="1"/>
  <c r="AN49" i="13" s="1"/>
  <c r="AK49" i="13"/>
  <c r="AF49" i="13"/>
  <c r="AG49" i="13" s="1"/>
  <c r="S49" i="13"/>
  <c r="U49" i="13" s="1"/>
  <c r="P49" i="13"/>
  <c r="M49" i="13"/>
  <c r="AL139" i="13"/>
  <c r="AM139" i="13" s="1"/>
  <c r="AN139" i="13" s="1"/>
  <c r="AK139" i="13"/>
  <c r="AF139" i="13"/>
  <c r="AG139" i="13" s="1"/>
  <c r="S139" i="13"/>
  <c r="U139" i="13" s="1"/>
  <c r="P139" i="13"/>
  <c r="M139" i="13"/>
  <c r="AL22" i="13"/>
  <c r="AM22" i="13" s="1"/>
  <c r="AN22" i="13" s="1"/>
  <c r="AK22" i="13"/>
  <c r="AF22" i="13"/>
  <c r="AG22" i="13" s="1"/>
  <c r="S22" i="13"/>
  <c r="U22" i="13" s="1"/>
  <c r="P22" i="13"/>
  <c r="M22" i="13"/>
  <c r="AL53" i="13"/>
  <c r="AM53" i="13" s="1"/>
  <c r="AN53" i="13" s="1"/>
  <c r="AK53" i="13"/>
  <c r="AF53" i="13"/>
  <c r="AG53" i="13" s="1"/>
  <c r="P53" i="13"/>
  <c r="M53" i="13"/>
  <c r="AL23" i="13"/>
  <c r="AM23" i="13" s="1"/>
  <c r="AN23" i="13" s="1"/>
  <c r="AK23" i="13"/>
  <c r="AF23" i="13"/>
  <c r="AG23" i="13" s="1"/>
  <c r="S23" i="13"/>
  <c r="T23" i="13" s="1"/>
  <c r="P23" i="13"/>
  <c r="M23" i="13"/>
  <c r="AL98" i="13"/>
  <c r="AM98" i="13" s="1"/>
  <c r="AN98" i="13" s="1"/>
  <c r="AK98" i="13"/>
  <c r="AF98" i="13"/>
  <c r="AG98" i="13" s="1"/>
  <c r="S98" i="13"/>
  <c r="T98" i="13" s="1"/>
  <c r="P98" i="13"/>
  <c r="M98" i="13"/>
  <c r="AL84" i="13"/>
  <c r="AM84" i="13" s="1"/>
  <c r="AN84" i="13" s="1"/>
  <c r="AK84" i="13"/>
  <c r="AF84" i="13"/>
  <c r="AG84" i="13" s="1"/>
  <c r="S84" i="13"/>
  <c r="U84" i="13" s="1"/>
  <c r="P84" i="13"/>
  <c r="M84" i="13"/>
  <c r="AL38" i="13"/>
  <c r="AM38" i="13" s="1"/>
  <c r="AN38" i="13" s="1"/>
  <c r="AK38" i="13"/>
  <c r="AF38" i="13"/>
  <c r="AG38" i="13" s="1"/>
  <c r="S38" i="13"/>
  <c r="U38" i="13" s="1"/>
  <c r="P38" i="13"/>
  <c r="M38" i="13"/>
  <c r="AL65" i="13"/>
  <c r="AM65" i="13" s="1"/>
  <c r="AN65" i="13" s="1"/>
  <c r="AK65" i="13"/>
  <c r="AF65" i="13"/>
  <c r="AG65" i="13" s="1"/>
  <c r="S65" i="13"/>
  <c r="T65" i="13" s="1"/>
  <c r="P65" i="13"/>
  <c r="M65" i="13"/>
  <c r="AL60" i="13"/>
  <c r="AM60" i="13" s="1"/>
  <c r="AN60" i="13" s="1"/>
  <c r="AK60" i="13"/>
  <c r="AF60" i="13"/>
  <c r="AG60" i="13" s="1"/>
  <c r="S60" i="13"/>
  <c r="T60" i="13" s="1"/>
  <c r="P60" i="13"/>
  <c r="M60" i="13"/>
  <c r="AL79" i="13"/>
  <c r="AM79" i="13" s="1"/>
  <c r="AN79" i="13" s="1"/>
  <c r="AK79" i="13"/>
  <c r="AF79" i="13"/>
  <c r="AG79" i="13" s="1"/>
  <c r="S79" i="13"/>
  <c r="U79" i="13" s="1"/>
  <c r="P79" i="13"/>
  <c r="M79" i="13"/>
  <c r="AK158" i="13"/>
  <c r="AF158" i="13"/>
  <c r="AG158" i="13" s="1"/>
  <c r="P158" i="13"/>
  <c r="M158" i="13"/>
  <c r="AL18" i="13"/>
  <c r="AM18" i="13" s="1"/>
  <c r="AN18" i="13" s="1"/>
  <c r="AK18" i="13"/>
  <c r="AF18" i="13"/>
  <c r="AG18" i="13" s="1"/>
  <c r="S18" i="13"/>
  <c r="T18" i="13" s="1"/>
  <c r="P18" i="13"/>
  <c r="M18" i="13"/>
  <c r="AL78" i="13"/>
  <c r="AM78" i="13" s="1"/>
  <c r="AN78" i="13" s="1"/>
  <c r="AK78" i="13"/>
  <c r="AF78" i="13"/>
  <c r="AG78" i="13" s="1"/>
  <c r="S78" i="13"/>
  <c r="U78" i="13" s="1"/>
  <c r="P78" i="13"/>
  <c r="M78" i="13"/>
  <c r="AL95" i="13"/>
  <c r="AM95" i="13" s="1"/>
  <c r="AN95" i="13" s="1"/>
  <c r="AK95" i="13"/>
  <c r="AF95" i="13"/>
  <c r="AG95" i="13" s="1"/>
  <c r="S95" i="13"/>
  <c r="U95" i="13" s="1"/>
  <c r="P95" i="13"/>
  <c r="M95" i="13"/>
  <c r="AL50" i="13"/>
  <c r="AM50" i="13" s="1"/>
  <c r="AN50" i="13" s="1"/>
  <c r="AK50" i="13"/>
  <c r="AF50" i="13"/>
  <c r="AG50" i="13" s="1"/>
  <c r="S50" i="13"/>
  <c r="T50" i="13" s="1"/>
  <c r="P50" i="13"/>
  <c r="M50" i="13"/>
  <c r="AL67" i="13"/>
  <c r="AM67" i="13" s="1"/>
  <c r="AN67" i="13" s="1"/>
  <c r="AK67" i="13"/>
  <c r="AF67" i="13"/>
  <c r="AG67" i="13" s="1"/>
  <c r="S67" i="13"/>
  <c r="T67" i="13" s="1"/>
  <c r="P67" i="13"/>
  <c r="M67" i="13"/>
  <c r="AL75" i="13"/>
  <c r="AM75" i="13" s="1"/>
  <c r="AN75" i="13" s="1"/>
  <c r="AK75" i="13"/>
  <c r="AF75" i="13"/>
  <c r="AG75" i="13" s="1"/>
  <c r="S75" i="13"/>
  <c r="U75" i="13" s="1"/>
  <c r="P75" i="13"/>
  <c r="M75" i="13"/>
  <c r="AL97" i="13"/>
  <c r="AM97" i="13" s="1"/>
  <c r="AN97" i="13" s="1"/>
  <c r="AK97" i="13"/>
  <c r="AF97" i="13"/>
  <c r="AG97" i="13" s="1"/>
  <c r="S97" i="13"/>
  <c r="U97" i="13" s="1"/>
  <c r="P97" i="13"/>
  <c r="M97" i="13"/>
  <c r="AL47" i="13"/>
  <c r="AM47" i="13" s="1"/>
  <c r="AN47" i="13" s="1"/>
  <c r="AK47" i="13"/>
  <c r="AF47" i="13"/>
  <c r="AG47" i="13" s="1"/>
  <c r="S47" i="13"/>
  <c r="T47" i="13" s="1"/>
  <c r="P47" i="13"/>
  <c r="M47" i="13"/>
  <c r="AL24" i="13"/>
  <c r="AM24" i="13" s="1"/>
  <c r="AN24" i="13" s="1"/>
  <c r="AK24" i="13"/>
  <c r="AF24" i="13"/>
  <c r="AG24" i="13" s="1"/>
  <c r="S24" i="13"/>
  <c r="T24" i="13" s="1"/>
  <c r="P24" i="13"/>
  <c r="M24" i="13"/>
  <c r="AL88" i="13"/>
  <c r="AM88" i="13" s="1"/>
  <c r="AN88" i="13" s="1"/>
  <c r="AK88" i="13"/>
  <c r="AF88" i="13"/>
  <c r="AG88" i="13" s="1"/>
  <c r="S88" i="13"/>
  <c r="U88" i="13" s="1"/>
  <c r="P88" i="13"/>
  <c r="M88" i="13"/>
  <c r="AL28" i="13"/>
  <c r="AM28" i="13" s="1"/>
  <c r="AN28" i="13" s="1"/>
  <c r="AK28" i="13"/>
  <c r="AF28" i="13"/>
  <c r="AG28" i="13" s="1"/>
  <c r="S28" i="13"/>
  <c r="U28" i="13" s="1"/>
  <c r="P28" i="13"/>
  <c r="M28" i="13"/>
  <c r="AL94" i="13"/>
  <c r="AM94" i="13" s="1"/>
  <c r="AN94" i="13" s="1"/>
  <c r="AK94" i="13"/>
  <c r="AF94" i="13"/>
  <c r="AG94" i="13" s="1"/>
  <c r="S94" i="13"/>
  <c r="T94" i="13" s="1"/>
  <c r="P94" i="13"/>
  <c r="M94" i="13"/>
  <c r="AL90" i="13"/>
  <c r="AM90" i="13" s="1"/>
  <c r="AN90" i="13" s="1"/>
  <c r="AK90" i="13"/>
  <c r="AF90" i="13"/>
  <c r="AG90" i="13" s="1"/>
  <c r="S90" i="13"/>
  <c r="T90" i="13" s="1"/>
  <c r="P90" i="13"/>
  <c r="M90" i="13"/>
  <c r="AL83" i="13"/>
  <c r="AM83" i="13" s="1"/>
  <c r="AN83" i="13" s="1"/>
  <c r="AK83" i="13"/>
  <c r="AF83" i="13"/>
  <c r="AG83" i="13" s="1"/>
  <c r="S83" i="13"/>
  <c r="U83" i="13" s="1"/>
  <c r="P83" i="13"/>
  <c r="M83" i="13"/>
  <c r="AL76" i="13"/>
  <c r="AM76" i="13" s="1"/>
  <c r="AN76" i="13" s="1"/>
  <c r="AK76" i="13"/>
  <c r="AF76" i="13"/>
  <c r="AG76" i="13" s="1"/>
  <c r="S76" i="13"/>
  <c r="U76" i="13" s="1"/>
  <c r="P76" i="13"/>
  <c r="M76" i="13"/>
  <c r="AL4" i="13"/>
  <c r="AM4" i="13" s="1"/>
  <c r="AN4" i="13" s="1"/>
  <c r="AK4" i="13"/>
  <c r="AF4" i="13"/>
  <c r="AG4" i="13" s="1"/>
  <c r="S4" i="13"/>
  <c r="T4" i="13" s="1"/>
  <c r="P4" i="13"/>
  <c r="M4" i="13"/>
  <c r="AL26" i="13"/>
  <c r="AM26" i="13" s="1"/>
  <c r="AN26" i="13" s="1"/>
  <c r="AK26" i="13"/>
  <c r="AF26" i="13"/>
  <c r="AG26" i="13" s="1"/>
  <c r="S26" i="13"/>
  <c r="T26" i="13" s="1"/>
  <c r="P26" i="13"/>
  <c r="M26" i="13"/>
  <c r="AL46" i="13"/>
  <c r="AM46" i="13" s="1"/>
  <c r="AN46" i="13" s="1"/>
  <c r="AK46" i="13"/>
  <c r="AF46" i="13"/>
  <c r="AG46" i="13" s="1"/>
  <c r="S46" i="13"/>
  <c r="U46" i="13" s="1"/>
  <c r="P46" i="13"/>
  <c r="M46" i="13"/>
  <c r="AL151" i="13"/>
  <c r="AM151" i="13" s="1"/>
  <c r="AN151" i="13" s="1"/>
  <c r="AK151" i="13"/>
  <c r="AF151" i="13"/>
  <c r="AG151" i="13" s="1"/>
  <c r="S151" i="13"/>
  <c r="U151" i="13" s="1"/>
  <c r="P151" i="13"/>
  <c r="M151" i="13"/>
  <c r="AL61" i="13"/>
  <c r="AM61" i="13" s="1"/>
  <c r="AN61" i="13" s="1"/>
  <c r="AK61" i="13"/>
  <c r="AF61" i="13"/>
  <c r="AG61" i="13" s="1"/>
  <c r="S61" i="13"/>
  <c r="T61" i="13" s="1"/>
  <c r="P61" i="13"/>
  <c r="M61" i="13"/>
  <c r="AL114" i="13"/>
  <c r="AM114" i="13" s="1"/>
  <c r="AN114" i="13" s="1"/>
  <c r="AK114" i="13"/>
  <c r="AF114" i="13"/>
  <c r="AG114" i="13" s="1"/>
  <c r="S114" i="13"/>
  <c r="T114" i="13" s="1"/>
  <c r="P114" i="13"/>
  <c r="M114" i="13"/>
  <c r="AL140" i="13"/>
  <c r="AM140" i="13" s="1"/>
  <c r="AN140" i="13" s="1"/>
  <c r="AK140" i="13"/>
  <c r="AF140" i="13"/>
  <c r="AG140" i="13" s="1"/>
  <c r="S140" i="13"/>
  <c r="U140" i="13" s="1"/>
  <c r="P140" i="13"/>
  <c r="M140" i="13"/>
  <c r="AL7" i="13"/>
  <c r="AM7" i="13" s="1"/>
  <c r="AN7" i="13" s="1"/>
  <c r="AK7" i="13"/>
  <c r="AF7" i="13"/>
  <c r="AG7" i="13" s="1"/>
  <c r="S7" i="13"/>
  <c r="U7" i="13" s="1"/>
  <c r="P7" i="13"/>
  <c r="M7" i="13"/>
  <c r="AL58" i="13"/>
  <c r="AM58" i="13" s="1"/>
  <c r="AN58" i="13" s="1"/>
  <c r="AK58" i="13"/>
  <c r="AF58" i="13"/>
  <c r="AG58" i="13" s="1"/>
  <c r="S58" i="13"/>
  <c r="T58" i="13" s="1"/>
  <c r="P58" i="13"/>
  <c r="M58" i="13"/>
  <c r="AL11" i="13"/>
  <c r="AM11" i="13" s="1"/>
  <c r="AN11" i="13" s="1"/>
  <c r="AK11" i="13"/>
  <c r="AF11" i="13"/>
  <c r="AG11" i="13" s="1"/>
  <c r="S11" i="13"/>
  <c r="T11" i="13" s="1"/>
  <c r="P11" i="13"/>
  <c r="M11" i="13"/>
  <c r="AL103" i="13"/>
  <c r="AM103" i="13" s="1"/>
  <c r="AN103" i="13" s="1"/>
  <c r="AK103" i="13"/>
  <c r="AF103" i="13"/>
  <c r="AG103" i="13" s="1"/>
  <c r="S103" i="13"/>
  <c r="U103" i="13" s="1"/>
  <c r="P103" i="13"/>
  <c r="M103" i="13"/>
  <c r="AL69" i="13"/>
  <c r="AM69" i="13" s="1"/>
  <c r="AN69" i="13" s="1"/>
  <c r="AK69" i="13"/>
  <c r="AF69" i="13"/>
  <c r="AG69" i="13" s="1"/>
  <c r="S69" i="13"/>
  <c r="U69" i="13" s="1"/>
  <c r="P69" i="13"/>
  <c r="M69" i="13"/>
  <c r="AL55" i="13"/>
  <c r="AM55" i="13" s="1"/>
  <c r="AN55" i="13" s="1"/>
  <c r="AK55" i="13"/>
  <c r="AF55" i="13"/>
  <c r="AG55" i="13" s="1"/>
  <c r="S55" i="13"/>
  <c r="T55" i="13" s="1"/>
  <c r="P55" i="13"/>
  <c r="M55" i="13"/>
  <c r="AL71" i="13"/>
  <c r="AM71" i="13" s="1"/>
  <c r="AN71" i="13" s="1"/>
  <c r="AK71" i="13"/>
  <c r="AF71" i="13"/>
  <c r="AG71" i="13" s="1"/>
  <c r="S71" i="13"/>
  <c r="T71" i="13" s="1"/>
  <c r="P71" i="13"/>
  <c r="M71" i="13"/>
  <c r="AL123" i="13"/>
  <c r="AM123" i="13" s="1"/>
  <c r="AN123" i="13" s="1"/>
  <c r="AK123" i="13"/>
  <c r="AF123" i="13"/>
  <c r="AG123" i="13" s="1"/>
  <c r="S123" i="13"/>
  <c r="P123" i="13"/>
  <c r="M123" i="13"/>
  <c r="AL117" i="13"/>
  <c r="AM117" i="13" s="1"/>
  <c r="AN117" i="13" s="1"/>
  <c r="AK117" i="13"/>
  <c r="AF117" i="13"/>
  <c r="AG117" i="13" s="1"/>
  <c r="S117" i="13"/>
  <c r="U117" i="13" s="1"/>
  <c r="P117" i="13"/>
  <c r="M117" i="13"/>
  <c r="AL91" i="13"/>
  <c r="AM91" i="13" s="1"/>
  <c r="AN91" i="13" s="1"/>
  <c r="AK91" i="13"/>
  <c r="AF91" i="13"/>
  <c r="AG91" i="13" s="1"/>
  <c r="S91" i="13"/>
  <c r="T91" i="13" s="1"/>
  <c r="P91" i="13"/>
  <c r="M91" i="13"/>
  <c r="AL70" i="13"/>
  <c r="AM70" i="13" s="1"/>
  <c r="AN70" i="13" s="1"/>
  <c r="AK70" i="13"/>
  <c r="AF70" i="13"/>
  <c r="AG70" i="13" s="1"/>
  <c r="S70" i="13"/>
  <c r="T70" i="13" s="1"/>
  <c r="P70" i="13"/>
  <c r="M70" i="13"/>
  <c r="AL17" i="13"/>
  <c r="AM17" i="13" s="1"/>
  <c r="AN17" i="13" s="1"/>
  <c r="AK17" i="13"/>
  <c r="AF17" i="13"/>
  <c r="AG17" i="13" s="1"/>
  <c r="S17" i="13"/>
  <c r="T17" i="13" s="1"/>
  <c r="P17" i="13"/>
  <c r="M17" i="13"/>
  <c r="AL125" i="13"/>
  <c r="AM125" i="13" s="1"/>
  <c r="AN125" i="13" s="1"/>
  <c r="AK125" i="13"/>
  <c r="AF125" i="13"/>
  <c r="AG125" i="13" s="1"/>
  <c r="S125" i="13"/>
  <c r="U125" i="13" s="1"/>
  <c r="P125" i="13"/>
  <c r="M125" i="13"/>
  <c r="AL105" i="13"/>
  <c r="AM105" i="13" s="1"/>
  <c r="AN105" i="13" s="1"/>
  <c r="AK105" i="13"/>
  <c r="AF105" i="13"/>
  <c r="AG105" i="13" s="1"/>
  <c r="S105" i="13"/>
  <c r="T105" i="13" s="1"/>
  <c r="P105" i="13"/>
  <c r="M105" i="13"/>
  <c r="AL89" i="13"/>
  <c r="AM89" i="13" s="1"/>
  <c r="AN89" i="13" s="1"/>
  <c r="AK89" i="13"/>
  <c r="AF89" i="13"/>
  <c r="AG89" i="13" s="1"/>
  <c r="S89" i="13"/>
  <c r="U89" i="13" s="1"/>
  <c r="P89" i="13"/>
  <c r="M89" i="13"/>
  <c r="AL44" i="13"/>
  <c r="AM44" i="13" s="1"/>
  <c r="AN44" i="13" s="1"/>
  <c r="AK44" i="13"/>
  <c r="AF44" i="13"/>
  <c r="AG44" i="13" s="1"/>
  <c r="S44" i="13"/>
  <c r="U44" i="13" s="1"/>
  <c r="P44" i="13"/>
  <c r="M44" i="13"/>
  <c r="AL59" i="13"/>
  <c r="AM59" i="13" s="1"/>
  <c r="AN59" i="13" s="1"/>
  <c r="AK59" i="13"/>
  <c r="AF59" i="13"/>
  <c r="AG59" i="13" s="1"/>
  <c r="S59" i="13"/>
  <c r="T59" i="13" s="1"/>
  <c r="P59" i="13"/>
  <c r="M59" i="13"/>
  <c r="AL87" i="13"/>
  <c r="AM87" i="13" s="1"/>
  <c r="AN87" i="13" s="1"/>
  <c r="AK87" i="13"/>
  <c r="AF87" i="13"/>
  <c r="AG87" i="13" s="1"/>
  <c r="S87" i="13"/>
  <c r="T87" i="13" s="1"/>
  <c r="P87" i="13"/>
  <c r="M87" i="13"/>
  <c r="AL110" i="13"/>
  <c r="AM110" i="13" s="1"/>
  <c r="AN110" i="13" s="1"/>
  <c r="AK110" i="13"/>
  <c r="AF110" i="13"/>
  <c r="AG110" i="13" s="1"/>
  <c r="S110" i="13"/>
  <c r="U110" i="13" s="1"/>
  <c r="P110" i="13"/>
  <c r="M110" i="13"/>
  <c r="AL66" i="13"/>
  <c r="AM66" i="13" s="1"/>
  <c r="AN66" i="13" s="1"/>
  <c r="AK66" i="13"/>
  <c r="AF66" i="13"/>
  <c r="AG66" i="13" s="1"/>
  <c r="S66" i="13"/>
  <c r="U66" i="13" s="1"/>
  <c r="P66" i="13"/>
  <c r="M66" i="13"/>
  <c r="AL108" i="13"/>
  <c r="AM108" i="13" s="1"/>
  <c r="AN108" i="13" s="1"/>
  <c r="AK108" i="13"/>
  <c r="AF108" i="13"/>
  <c r="AG108" i="13" s="1"/>
  <c r="S108" i="13"/>
  <c r="U108" i="13" s="1"/>
  <c r="P108" i="13"/>
  <c r="M108" i="13"/>
  <c r="AL86" i="13"/>
  <c r="AJ86" i="13"/>
  <c r="AK86" i="13" s="1"/>
  <c r="AI86" i="13"/>
  <c r="AE86" i="13"/>
  <c r="AD86" i="13"/>
  <c r="AC86" i="13"/>
  <c r="AB86" i="13"/>
  <c r="AA86" i="13"/>
  <c r="Y86" i="13"/>
  <c r="X86" i="13"/>
  <c r="R86" i="13"/>
  <c r="Q86" i="13"/>
  <c r="P86" i="13"/>
  <c r="M86" i="13"/>
  <c r="AL5" i="13"/>
  <c r="AJ5" i="13"/>
  <c r="AK5" i="13" s="1"/>
  <c r="AI5" i="13"/>
  <c r="AE5" i="13"/>
  <c r="AD5" i="13"/>
  <c r="AC5" i="13"/>
  <c r="AB5" i="13"/>
  <c r="AA5" i="13"/>
  <c r="Y5" i="13"/>
  <c r="X5" i="13"/>
  <c r="R5" i="13"/>
  <c r="Q5" i="13"/>
  <c r="P5" i="13"/>
  <c r="M5" i="13"/>
  <c r="AL112" i="13"/>
  <c r="AJ112" i="13"/>
  <c r="AK112" i="13" s="1"/>
  <c r="AI112" i="13"/>
  <c r="AE112" i="13"/>
  <c r="AD112" i="13"/>
  <c r="AC112" i="13"/>
  <c r="AB112" i="13"/>
  <c r="AA112" i="13"/>
  <c r="Y112" i="13"/>
  <c r="X112" i="13"/>
  <c r="R112" i="13"/>
  <c r="Q112" i="13"/>
  <c r="P112" i="13"/>
  <c r="M112" i="13"/>
  <c r="AL100" i="13"/>
  <c r="AJ100" i="13"/>
  <c r="AK100" i="13" s="1"/>
  <c r="AI100" i="13"/>
  <c r="AE100" i="13"/>
  <c r="AD100" i="13"/>
  <c r="AC100" i="13"/>
  <c r="AB100" i="13"/>
  <c r="AA100" i="13"/>
  <c r="Y100" i="13"/>
  <c r="X100" i="13"/>
  <c r="R100" i="13"/>
  <c r="Q100" i="13"/>
  <c r="P100" i="13"/>
  <c r="M100" i="13"/>
  <c r="AL127" i="13"/>
  <c r="AJ127" i="13"/>
  <c r="AK127" i="13" s="1"/>
  <c r="AI127" i="13"/>
  <c r="AE127" i="13"/>
  <c r="AD127" i="13"/>
  <c r="AC127" i="13"/>
  <c r="AB127" i="13"/>
  <c r="AA127" i="13"/>
  <c r="Y127" i="13"/>
  <c r="X127" i="13"/>
  <c r="R127" i="13"/>
  <c r="Q127" i="13"/>
  <c r="P127" i="13"/>
  <c r="M127" i="13"/>
  <c r="AL54" i="13"/>
  <c r="AJ54" i="13"/>
  <c r="AK54" i="13" s="1"/>
  <c r="AI54" i="13"/>
  <c r="AE54" i="13"/>
  <c r="AD54" i="13"/>
  <c r="AC54" i="13"/>
  <c r="AB54" i="13"/>
  <c r="AA54" i="13"/>
  <c r="Y54" i="13"/>
  <c r="X54" i="13"/>
  <c r="R54" i="13"/>
  <c r="Q54" i="13"/>
  <c r="P54" i="13"/>
  <c r="M54" i="13"/>
  <c r="AL20" i="13"/>
  <c r="AJ20" i="13"/>
  <c r="AK20" i="13" s="1"/>
  <c r="AI20" i="13"/>
  <c r="AE20" i="13"/>
  <c r="AD20" i="13"/>
  <c r="AC20" i="13"/>
  <c r="AB20" i="13"/>
  <c r="AA20" i="13"/>
  <c r="Y20" i="13"/>
  <c r="X20" i="13"/>
  <c r="R20" i="13"/>
  <c r="Q20" i="13"/>
  <c r="P20" i="13"/>
  <c r="M20" i="13"/>
  <c r="AL48" i="13"/>
  <c r="AJ48" i="13"/>
  <c r="AK48" i="13" s="1"/>
  <c r="AI48" i="13"/>
  <c r="AE48" i="13"/>
  <c r="AD48" i="13"/>
  <c r="AC48" i="13"/>
  <c r="AB48" i="13"/>
  <c r="AA48" i="13"/>
  <c r="Y48" i="13"/>
  <c r="X48" i="13"/>
  <c r="R48" i="13"/>
  <c r="Q48" i="13"/>
  <c r="P48" i="13"/>
  <c r="M48" i="13"/>
  <c r="AL27" i="13"/>
  <c r="AJ27" i="13"/>
  <c r="AK27" i="13" s="1"/>
  <c r="AI27" i="13"/>
  <c r="AE27" i="13"/>
  <c r="AD27" i="13"/>
  <c r="AC27" i="13"/>
  <c r="AB27" i="13"/>
  <c r="AA27" i="13"/>
  <c r="Y27" i="13"/>
  <c r="X27" i="13"/>
  <c r="R27" i="13"/>
  <c r="Q27" i="13"/>
  <c r="P27" i="13"/>
  <c r="M27" i="13"/>
  <c r="AL42" i="13"/>
  <c r="AJ42" i="13"/>
  <c r="AK42" i="13" s="1"/>
  <c r="AI42" i="13"/>
  <c r="AE42" i="13"/>
  <c r="AD42" i="13"/>
  <c r="AC42" i="13"/>
  <c r="AB42" i="13"/>
  <c r="AA42" i="13"/>
  <c r="Y42" i="13"/>
  <c r="X42" i="13"/>
  <c r="R42" i="13"/>
  <c r="Q42" i="13"/>
  <c r="P42" i="13"/>
  <c r="M42" i="13"/>
  <c r="AL107" i="13"/>
  <c r="AJ107" i="13"/>
  <c r="AK107" i="13" s="1"/>
  <c r="AI107" i="13"/>
  <c r="AE107" i="13"/>
  <c r="AD107" i="13"/>
  <c r="AC107" i="13"/>
  <c r="AB107" i="13"/>
  <c r="AA107" i="13"/>
  <c r="Y107" i="13"/>
  <c r="X107" i="13"/>
  <c r="R107" i="13"/>
  <c r="Q107" i="13"/>
  <c r="P107" i="13"/>
  <c r="M107" i="13"/>
  <c r="AL80" i="13"/>
  <c r="AJ80" i="13"/>
  <c r="AK80" i="13" s="1"/>
  <c r="AI80" i="13"/>
  <c r="AE80" i="13"/>
  <c r="AD80" i="13"/>
  <c r="AC80" i="13"/>
  <c r="AB80" i="13"/>
  <c r="AA80" i="13"/>
  <c r="Y80" i="13"/>
  <c r="X80" i="13"/>
  <c r="R80" i="13"/>
  <c r="Q80" i="13"/>
  <c r="P80" i="13"/>
  <c r="M80" i="13"/>
  <c r="AJ13" i="13"/>
  <c r="AK13" i="13" s="1"/>
  <c r="AI13" i="13"/>
  <c r="AE13" i="13"/>
  <c r="AD13" i="13"/>
  <c r="AC13" i="13"/>
  <c r="AB13" i="13"/>
  <c r="AA13" i="13"/>
  <c r="Y13" i="13"/>
  <c r="X13" i="13"/>
  <c r="Z13" i="13" s="1"/>
  <c r="V13" i="13"/>
  <c r="R13" i="13"/>
  <c r="Q13" i="13"/>
  <c r="P13" i="13"/>
  <c r="M13" i="13"/>
  <c r="AL56" i="13"/>
  <c r="AJ56" i="13"/>
  <c r="AK56" i="13" s="1"/>
  <c r="AI56" i="13"/>
  <c r="AE56" i="13"/>
  <c r="AD56" i="13"/>
  <c r="AC56" i="13"/>
  <c r="AB56" i="13"/>
  <c r="AA56" i="13"/>
  <c r="Y56" i="13"/>
  <c r="X56" i="13"/>
  <c r="R56" i="13"/>
  <c r="Q56" i="13"/>
  <c r="P56" i="13"/>
  <c r="M56" i="13"/>
  <c r="AJ43" i="13"/>
  <c r="AK43" i="13" s="1"/>
  <c r="AI43" i="13"/>
  <c r="AE43" i="13"/>
  <c r="AD43" i="13"/>
  <c r="AC43" i="13"/>
  <c r="AB43" i="13"/>
  <c r="AA43" i="13"/>
  <c r="Y43" i="13"/>
  <c r="X43" i="13"/>
  <c r="Z43" i="13" s="1"/>
  <c r="V43" i="13"/>
  <c r="R43" i="13"/>
  <c r="Q43" i="13"/>
  <c r="P43" i="13"/>
  <c r="M43" i="13"/>
  <c r="AL10" i="13"/>
  <c r="AJ10" i="13"/>
  <c r="AK10" i="13" s="1"/>
  <c r="AI10" i="13"/>
  <c r="AE10" i="13"/>
  <c r="AD10" i="13"/>
  <c r="AC10" i="13"/>
  <c r="AB10" i="13"/>
  <c r="AA10" i="13"/>
  <c r="Y10" i="13"/>
  <c r="X10" i="13"/>
  <c r="R10" i="13"/>
  <c r="Q10" i="13"/>
  <c r="P10" i="13"/>
  <c r="M10" i="13"/>
  <c r="AL134" i="13"/>
  <c r="AJ134" i="13"/>
  <c r="AK134" i="13" s="1"/>
  <c r="AI134" i="13"/>
  <c r="AE134" i="13"/>
  <c r="AD134" i="13"/>
  <c r="AC134" i="13"/>
  <c r="AB134" i="13"/>
  <c r="AA134" i="13"/>
  <c r="Y134" i="13"/>
  <c r="X134" i="13"/>
  <c r="R134" i="13"/>
  <c r="Q134" i="13"/>
  <c r="P134" i="13"/>
  <c r="M134" i="13"/>
  <c r="AL124" i="13"/>
  <c r="AJ124" i="13"/>
  <c r="AK124" i="13" s="1"/>
  <c r="AI124" i="13"/>
  <c r="AE124" i="13"/>
  <c r="AD124" i="13"/>
  <c r="AC124" i="13"/>
  <c r="AB124" i="13"/>
  <c r="AA124" i="13"/>
  <c r="Y124" i="13"/>
  <c r="X124" i="13"/>
  <c r="Z124" i="13" s="1"/>
  <c r="R124" i="13"/>
  <c r="Q124" i="13"/>
  <c r="P124" i="13"/>
  <c r="M124" i="13"/>
  <c r="AL122" i="13"/>
  <c r="AJ122" i="13"/>
  <c r="AK122" i="13" s="1"/>
  <c r="AI122" i="13"/>
  <c r="AE122" i="13"/>
  <c r="AD122" i="13"/>
  <c r="AC122" i="13"/>
  <c r="AB122" i="13"/>
  <c r="AA122" i="13"/>
  <c r="Y122" i="13"/>
  <c r="X122" i="13"/>
  <c r="R122" i="13"/>
  <c r="Q122" i="13"/>
  <c r="P122" i="13"/>
  <c r="M122" i="13"/>
  <c r="AL82" i="13"/>
  <c r="AJ82" i="13"/>
  <c r="AK82" i="13" s="1"/>
  <c r="AI82" i="13"/>
  <c r="AE82" i="13"/>
  <c r="AD82" i="13"/>
  <c r="AC82" i="13"/>
  <c r="AB82" i="13"/>
  <c r="AA82" i="13"/>
  <c r="Y82" i="13"/>
  <c r="X82" i="13"/>
  <c r="R82" i="13"/>
  <c r="Q82" i="13"/>
  <c r="P82" i="13"/>
  <c r="M82" i="13"/>
  <c r="AL41" i="13"/>
  <c r="AJ41" i="13"/>
  <c r="AK41" i="13" s="1"/>
  <c r="AI41" i="13"/>
  <c r="AE41" i="13"/>
  <c r="AD41" i="13"/>
  <c r="AC41" i="13"/>
  <c r="AB41" i="13"/>
  <c r="AA41" i="13"/>
  <c r="Y41" i="13"/>
  <c r="X41" i="13"/>
  <c r="R41" i="13"/>
  <c r="Q41" i="13"/>
  <c r="P41" i="13"/>
  <c r="M41" i="13"/>
  <c r="AL136" i="13"/>
  <c r="AJ136" i="13"/>
  <c r="AK136" i="13" s="1"/>
  <c r="AI136" i="13"/>
  <c r="AE136" i="13"/>
  <c r="AD136" i="13"/>
  <c r="AC136" i="13"/>
  <c r="AB136" i="13"/>
  <c r="AA136" i="13"/>
  <c r="Y136" i="13"/>
  <c r="X136" i="13"/>
  <c r="Z136" i="13" s="1"/>
  <c r="R136" i="13"/>
  <c r="Q136" i="13"/>
  <c r="P136" i="13"/>
  <c r="M136" i="13"/>
  <c r="AL106" i="13"/>
  <c r="AJ106" i="13"/>
  <c r="AK106" i="13" s="1"/>
  <c r="AI106" i="13"/>
  <c r="AE106" i="13"/>
  <c r="AD106" i="13"/>
  <c r="AC106" i="13"/>
  <c r="AB106" i="13"/>
  <c r="AA106" i="13"/>
  <c r="Y106" i="13"/>
  <c r="X106" i="13"/>
  <c r="R106" i="13"/>
  <c r="Q106" i="13"/>
  <c r="P106" i="13"/>
  <c r="M106" i="13"/>
  <c r="AL119" i="13"/>
  <c r="AJ119" i="13"/>
  <c r="AK119" i="13" s="1"/>
  <c r="AI119" i="13"/>
  <c r="AE119" i="13"/>
  <c r="AD119" i="13"/>
  <c r="AC119" i="13"/>
  <c r="AB119" i="13"/>
  <c r="AA119" i="13"/>
  <c r="Y119" i="13"/>
  <c r="X119" i="13"/>
  <c r="R119" i="13"/>
  <c r="Q119" i="13"/>
  <c r="P119" i="13"/>
  <c r="M119" i="13"/>
  <c r="AL93" i="13"/>
  <c r="AJ93" i="13"/>
  <c r="AK93" i="13" s="1"/>
  <c r="AI93" i="13"/>
  <c r="AE93" i="13"/>
  <c r="AD93" i="13"/>
  <c r="AC93" i="13"/>
  <c r="AB93" i="13"/>
  <c r="AA93" i="13"/>
  <c r="Y93" i="13"/>
  <c r="X93" i="13"/>
  <c r="Z93" i="13" s="1"/>
  <c r="R93" i="13"/>
  <c r="Q93" i="13"/>
  <c r="P93" i="13"/>
  <c r="M93" i="13"/>
  <c r="AL128" i="13"/>
  <c r="AJ128" i="13"/>
  <c r="AK128" i="13" s="1"/>
  <c r="AI128" i="13"/>
  <c r="AE128" i="13"/>
  <c r="AD128" i="13"/>
  <c r="AC128" i="13"/>
  <c r="AB128" i="13"/>
  <c r="AA128" i="13"/>
  <c r="Y128" i="13"/>
  <c r="X128" i="13"/>
  <c r="Z128" i="13" s="1"/>
  <c r="R128" i="13"/>
  <c r="Q128" i="13"/>
  <c r="P128" i="13"/>
  <c r="M128" i="13"/>
  <c r="AL126" i="13"/>
  <c r="AJ126" i="13"/>
  <c r="AK126" i="13" s="1"/>
  <c r="AI126" i="13"/>
  <c r="AE126" i="13"/>
  <c r="AD126" i="13"/>
  <c r="AC126" i="13"/>
  <c r="AB126" i="13"/>
  <c r="AA126" i="13"/>
  <c r="Y126" i="13"/>
  <c r="X126" i="13"/>
  <c r="R126" i="13"/>
  <c r="Q126" i="13"/>
  <c r="P126" i="13"/>
  <c r="M126" i="13"/>
  <c r="AL113" i="13"/>
  <c r="AJ113" i="13"/>
  <c r="AK113" i="13" s="1"/>
  <c r="AI113" i="13"/>
  <c r="AE113" i="13"/>
  <c r="AD113" i="13"/>
  <c r="AC113" i="13"/>
  <c r="AB113" i="13"/>
  <c r="AA113" i="13"/>
  <c r="Y113" i="13"/>
  <c r="X113" i="13"/>
  <c r="R113" i="13"/>
  <c r="Q113" i="13"/>
  <c r="P113" i="13"/>
  <c r="M113" i="13"/>
  <c r="AL73" i="13"/>
  <c r="AJ73" i="13"/>
  <c r="AK73" i="13" s="1"/>
  <c r="AI73" i="13"/>
  <c r="AE73" i="13"/>
  <c r="AD73" i="13"/>
  <c r="AC73" i="13"/>
  <c r="AB73" i="13"/>
  <c r="AA73" i="13"/>
  <c r="Y73" i="13"/>
  <c r="X73" i="13"/>
  <c r="Z73" i="13" s="1"/>
  <c r="R73" i="13"/>
  <c r="Q73" i="13"/>
  <c r="P73" i="13"/>
  <c r="M73" i="13"/>
  <c r="AL120" i="13"/>
  <c r="AJ120" i="13"/>
  <c r="AK120" i="13" s="1"/>
  <c r="AI120" i="13"/>
  <c r="AE120" i="13"/>
  <c r="AD120" i="13"/>
  <c r="AC120" i="13"/>
  <c r="AB120" i="13"/>
  <c r="AA120" i="13"/>
  <c r="Y120" i="13"/>
  <c r="X120" i="13"/>
  <c r="Z120" i="13" s="1"/>
  <c r="R120" i="13"/>
  <c r="Q120" i="13"/>
  <c r="P120" i="13"/>
  <c r="M120" i="13"/>
  <c r="AL92" i="13"/>
  <c r="AJ92" i="13"/>
  <c r="AK92" i="13" s="1"/>
  <c r="AI92" i="13"/>
  <c r="AE92" i="13"/>
  <c r="AD92" i="13"/>
  <c r="AC92" i="13"/>
  <c r="AB92" i="13"/>
  <c r="AA92" i="13"/>
  <c r="Y92" i="13"/>
  <c r="X92" i="13"/>
  <c r="R92" i="13"/>
  <c r="Q92" i="13"/>
  <c r="P92" i="13"/>
  <c r="M92" i="13"/>
  <c r="AL29" i="13"/>
  <c r="AJ29" i="13"/>
  <c r="AK29" i="13" s="1"/>
  <c r="AI29" i="13"/>
  <c r="AE29" i="13"/>
  <c r="AD29" i="13"/>
  <c r="AC29" i="13"/>
  <c r="AB29" i="13"/>
  <c r="AA29" i="13"/>
  <c r="Y29" i="13"/>
  <c r="X29" i="13"/>
  <c r="R29" i="13"/>
  <c r="Q29" i="13"/>
  <c r="P29" i="13"/>
  <c r="M29" i="13"/>
  <c r="AL137" i="13"/>
  <c r="AJ137" i="13"/>
  <c r="AK137" i="13" s="1"/>
  <c r="AI137" i="13"/>
  <c r="AE137" i="13"/>
  <c r="AD137" i="13"/>
  <c r="AC137" i="13"/>
  <c r="AB137" i="13"/>
  <c r="AA137" i="13"/>
  <c r="Y137" i="13"/>
  <c r="X137" i="13"/>
  <c r="Z137" i="13" s="1"/>
  <c r="R137" i="13"/>
  <c r="Q137" i="13"/>
  <c r="P137" i="13"/>
  <c r="M137" i="13"/>
  <c r="AL37" i="13"/>
  <c r="AJ37" i="13"/>
  <c r="AK37" i="13" s="1"/>
  <c r="AI37" i="13"/>
  <c r="AE37" i="13"/>
  <c r="AD37" i="13"/>
  <c r="AC37" i="13"/>
  <c r="AB37" i="13"/>
  <c r="AA37" i="13"/>
  <c r="Y37" i="13"/>
  <c r="X37" i="13"/>
  <c r="Z37" i="13" s="1"/>
  <c r="R37" i="13"/>
  <c r="Q37" i="13"/>
  <c r="P37" i="13"/>
  <c r="M37" i="13"/>
  <c r="AL109" i="13"/>
  <c r="AJ109" i="13"/>
  <c r="AK109" i="13" s="1"/>
  <c r="AI109" i="13"/>
  <c r="AE109" i="13"/>
  <c r="AD109" i="13"/>
  <c r="AC109" i="13"/>
  <c r="AB109" i="13"/>
  <c r="AA109" i="13"/>
  <c r="Y109" i="13"/>
  <c r="X109" i="13"/>
  <c r="R109" i="13"/>
  <c r="Q109" i="13"/>
  <c r="P109" i="13"/>
  <c r="M109" i="13"/>
  <c r="AL132" i="13"/>
  <c r="AJ132" i="13"/>
  <c r="AK132" i="13" s="1"/>
  <c r="AI132" i="13"/>
  <c r="AE132" i="13"/>
  <c r="AD132" i="13"/>
  <c r="AC132" i="13"/>
  <c r="AB132" i="13"/>
  <c r="AA132" i="13"/>
  <c r="Y132" i="13"/>
  <c r="X132" i="13"/>
  <c r="R132" i="13"/>
  <c r="Q132" i="13"/>
  <c r="P132" i="13"/>
  <c r="M132" i="13"/>
  <c r="AL62" i="13"/>
  <c r="AJ62" i="13"/>
  <c r="AK62" i="13" s="1"/>
  <c r="AI62" i="13"/>
  <c r="AE62" i="13"/>
  <c r="AD62" i="13"/>
  <c r="AC62" i="13"/>
  <c r="AB62" i="13"/>
  <c r="AA62" i="13"/>
  <c r="Y62" i="13"/>
  <c r="X62" i="13"/>
  <c r="R62" i="13"/>
  <c r="Q62" i="13"/>
  <c r="P62" i="13"/>
  <c r="M62" i="13"/>
  <c r="AJ51" i="13"/>
  <c r="AK51" i="13" s="1"/>
  <c r="AI51" i="13"/>
  <c r="AE51" i="13"/>
  <c r="AD51" i="13"/>
  <c r="AC51" i="13"/>
  <c r="AB51" i="13"/>
  <c r="AA51" i="13"/>
  <c r="Y51" i="13"/>
  <c r="X51" i="13"/>
  <c r="R51" i="13"/>
  <c r="Q51" i="13"/>
  <c r="P51" i="13"/>
  <c r="M51" i="13"/>
  <c r="AL12" i="13"/>
  <c r="AI12" i="13"/>
  <c r="AH12" i="13"/>
  <c r="AE12" i="13"/>
  <c r="AD12" i="13"/>
  <c r="AC12" i="13"/>
  <c r="AB12" i="13"/>
  <c r="AA12" i="13"/>
  <c r="Y12" i="13"/>
  <c r="X12" i="13"/>
  <c r="Z12" i="13" s="1"/>
  <c r="W12" i="13"/>
  <c r="V12" i="13"/>
  <c r="R12" i="13"/>
  <c r="Q12" i="13"/>
  <c r="N12" i="13"/>
  <c r="P12" i="13" s="1"/>
  <c r="L12" i="13"/>
  <c r="K12" i="13"/>
  <c r="H12" i="13"/>
  <c r="AL2" i="13"/>
  <c r="AJ2" i="13"/>
  <c r="AI2" i="13"/>
  <c r="AH2" i="13"/>
  <c r="AE2" i="13"/>
  <c r="AD2" i="13"/>
  <c r="AC2" i="13"/>
  <c r="AB2" i="13"/>
  <c r="AA2" i="13"/>
  <c r="Y2" i="13"/>
  <c r="X2" i="13"/>
  <c r="W2" i="13"/>
  <c r="V2" i="13"/>
  <c r="R2" i="13"/>
  <c r="Q2" i="13"/>
  <c r="N2" i="13"/>
  <c r="P2" i="13" s="1"/>
  <c r="L2" i="13"/>
  <c r="K2" i="13"/>
  <c r="H2" i="13"/>
  <c r="AL6" i="13"/>
  <c r="AJ6" i="13"/>
  <c r="AI6" i="13"/>
  <c r="AH6" i="13"/>
  <c r="AE6" i="13"/>
  <c r="AD6" i="13"/>
  <c r="AC6" i="13"/>
  <c r="AB6" i="13"/>
  <c r="AA6" i="13"/>
  <c r="Y6" i="13"/>
  <c r="X6" i="13"/>
  <c r="W6" i="13"/>
  <c r="V6" i="13"/>
  <c r="R6" i="13"/>
  <c r="Q6" i="13"/>
  <c r="N6" i="13"/>
  <c r="P6" i="13" s="1"/>
  <c r="L6" i="13"/>
  <c r="K6" i="13"/>
  <c r="H6" i="13"/>
  <c r="AL39" i="13"/>
  <c r="AJ39" i="13"/>
  <c r="AI39" i="13"/>
  <c r="AH39" i="13"/>
  <c r="AE39" i="13"/>
  <c r="AD39" i="13"/>
  <c r="AC39" i="13"/>
  <c r="AB39" i="13"/>
  <c r="AA39" i="13"/>
  <c r="Y39" i="13"/>
  <c r="X39" i="13"/>
  <c r="W39" i="13"/>
  <c r="V39" i="13"/>
  <c r="R39" i="13"/>
  <c r="Q39" i="13"/>
  <c r="N39" i="13"/>
  <c r="P39" i="13" s="1"/>
  <c r="L39" i="13"/>
  <c r="K39" i="13"/>
  <c r="H39" i="13"/>
  <c r="AL16" i="13"/>
  <c r="AJ16" i="13"/>
  <c r="AI16" i="13"/>
  <c r="AH16" i="13"/>
  <c r="AE16" i="13"/>
  <c r="AD16" i="13"/>
  <c r="AC16" i="13"/>
  <c r="AB16" i="13"/>
  <c r="AA16" i="13"/>
  <c r="Y16" i="13"/>
  <c r="X16" i="13"/>
  <c r="R16" i="13"/>
  <c r="Q16" i="13"/>
  <c r="N16" i="13"/>
  <c r="P16" i="13" s="1"/>
  <c r="L16" i="13"/>
  <c r="K16" i="13"/>
  <c r="H16" i="13"/>
  <c r="AL34" i="13"/>
  <c r="AJ34" i="13"/>
  <c r="AI34" i="13"/>
  <c r="AH34" i="13"/>
  <c r="AE34" i="13"/>
  <c r="AD34" i="13"/>
  <c r="AC34" i="13"/>
  <c r="AB34" i="13"/>
  <c r="AA34" i="13"/>
  <c r="Y34" i="13"/>
  <c r="X34" i="13"/>
  <c r="W34" i="13"/>
  <c r="V34" i="13"/>
  <c r="R34" i="13"/>
  <c r="Q34" i="13"/>
  <c r="N34" i="13"/>
  <c r="P34" i="13" s="1"/>
  <c r="L34" i="13"/>
  <c r="K34" i="13"/>
  <c r="H34" i="13"/>
  <c r="AL45" i="13"/>
  <c r="AJ45" i="13"/>
  <c r="AI45" i="13"/>
  <c r="AH45" i="13"/>
  <c r="AE45" i="13"/>
  <c r="AD45" i="13"/>
  <c r="AC45" i="13"/>
  <c r="AB45" i="13"/>
  <c r="AA45" i="13"/>
  <c r="Y45" i="13"/>
  <c r="X45" i="13"/>
  <c r="Z45" i="13" s="1"/>
  <c r="W45" i="13"/>
  <c r="V45" i="13"/>
  <c r="R45" i="13"/>
  <c r="Q45" i="13"/>
  <c r="N45" i="13"/>
  <c r="P45" i="13" s="1"/>
  <c r="L45" i="13"/>
  <c r="K45" i="13"/>
  <c r="H45" i="13"/>
  <c r="AL77" i="13"/>
  <c r="AJ77" i="13"/>
  <c r="AI77" i="13"/>
  <c r="AH77" i="13"/>
  <c r="AE77" i="13"/>
  <c r="AD77" i="13"/>
  <c r="AC77" i="13"/>
  <c r="AB77" i="13"/>
  <c r="AA77" i="13"/>
  <c r="Y77" i="13"/>
  <c r="X77" i="13"/>
  <c r="Z77" i="13" s="1"/>
  <c r="W77" i="13"/>
  <c r="V77" i="13"/>
  <c r="R77" i="13"/>
  <c r="Q77" i="13"/>
  <c r="N77" i="13"/>
  <c r="P77" i="13" s="1"/>
  <c r="L77" i="13"/>
  <c r="K77" i="13"/>
  <c r="H77" i="13"/>
  <c r="AL64" i="13"/>
  <c r="AJ64" i="13"/>
  <c r="AI64" i="13"/>
  <c r="AH64" i="13"/>
  <c r="AE64" i="13"/>
  <c r="AD64" i="13"/>
  <c r="AC64" i="13"/>
  <c r="AB64" i="13"/>
  <c r="AA64" i="13"/>
  <c r="Y64" i="13"/>
  <c r="X64" i="13"/>
  <c r="W64" i="13"/>
  <c r="V64" i="13"/>
  <c r="R64" i="13"/>
  <c r="Q64" i="13"/>
  <c r="N64" i="13"/>
  <c r="P64" i="13" s="1"/>
  <c r="L64" i="13"/>
  <c r="K64" i="13"/>
  <c r="H64" i="13"/>
  <c r="AL81" i="13"/>
  <c r="AJ81" i="13"/>
  <c r="AI81" i="13"/>
  <c r="AH81" i="13"/>
  <c r="AE81" i="13"/>
  <c r="AD81" i="13"/>
  <c r="AC81" i="13"/>
  <c r="AB81" i="13"/>
  <c r="AA81" i="13"/>
  <c r="Y81" i="13"/>
  <c r="X81" i="13"/>
  <c r="W81" i="13"/>
  <c r="V81" i="13"/>
  <c r="R81" i="13"/>
  <c r="Q81" i="13"/>
  <c r="N81" i="13"/>
  <c r="P81" i="13" s="1"/>
  <c r="L81" i="13"/>
  <c r="K81" i="13"/>
  <c r="H81" i="13"/>
  <c r="AL96" i="13"/>
  <c r="AJ96" i="13"/>
  <c r="AI96" i="13"/>
  <c r="AH96" i="13"/>
  <c r="AE96" i="13"/>
  <c r="AD96" i="13"/>
  <c r="AC96" i="13"/>
  <c r="AB96" i="13"/>
  <c r="AA96" i="13"/>
  <c r="Y96" i="13"/>
  <c r="X96" i="13"/>
  <c r="W96" i="13"/>
  <c r="V96" i="13"/>
  <c r="R96" i="13"/>
  <c r="Q96" i="13"/>
  <c r="N96" i="13"/>
  <c r="P96" i="13" s="1"/>
  <c r="L96" i="13"/>
  <c r="K96" i="13"/>
  <c r="H96" i="13"/>
  <c r="AL147" i="13"/>
  <c r="AJ147" i="13"/>
  <c r="AI147" i="13"/>
  <c r="AH147" i="13"/>
  <c r="AE147" i="13"/>
  <c r="AD147" i="13"/>
  <c r="AC147" i="13"/>
  <c r="AB147" i="13"/>
  <c r="AA147" i="13"/>
  <c r="Y147" i="13"/>
  <c r="X147" i="13"/>
  <c r="W147" i="13"/>
  <c r="V147" i="13"/>
  <c r="R147" i="13"/>
  <c r="Q147" i="13"/>
  <c r="N147" i="13"/>
  <c r="P147" i="13" s="1"/>
  <c r="L147" i="13"/>
  <c r="K147" i="13"/>
  <c r="H147" i="13"/>
  <c r="AL3" i="13"/>
  <c r="AJ3" i="13"/>
  <c r="AI3" i="13"/>
  <c r="AE3" i="13"/>
  <c r="AD3" i="13"/>
  <c r="AC3" i="13"/>
  <c r="AB3" i="13"/>
  <c r="AA3" i="13"/>
  <c r="Y3" i="13"/>
  <c r="X3" i="13"/>
  <c r="W3" i="13"/>
  <c r="V3" i="13"/>
  <c r="R3" i="13"/>
  <c r="Q3" i="13"/>
  <c r="N3" i="13"/>
  <c r="P3" i="13" s="1"/>
  <c r="L3" i="13"/>
  <c r="K3" i="13"/>
  <c r="H3" i="13"/>
  <c r="AL14" i="13"/>
  <c r="AJ14" i="13"/>
  <c r="AI14" i="13"/>
  <c r="AH14" i="13"/>
  <c r="AE14" i="13"/>
  <c r="AD14" i="13"/>
  <c r="AC14" i="13"/>
  <c r="AB14" i="13"/>
  <c r="AA14" i="13"/>
  <c r="Y14" i="13"/>
  <c r="X14" i="13"/>
  <c r="W14" i="13"/>
  <c r="V14" i="13"/>
  <c r="R14" i="13"/>
  <c r="Q14" i="13"/>
  <c r="N14" i="13"/>
  <c r="P14" i="13" s="1"/>
  <c r="L14" i="13"/>
  <c r="K14" i="13"/>
  <c r="H14" i="13"/>
  <c r="AL8" i="13"/>
  <c r="AJ8" i="13"/>
  <c r="AI8" i="13"/>
  <c r="AH8" i="13"/>
  <c r="AE8" i="13"/>
  <c r="AD8" i="13"/>
  <c r="AC8" i="13"/>
  <c r="AB8" i="13"/>
  <c r="AA8" i="13"/>
  <c r="Y8" i="13"/>
  <c r="X8" i="13"/>
  <c r="W8" i="13"/>
  <c r="V8" i="13"/>
  <c r="R8" i="13"/>
  <c r="Q8" i="13"/>
  <c r="N8" i="13"/>
  <c r="P8" i="13" s="1"/>
  <c r="L8" i="13"/>
  <c r="K8" i="13"/>
  <c r="H8" i="13"/>
  <c r="AL157" i="13"/>
  <c r="AJ157" i="13"/>
  <c r="AI157" i="13"/>
  <c r="AH157" i="13"/>
  <c r="AE157" i="13"/>
  <c r="AD157" i="13"/>
  <c r="AC157" i="13"/>
  <c r="AB157" i="13"/>
  <c r="AA157" i="13"/>
  <c r="Y157" i="13"/>
  <c r="X157" i="13"/>
  <c r="W157" i="13"/>
  <c r="V157" i="13"/>
  <c r="R157" i="13"/>
  <c r="Q157" i="13"/>
  <c r="N157" i="13"/>
  <c r="P157" i="13" s="1"/>
  <c r="L157" i="13"/>
  <c r="K157" i="13"/>
  <c r="H157" i="13"/>
  <c r="AL152" i="13"/>
  <c r="AJ152" i="13"/>
  <c r="AH152" i="13"/>
  <c r="AE152" i="13"/>
  <c r="AD152" i="13"/>
  <c r="AC152" i="13"/>
  <c r="AB152" i="13"/>
  <c r="AA152" i="13"/>
  <c r="Y152" i="13"/>
  <c r="X152" i="13"/>
  <c r="S152" i="13"/>
  <c r="U152" i="13" s="1"/>
  <c r="P152" i="13"/>
  <c r="L152" i="13"/>
  <c r="M152" i="13" s="1"/>
  <c r="H152" i="13"/>
  <c r="AL154" i="13"/>
  <c r="AJ154" i="13"/>
  <c r="AH154" i="13"/>
  <c r="AE154" i="13"/>
  <c r="AD154" i="13"/>
  <c r="AC154" i="13"/>
  <c r="AB154" i="13"/>
  <c r="AA154" i="13"/>
  <c r="Y154" i="13"/>
  <c r="X154" i="13"/>
  <c r="S154" i="13"/>
  <c r="U154" i="13" s="1"/>
  <c r="P154" i="13"/>
  <c r="L154" i="13"/>
  <c r="M154" i="13" s="1"/>
  <c r="H154" i="13"/>
  <c r="AL116" i="13"/>
  <c r="AJ116" i="13"/>
  <c r="AH116" i="13"/>
  <c r="AE116" i="13"/>
  <c r="AD116" i="13"/>
  <c r="AC116" i="13"/>
  <c r="AB116" i="13"/>
  <c r="AA116" i="13"/>
  <c r="Y116" i="13"/>
  <c r="X116" i="13"/>
  <c r="Z116" i="13" s="1"/>
  <c r="S116" i="13"/>
  <c r="U116" i="13" s="1"/>
  <c r="P116" i="13"/>
  <c r="L116" i="13"/>
  <c r="M116" i="13" s="1"/>
  <c r="H116" i="13"/>
  <c r="AL145" i="13"/>
  <c r="AJ145" i="13"/>
  <c r="AH145" i="13"/>
  <c r="AE145" i="13"/>
  <c r="AD145" i="13"/>
  <c r="AC145" i="13"/>
  <c r="AB145" i="13"/>
  <c r="AA145" i="13"/>
  <c r="Y145" i="13"/>
  <c r="X145" i="13"/>
  <c r="S145" i="13"/>
  <c r="U145" i="13" s="1"/>
  <c r="P145" i="13"/>
  <c r="L145" i="13"/>
  <c r="M145" i="13" s="1"/>
  <c r="H145" i="13"/>
  <c r="AL150" i="13"/>
  <c r="AJ150" i="13"/>
  <c r="AH150" i="13"/>
  <c r="AE150" i="13"/>
  <c r="AD150" i="13"/>
  <c r="AC150" i="13"/>
  <c r="AB150" i="13"/>
  <c r="AA150" i="13"/>
  <c r="Y150" i="13"/>
  <c r="X150" i="13"/>
  <c r="S150" i="13"/>
  <c r="T150" i="13" s="1"/>
  <c r="P150" i="13"/>
  <c r="L150" i="13"/>
  <c r="M150" i="13" s="1"/>
  <c r="H150" i="13"/>
  <c r="AL149" i="13"/>
  <c r="AJ149" i="13"/>
  <c r="AH149" i="13"/>
  <c r="AE149" i="13"/>
  <c r="AD149" i="13"/>
  <c r="AC149" i="13"/>
  <c r="AB149" i="13"/>
  <c r="AA149" i="13"/>
  <c r="Y149" i="13"/>
  <c r="X149" i="13"/>
  <c r="S149" i="13"/>
  <c r="U149" i="13" s="1"/>
  <c r="P149" i="13"/>
  <c r="L149" i="13"/>
  <c r="M149" i="13" s="1"/>
  <c r="H149" i="13"/>
  <c r="AL153" i="13"/>
  <c r="AJ153" i="13"/>
  <c r="AH153" i="13"/>
  <c r="AE153" i="13"/>
  <c r="AD153" i="13"/>
  <c r="AC153" i="13"/>
  <c r="AB153" i="13"/>
  <c r="AA153" i="13"/>
  <c r="Y153" i="13"/>
  <c r="X153" i="13"/>
  <c r="Z153" i="13" s="1"/>
  <c r="S153" i="13"/>
  <c r="U153" i="13" s="1"/>
  <c r="P153" i="13"/>
  <c r="L153" i="13"/>
  <c r="M153" i="13" s="1"/>
  <c r="H153" i="13"/>
  <c r="AL118" i="13"/>
  <c r="AJ118" i="13"/>
  <c r="AH118" i="13"/>
  <c r="AE118" i="13"/>
  <c r="AD118" i="13"/>
  <c r="AC118" i="13"/>
  <c r="AB118" i="13"/>
  <c r="AA118" i="13"/>
  <c r="Y118" i="13"/>
  <c r="X118" i="13"/>
  <c r="S118" i="13"/>
  <c r="U118" i="13" s="1"/>
  <c r="P118" i="13"/>
  <c r="L118" i="13"/>
  <c r="M118" i="13" s="1"/>
  <c r="H118" i="13"/>
  <c r="AL130" i="13"/>
  <c r="AJ130" i="13"/>
  <c r="AH130" i="13"/>
  <c r="AE130" i="13"/>
  <c r="AD130" i="13"/>
  <c r="AC130" i="13"/>
  <c r="AB130" i="13"/>
  <c r="AA130" i="13"/>
  <c r="Y130" i="13"/>
  <c r="X130" i="13"/>
  <c r="S130" i="13"/>
  <c r="T130" i="13" s="1"/>
  <c r="P130" i="13"/>
  <c r="L130" i="13"/>
  <c r="M130" i="13" s="1"/>
  <c r="H130" i="13"/>
  <c r="AL102" i="13"/>
  <c r="AJ102" i="13"/>
  <c r="AH102" i="13"/>
  <c r="AE102" i="13"/>
  <c r="AD102" i="13"/>
  <c r="AC102" i="13"/>
  <c r="AB102" i="13"/>
  <c r="AA102" i="13"/>
  <c r="Y102" i="13"/>
  <c r="X102" i="13"/>
  <c r="S102" i="13"/>
  <c r="U102" i="13" s="1"/>
  <c r="P102" i="13"/>
  <c r="L102" i="13"/>
  <c r="M102" i="13" s="1"/>
  <c r="H102" i="13"/>
  <c r="AL148" i="13"/>
  <c r="AJ148" i="13"/>
  <c r="AH148" i="13"/>
  <c r="AE148" i="13"/>
  <c r="AD148" i="13"/>
  <c r="AC148" i="13"/>
  <c r="AB148" i="13"/>
  <c r="AA148" i="13"/>
  <c r="Y148" i="13"/>
  <c r="X148" i="13"/>
  <c r="Z148" i="13" s="1"/>
  <c r="S148" i="13"/>
  <c r="U148" i="13" s="1"/>
  <c r="P148" i="13"/>
  <c r="L148" i="13"/>
  <c r="M148" i="13" s="1"/>
  <c r="H148" i="13"/>
  <c r="AL141" i="13"/>
  <c r="AJ141" i="13"/>
  <c r="AH141" i="13"/>
  <c r="AE141" i="13"/>
  <c r="AD141" i="13"/>
  <c r="AC141" i="13"/>
  <c r="AB141" i="13"/>
  <c r="AA141" i="13"/>
  <c r="Y141" i="13"/>
  <c r="X141" i="13"/>
  <c r="Z141" i="13" s="1"/>
  <c r="S141" i="13"/>
  <c r="U141" i="13" s="1"/>
  <c r="P141" i="13"/>
  <c r="L141" i="13"/>
  <c r="M141" i="13" s="1"/>
  <c r="H141" i="13"/>
  <c r="AL133" i="13"/>
  <c r="AJ133" i="13"/>
  <c r="AH133" i="13"/>
  <c r="AE133" i="13"/>
  <c r="AD133" i="13"/>
  <c r="AC133" i="13"/>
  <c r="AB133" i="13"/>
  <c r="AA133" i="13"/>
  <c r="Y133" i="13"/>
  <c r="X133" i="13"/>
  <c r="S133" i="13"/>
  <c r="T133" i="13" s="1"/>
  <c r="P133" i="13"/>
  <c r="L133" i="13"/>
  <c r="M133" i="13" s="1"/>
  <c r="H133" i="13"/>
  <c r="AL142" i="13"/>
  <c r="AJ142" i="13"/>
  <c r="AH142" i="13"/>
  <c r="AE142" i="13"/>
  <c r="AD142" i="13"/>
  <c r="AC142" i="13"/>
  <c r="AB142" i="13"/>
  <c r="AA142" i="13"/>
  <c r="Y142" i="13"/>
  <c r="X142" i="13"/>
  <c r="S142" i="13"/>
  <c r="U142" i="13" s="1"/>
  <c r="P142" i="13"/>
  <c r="L142" i="13"/>
  <c r="M142" i="13" s="1"/>
  <c r="H142" i="13"/>
  <c r="AL156" i="13"/>
  <c r="AJ156" i="13"/>
  <c r="AH156" i="13"/>
  <c r="AE156" i="13"/>
  <c r="AD156" i="13"/>
  <c r="AF156" i="13" s="1"/>
  <c r="AC156" i="13"/>
  <c r="AB156" i="13"/>
  <c r="AA156" i="13"/>
  <c r="Y156" i="13"/>
  <c r="X156" i="13"/>
  <c r="S156" i="13"/>
  <c r="U156" i="13" s="1"/>
  <c r="P156" i="13"/>
  <c r="L156" i="13"/>
  <c r="M156" i="13" s="1"/>
  <c r="H156" i="13"/>
  <c r="AL121" i="13"/>
  <c r="AJ121" i="13"/>
  <c r="AH121" i="13"/>
  <c r="AE121" i="13"/>
  <c r="AD121" i="13"/>
  <c r="AC121" i="13"/>
  <c r="AB121" i="13"/>
  <c r="AA121" i="13"/>
  <c r="Y121" i="13"/>
  <c r="X121" i="13"/>
  <c r="S121" i="13"/>
  <c r="U121" i="13" s="1"/>
  <c r="P121" i="13"/>
  <c r="L121" i="13"/>
  <c r="M121" i="13" s="1"/>
  <c r="H121" i="13"/>
  <c r="AL129" i="13"/>
  <c r="AJ129" i="13"/>
  <c r="AH129" i="13"/>
  <c r="AE129" i="13"/>
  <c r="AD129" i="13"/>
  <c r="AC129" i="13"/>
  <c r="AB129" i="13"/>
  <c r="AA129" i="13"/>
  <c r="Y129" i="13"/>
  <c r="X129" i="13"/>
  <c r="S129" i="13"/>
  <c r="T129" i="13" s="1"/>
  <c r="P129" i="13"/>
  <c r="L129" i="13"/>
  <c r="M129" i="13" s="1"/>
  <c r="H129" i="13"/>
  <c r="AL143" i="13"/>
  <c r="AJ143" i="13"/>
  <c r="AH143" i="13"/>
  <c r="AE143" i="13"/>
  <c r="AD143" i="13"/>
  <c r="AC143" i="13"/>
  <c r="AB143" i="13"/>
  <c r="AA143" i="13"/>
  <c r="Y143" i="13"/>
  <c r="X143" i="13"/>
  <c r="S143" i="13"/>
  <c r="U143" i="13" s="1"/>
  <c r="P143" i="13"/>
  <c r="L143" i="13"/>
  <c r="M143" i="13" s="1"/>
  <c r="H143" i="13"/>
  <c r="AL155" i="13"/>
  <c r="AJ155" i="13"/>
  <c r="AH155" i="13"/>
  <c r="AE155" i="13"/>
  <c r="AD155" i="13"/>
  <c r="AF155" i="13" s="1"/>
  <c r="AC155" i="13"/>
  <c r="AB155" i="13"/>
  <c r="AA155" i="13"/>
  <c r="Y155" i="13"/>
  <c r="X155" i="13"/>
  <c r="S155" i="13"/>
  <c r="T155" i="13" s="1"/>
  <c r="P155" i="13"/>
  <c r="L155" i="13"/>
  <c r="M155" i="13" s="1"/>
  <c r="H155" i="13"/>
  <c r="AL135" i="13"/>
  <c r="AJ135" i="13"/>
  <c r="AH135" i="13"/>
  <c r="AE135" i="13"/>
  <c r="AD135" i="13"/>
  <c r="AC135" i="13"/>
  <c r="AB135" i="13"/>
  <c r="AA135" i="13"/>
  <c r="Y135" i="13"/>
  <c r="X135" i="13"/>
  <c r="S135" i="13"/>
  <c r="U135" i="13" s="1"/>
  <c r="P135" i="13"/>
  <c r="L135" i="13"/>
  <c r="M135" i="13" s="1"/>
  <c r="H135" i="13"/>
  <c r="M9" i="8"/>
  <c r="M10" i="8"/>
  <c r="M11" i="8"/>
  <c r="M12" i="8"/>
  <c r="L9" i="8"/>
  <c r="L10" i="8"/>
  <c r="M22" i="8"/>
  <c r="M23" i="8"/>
  <c r="L22" i="8"/>
  <c r="L23" i="8"/>
  <c r="L19" i="8"/>
  <c r="L15" i="8"/>
  <c r="L11" i="8"/>
  <c r="L4" i="8"/>
  <c r="L5" i="8"/>
  <c r="L7" i="8"/>
  <c r="L8" i="8"/>
  <c r="L12" i="8"/>
  <c r="L13" i="8"/>
  <c r="L14" i="8"/>
  <c r="L16" i="8"/>
  <c r="L17" i="8"/>
  <c r="L18" i="8"/>
  <c r="L20" i="8"/>
  <c r="L3" i="8"/>
  <c r="Z62" i="13" l="1"/>
  <c r="Z109" i="13"/>
  <c r="Z92" i="13"/>
  <c r="Z126" i="13"/>
  <c r="Z106" i="13"/>
  <c r="AF43" i="13"/>
  <c r="AG43" i="13" s="1"/>
  <c r="Z56" i="13"/>
  <c r="Z3" i="13"/>
  <c r="Z81" i="13"/>
  <c r="Z39" i="13"/>
  <c r="S82" i="13"/>
  <c r="T82" i="13" s="1"/>
  <c r="Z122" i="13"/>
  <c r="S100" i="13"/>
  <c r="AN36" i="13"/>
  <c r="Z118" i="13"/>
  <c r="AF25" i="13"/>
  <c r="AG25" i="13" s="1"/>
  <c r="Z155" i="13"/>
  <c r="Z156" i="13"/>
  <c r="Z146" i="13"/>
  <c r="Z99" i="13"/>
  <c r="Z21" i="13"/>
  <c r="Z30" i="13"/>
  <c r="Z132" i="13"/>
  <c r="Z29" i="13"/>
  <c r="Z113" i="13"/>
  <c r="Z119" i="13"/>
  <c r="Z82" i="13"/>
  <c r="Z10" i="13"/>
  <c r="Z80" i="13"/>
  <c r="S27" i="13"/>
  <c r="T27" i="13" s="1"/>
  <c r="Z133" i="13"/>
  <c r="Z130" i="13"/>
  <c r="Z150" i="13"/>
  <c r="Z152" i="13"/>
  <c r="Z14" i="13"/>
  <c r="Z96" i="13"/>
  <c r="Z8" i="13"/>
  <c r="Z147" i="13"/>
  <c r="Z48" i="13"/>
  <c r="AM145" i="13"/>
  <c r="AN145" i="13" s="1"/>
  <c r="Z64" i="13"/>
  <c r="Z6" i="13"/>
  <c r="Z101" i="13"/>
  <c r="Z131" i="13"/>
  <c r="Z104" i="13"/>
  <c r="Z63" i="13"/>
  <c r="Z33" i="13"/>
  <c r="Z34" i="13"/>
  <c r="Z41" i="13"/>
  <c r="Z134" i="13"/>
  <c r="Z27" i="13"/>
  <c r="Z127" i="13"/>
  <c r="Z86" i="13"/>
  <c r="AF9" i="13"/>
  <c r="AG9" i="13" s="1"/>
  <c r="M157" i="13"/>
  <c r="Z129" i="13"/>
  <c r="Z16" i="13"/>
  <c r="Z2" i="13"/>
  <c r="S107" i="13"/>
  <c r="T107" i="13" s="1"/>
  <c r="AM42" i="13"/>
  <c r="AN42" i="13" s="1"/>
  <c r="Z54" i="13"/>
  <c r="Z5" i="13"/>
  <c r="Z143" i="13"/>
  <c r="Z142" i="13"/>
  <c r="Z102" i="13"/>
  <c r="Z149" i="13"/>
  <c r="Z154" i="13"/>
  <c r="Z157" i="13"/>
  <c r="Z51" i="13"/>
  <c r="Z15" i="13"/>
  <c r="Z74" i="13"/>
  <c r="Z32" i="13"/>
  <c r="Z144" i="13"/>
  <c r="Z25" i="13"/>
  <c r="Z9" i="13"/>
  <c r="Z107" i="13"/>
  <c r="Z20" i="13"/>
  <c r="Z112" i="13"/>
  <c r="AM81" i="13"/>
  <c r="AN81" i="13" s="1"/>
  <c r="AK64" i="13"/>
  <c r="Z100" i="13"/>
  <c r="AM121" i="13"/>
  <c r="AN121" i="13" s="1"/>
  <c r="AF138" i="13"/>
  <c r="AG138" i="13" s="1"/>
  <c r="S36" i="13"/>
  <c r="T36" i="13" s="1"/>
  <c r="Z36" i="13"/>
  <c r="Z42" i="13"/>
  <c r="Z145" i="13"/>
  <c r="Z121" i="13"/>
  <c r="S54" i="13"/>
  <c r="T54" i="13" s="1"/>
  <c r="S5" i="13"/>
  <c r="T108" i="13"/>
  <c r="AK145" i="13"/>
  <c r="S147" i="13"/>
  <c r="T147" i="13" s="1"/>
  <c r="AF2" i="13"/>
  <c r="AG2" i="13" s="1"/>
  <c r="AK2" i="13"/>
  <c r="AM128" i="13"/>
  <c r="AN128" i="13" s="1"/>
  <c r="T38" i="13"/>
  <c r="AF102" i="13"/>
  <c r="AF145" i="13"/>
  <c r="AG145" i="13" s="1"/>
  <c r="AF154" i="13"/>
  <c r="AG154" i="13" s="1"/>
  <c r="U70" i="13"/>
  <c r="AM150" i="13"/>
  <c r="AN150" i="13" s="1"/>
  <c r="AF3" i="13"/>
  <c r="AG3" i="13" s="1"/>
  <c r="AF126" i="13"/>
  <c r="AG126" i="13" s="1"/>
  <c r="AF93" i="13"/>
  <c r="AM155" i="13"/>
  <c r="AN155" i="13" s="1"/>
  <c r="AM129" i="13"/>
  <c r="AN129" i="13" s="1"/>
  <c r="AM133" i="13"/>
  <c r="AN133" i="13" s="1"/>
  <c r="AK6" i="13"/>
  <c r="AF51" i="13"/>
  <c r="AG51" i="13" s="1"/>
  <c r="AM62" i="13"/>
  <c r="AN62" i="13" s="1"/>
  <c r="AM109" i="13"/>
  <c r="AN109" i="13" s="1"/>
  <c r="AM126" i="13"/>
  <c r="AN126" i="13" s="1"/>
  <c r="S128" i="13"/>
  <c r="T128" i="13" s="1"/>
  <c r="AM93" i="13"/>
  <c r="AN93" i="13" s="1"/>
  <c r="S136" i="13"/>
  <c r="U136" i="13" s="1"/>
  <c r="AM41" i="13"/>
  <c r="AN41" i="13" s="1"/>
  <c r="AF124" i="13"/>
  <c r="AG124" i="13" s="1"/>
  <c r="AM48" i="13"/>
  <c r="AN48" i="13" s="1"/>
  <c r="AF100" i="13"/>
  <c r="AG100" i="13" s="1"/>
  <c r="AF5" i="13"/>
  <c r="AG5" i="13" s="1"/>
  <c r="U114" i="13"/>
  <c r="T95" i="13"/>
  <c r="AF52" i="13"/>
  <c r="AG52" i="13" s="1"/>
  <c r="S74" i="13"/>
  <c r="T74" i="13" s="1"/>
  <c r="AF74" i="13"/>
  <c r="AG74" i="13" s="1"/>
  <c r="S146" i="13"/>
  <c r="T146" i="13" s="1"/>
  <c r="AF146" i="13"/>
  <c r="AG146" i="13" s="1"/>
  <c r="AM32" i="13"/>
  <c r="AN32" i="13" s="1"/>
  <c r="S21" i="13"/>
  <c r="T21" i="13" s="1"/>
  <c r="AM9" i="13"/>
  <c r="AN9" i="13" s="1"/>
  <c r="AK135" i="13"/>
  <c r="T102" i="13"/>
  <c r="AM157" i="13"/>
  <c r="AN157" i="13" s="1"/>
  <c r="AK8" i="13"/>
  <c r="S45" i="13"/>
  <c r="T45" i="13" s="1"/>
  <c r="M39" i="13"/>
  <c r="AF39" i="13"/>
  <c r="AF143" i="13"/>
  <c r="AG143" i="13" s="1"/>
  <c r="AK148" i="13"/>
  <c r="AF153" i="13"/>
  <c r="AG153" i="13" s="1"/>
  <c r="AF152" i="13"/>
  <c r="AG152" i="13" s="1"/>
  <c r="AF14" i="13"/>
  <c r="AG14" i="13" s="1"/>
  <c r="S62" i="13"/>
  <c r="T62" i="13" s="1"/>
  <c r="AM132" i="13"/>
  <c r="AN132" i="13" s="1"/>
  <c r="S92" i="13"/>
  <c r="T92" i="13" s="1"/>
  <c r="AF122" i="13"/>
  <c r="AG122" i="13" s="1"/>
  <c r="AF15" i="13"/>
  <c r="AG15" i="13" s="1"/>
  <c r="AM146" i="13"/>
  <c r="AN146" i="13" s="1"/>
  <c r="AM99" i="13"/>
  <c r="AN99" i="13" s="1"/>
  <c r="AM120" i="13"/>
  <c r="AN120" i="13" s="1"/>
  <c r="U150" i="13"/>
  <c r="M96" i="13"/>
  <c r="M6" i="13"/>
  <c r="M2" i="13"/>
  <c r="AM27" i="13"/>
  <c r="AN27" i="13" s="1"/>
  <c r="T89" i="13"/>
  <c r="T125" i="13"/>
  <c r="U11" i="13"/>
  <c r="T7" i="13"/>
  <c r="U24" i="13"/>
  <c r="T97" i="13"/>
  <c r="AF35" i="13"/>
  <c r="AG35" i="13" s="1"/>
  <c r="AM104" i="13"/>
  <c r="AN104" i="13" s="1"/>
  <c r="T148" i="13"/>
  <c r="AM130" i="13"/>
  <c r="AN130" i="13" s="1"/>
  <c r="AK142" i="13"/>
  <c r="AM153" i="13"/>
  <c r="AN153" i="13" s="1"/>
  <c r="T116" i="13"/>
  <c r="T154" i="13"/>
  <c r="AK14" i="13"/>
  <c r="AF147" i="13"/>
  <c r="AG147" i="13" s="1"/>
  <c r="AK77" i="13"/>
  <c r="AM34" i="13"/>
  <c r="AN34" i="13" s="1"/>
  <c r="AK16" i="13"/>
  <c r="U26" i="13"/>
  <c r="T76" i="13"/>
  <c r="T49" i="13"/>
  <c r="AM74" i="13"/>
  <c r="AN74" i="13" s="1"/>
  <c r="S144" i="13"/>
  <c r="T144" i="13" s="1"/>
  <c r="AM21" i="13"/>
  <c r="AN21" i="13" s="1"/>
  <c r="AK143" i="13"/>
  <c r="AF142" i="13"/>
  <c r="AG142" i="13" s="1"/>
  <c r="AK141" i="13"/>
  <c r="AM148" i="13"/>
  <c r="AN148" i="13" s="1"/>
  <c r="AK116" i="13"/>
  <c r="M14" i="13"/>
  <c r="M77" i="13"/>
  <c r="AF77" i="13"/>
  <c r="AG77" i="13" s="1"/>
  <c r="AM16" i="13"/>
  <c r="AN16" i="13" s="1"/>
  <c r="S12" i="13"/>
  <c r="U12" i="13" s="1"/>
  <c r="AF62" i="13"/>
  <c r="AG62" i="13" s="1"/>
  <c r="AF109" i="13"/>
  <c r="AG109" i="13" s="1"/>
  <c r="AF137" i="13"/>
  <c r="AG137" i="13" s="1"/>
  <c r="AF120" i="13"/>
  <c r="AG120" i="13" s="1"/>
  <c r="AM113" i="13"/>
  <c r="AN113" i="13" s="1"/>
  <c r="AM119" i="13"/>
  <c r="AN119" i="13" s="1"/>
  <c r="AF106" i="13"/>
  <c r="AG106" i="13" s="1"/>
  <c r="AF41" i="13"/>
  <c r="AG41" i="13" s="1"/>
  <c r="AM122" i="13"/>
  <c r="AN122" i="13" s="1"/>
  <c r="S124" i="13"/>
  <c r="T124" i="13" s="1"/>
  <c r="AM10" i="13"/>
  <c r="AN10" i="13" s="1"/>
  <c r="AM20" i="13"/>
  <c r="AN20" i="13" s="1"/>
  <c r="AF127" i="13"/>
  <c r="AG127" i="13" s="1"/>
  <c r="AF112" i="13"/>
  <c r="AG112" i="13" s="1"/>
  <c r="AM86" i="13"/>
  <c r="T151" i="13"/>
  <c r="U40" i="13"/>
  <c r="AF115" i="13"/>
  <c r="AG115" i="13" s="1"/>
  <c r="AF99" i="13"/>
  <c r="AG99" i="13" s="1"/>
  <c r="AF31" i="13"/>
  <c r="AG31" i="13" s="1"/>
  <c r="S25" i="13"/>
  <c r="T25" i="13" s="1"/>
  <c r="AM138" i="13"/>
  <c r="AN138" i="13" s="1"/>
  <c r="AM30" i="13"/>
  <c r="AN30" i="13" s="1"/>
  <c r="S9" i="13"/>
  <c r="T9" i="13" s="1"/>
  <c r="AF36" i="13"/>
  <c r="AG36" i="13" s="1"/>
  <c r="AM135" i="13"/>
  <c r="AN135" i="13" s="1"/>
  <c r="U155" i="13"/>
  <c r="AK155" i="13"/>
  <c r="AF121" i="13"/>
  <c r="AG121" i="13" s="1"/>
  <c r="T156" i="13"/>
  <c r="T142" i="13"/>
  <c r="AF141" i="13"/>
  <c r="AG141" i="13" s="1"/>
  <c r="AK102" i="13"/>
  <c r="AK118" i="13"/>
  <c r="AK153" i="13"/>
  <c r="AM149" i="13"/>
  <c r="AN149" i="13" s="1"/>
  <c r="AK149" i="13"/>
  <c r="AF116" i="13"/>
  <c r="AG116" i="13" s="1"/>
  <c r="AM116" i="13"/>
  <c r="AN116" i="13" s="1"/>
  <c r="AM154" i="13"/>
  <c r="AN154" i="13" s="1"/>
  <c r="M147" i="13"/>
  <c r="AM147" i="13"/>
  <c r="AN147" i="13" s="1"/>
  <c r="M81" i="13"/>
  <c r="AF64" i="13"/>
  <c r="AG64" i="13" s="1"/>
  <c r="S34" i="13"/>
  <c r="U34" i="13" s="1"/>
  <c r="AM2" i="13"/>
  <c r="AF135" i="13"/>
  <c r="AG135" i="13" s="1"/>
  <c r="AK121" i="13"/>
  <c r="AK156" i="13"/>
  <c r="AM142" i="13"/>
  <c r="AN142" i="13" s="1"/>
  <c r="AF148" i="13"/>
  <c r="AG148" i="13" s="1"/>
  <c r="AM118" i="13"/>
  <c r="AN118" i="13" s="1"/>
  <c r="AF149" i="13"/>
  <c r="AG149" i="13" s="1"/>
  <c r="AF96" i="13"/>
  <c r="AG96" i="13" s="1"/>
  <c r="M34" i="13"/>
  <c r="AG102" i="13"/>
  <c r="T143" i="13"/>
  <c r="AG156" i="13"/>
  <c r="AM156" i="13"/>
  <c r="AN156" i="13" s="1"/>
  <c r="U133" i="13"/>
  <c r="AM141" i="13"/>
  <c r="AN141" i="13" s="1"/>
  <c r="AF118" i="13"/>
  <c r="AG118" i="13" s="1"/>
  <c r="T153" i="13"/>
  <c r="T149" i="13"/>
  <c r="AK154" i="13"/>
  <c r="AM152" i="13"/>
  <c r="AN152" i="13" s="1"/>
  <c r="AK157" i="13"/>
  <c r="AM96" i="13"/>
  <c r="AN96" i="13" s="1"/>
  <c r="AF45" i="13"/>
  <c r="AG45" i="13" s="1"/>
  <c r="AF12" i="13"/>
  <c r="AG12" i="13" s="1"/>
  <c r="S73" i="13"/>
  <c r="T73" i="13" s="1"/>
  <c r="AG93" i="13"/>
  <c r="AF13" i="13"/>
  <c r="AG13" i="13" s="1"/>
  <c r="U59" i="13"/>
  <c r="T117" i="13"/>
  <c r="AM101" i="13"/>
  <c r="AN101" i="13" s="1"/>
  <c r="AF21" i="13"/>
  <c r="AG21" i="13" s="1"/>
  <c r="AF111" i="13"/>
  <c r="AG111" i="13" s="1"/>
  <c r="AF92" i="13"/>
  <c r="AG92" i="13" s="1"/>
  <c r="AF128" i="13"/>
  <c r="AG128" i="13" s="1"/>
  <c r="AF136" i="13"/>
  <c r="AG136" i="13" s="1"/>
  <c r="AF82" i="13"/>
  <c r="AG82" i="13" s="1"/>
  <c r="AF80" i="13"/>
  <c r="AG80" i="13" s="1"/>
  <c r="AF54" i="13"/>
  <c r="AG54" i="13" s="1"/>
  <c r="AM15" i="13"/>
  <c r="AN15" i="13" s="1"/>
  <c r="AM52" i="13"/>
  <c r="AN52" i="13" s="1"/>
  <c r="AF68" i="13"/>
  <c r="AG68" i="13" s="1"/>
  <c r="S32" i="13"/>
  <c r="T32" i="13" s="1"/>
  <c r="S99" i="13"/>
  <c r="T99" i="13" s="1"/>
  <c r="AM63" i="13"/>
  <c r="AN63" i="13" s="1"/>
  <c r="AM25" i="13"/>
  <c r="AN25" i="13" s="1"/>
  <c r="AF30" i="13"/>
  <c r="AG30" i="13" s="1"/>
  <c r="AM29" i="13"/>
  <c r="AN29" i="13" s="1"/>
  <c r="AM73" i="13"/>
  <c r="AN73" i="13" s="1"/>
  <c r="AM33" i="13"/>
  <c r="AN33" i="13" s="1"/>
  <c r="AF132" i="13"/>
  <c r="AG132" i="13" s="1"/>
  <c r="AF73" i="13"/>
  <c r="AG73" i="13" s="1"/>
  <c r="AF113" i="13"/>
  <c r="AG113" i="13" s="1"/>
  <c r="AM82" i="13"/>
  <c r="AN82" i="13" s="1"/>
  <c r="AM127" i="13"/>
  <c r="AN127" i="13" s="1"/>
  <c r="T110" i="13"/>
  <c r="U71" i="13"/>
  <c r="T69" i="13"/>
  <c r="U90" i="13"/>
  <c r="T28" i="13"/>
  <c r="U85" i="13"/>
  <c r="T72" i="13"/>
  <c r="S15" i="13"/>
  <c r="T15" i="13" s="1"/>
  <c r="S52" i="13"/>
  <c r="T52" i="13" s="1"/>
  <c r="AM131" i="13"/>
  <c r="AN131" i="13" s="1"/>
  <c r="U129" i="13"/>
  <c r="U130" i="13"/>
  <c r="AM3" i="13"/>
  <c r="AN3" i="13" s="1"/>
  <c r="AK147" i="13"/>
  <c r="AK96" i="13"/>
  <c r="AG39" i="13"/>
  <c r="AK39" i="13"/>
  <c r="AG155" i="13"/>
  <c r="AK129" i="13"/>
  <c r="T121" i="13"/>
  <c r="AF133" i="13"/>
  <c r="AG133" i="13" s="1"/>
  <c r="AK130" i="13"/>
  <c r="T118" i="13"/>
  <c r="AF150" i="13"/>
  <c r="AG150" i="13" s="1"/>
  <c r="AK152" i="13"/>
  <c r="AM8" i="13"/>
  <c r="AN8" i="13" s="1"/>
  <c r="M3" i="13"/>
  <c r="S3" i="13"/>
  <c r="U3" i="13" s="1"/>
  <c r="S96" i="13"/>
  <c r="U96" i="13" s="1"/>
  <c r="AF81" i="13"/>
  <c r="AG81" i="13" s="1"/>
  <c r="M64" i="13"/>
  <c r="M16" i="13"/>
  <c r="AM39" i="13"/>
  <c r="AN39" i="13" s="1"/>
  <c r="AM6" i="13"/>
  <c r="AN6" i="13" s="1"/>
  <c r="M12" i="13"/>
  <c r="AM12" i="13"/>
  <c r="AN12" i="13" s="1"/>
  <c r="T135" i="13"/>
  <c r="AM143" i="13"/>
  <c r="AN143" i="13" s="1"/>
  <c r="AF129" i="13"/>
  <c r="AG129" i="13" s="1"/>
  <c r="AK133" i="13"/>
  <c r="T141" i="13"/>
  <c r="AM102" i="13"/>
  <c r="AN102" i="13" s="1"/>
  <c r="AF130" i="13"/>
  <c r="AG130" i="13" s="1"/>
  <c r="AK150" i="13"/>
  <c r="T145" i="13"/>
  <c r="T152" i="13"/>
  <c r="AF157" i="13"/>
  <c r="AG157" i="13" s="1"/>
  <c r="M8" i="13"/>
  <c r="AF8" i="13"/>
  <c r="AG8" i="13" s="1"/>
  <c r="S14" i="13"/>
  <c r="T14" i="13" s="1"/>
  <c r="AM14" i="13"/>
  <c r="AN14" i="13" s="1"/>
  <c r="T3" i="13"/>
  <c r="AK81" i="13"/>
  <c r="S77" i="13"/>
  <c r="U77" i="13" s="1"/>
  <c r="AK45" i="13"/>
  <c r="AK34" i="13"/>
  <c r="AF16" i="13"/>
  <c r="AG16" i="13" s="1"/>
  <c r="AF6" i="13"/>
  <c r="AG6" i="13" s="1"/>
  <c r="S2" i="13"/>
  <c r="U2" i="13" s="1"/>
  <c r="S137" i="13"/>
  <c r="T137" i="13" s="1"/>
  <c r="AF29" i="13"/>
  <c r="AG29" i="13" s="1"/>
  <c r="U128" i="13"/>
  <c r="S119" i="13"/>
  <c r="T119" i="13" s="1"/>
  <c r="AF119" i="13"/>
  <c r="AG119" i="13" s="1"/>
  <c r="AM134" i="13"/>
  <c r="AN134" i="13" s="1"/>
  <c r="AF10" i="13"/>
  <c r="AG10" i="13" s="1"/>
  <c r="AM56" i="13"/>
  <c r="AN56" i="13" s="1"/>
  <c r="AM107" i="13"/>
  <c r="AN107" i="13" s="1"/>
  <c r="AF48" i="13"/>
  <c r="AG48" i="13" s="1"/>
  <c r="S20" i="13"/>
  <c r="AM54" i="13"/>
  <c r="AN54" i="13" s="1"/>
  <c r="U100" i="13"/>
  <c r="T5" i="13"/>
  <c r="AM37" i="13"/>
  <c r="AN37" i="13" s="1"/>
  <c r="AM136" i="13"/>
  <c r="AN136" i="13" s="1"/>
  <c r="AF27" i="13"/>
  <c r="AG27" i="13" s="1"/>
  <c r="AF20" i="13"/>
  <c r="AG20" i="13" s="1"/>
  <c r="U5" i="13"/>
  <c r="AF86" i="13"/>
  <c r="AG86" i="13" s="1"/>
  <c r="AM137" i="13"/>
  <c r="AN137" i="13" s="1"/>
  <c r="AF134" i="13"/>
  <c r="AG134" i="13" s="1"/>
  <c r="S10" i="13"/>
  <c r="T10" i="13" s="1"/>
  <c r="U27" i="13"/>
  <c r="U54" i="13"/>
  <c r="AM100" i="13"/>
  <c r="AN100" i="13" s="1"/>
  <c r="S51" i="13"/>
  <c r="T51" i="13" s="1"/>
  <c r="S109" i="13"/>
  <c r="T109" i="13" s="1"/>
  <c r="AF37" i="13"/>
  <c r="AG37" i="13" s="1"/>
  <c r="AM92" i="13"/>
  <c r="AN92" i="13" s="1"/>
  <c r="AM106" i="13"/>
  <c r="AN106" i="13" s="1"/>
  <c r="AM124" i="13"/>
  <c r="AN124" i="13" s="1"/>
  <c r="S56" i="13"/>
  <c r="U56" i="13" s="1"/>
  <c r="AF56" i="13"/>
  <c r="AG56" i="13" s="1"/>
  <c r="AM80" i="13"/>
  <c r="AN80" i="13" s="1"/>
  <c r="AF107" i="13"/>
  <c r="AG107" i="13" s="1"/>
  <c r="AF42" i="13"/>
  <c r="AG42" i="13" s="1"/>
  <c r="T100" i="13"/>
  <c r="AM112" i="13"/>
  <c r="AN112" i="13" s="1"/>
  <c r="AM5" i="13"/>
  <c r="AN5" i="13" s="1"/>
  <c r="U67" i="13"/>
  <c r="U18" i="13"/>
  <c r="U60" i="13"/>
  <c r="U98" i="13"/>
  <c r="AG32" i="13"/>
  <c r="AM144" i="13"/>
  <c r="AN144" i="13" s="1"/>
  <c r="U87" i="13"/>
  <c r="U105" i="13"/>
  <c r="U91" i="13"/>
  <c r="U55" i="13"/>
  <c r="U58" i="13"/>
  <c r="U61" i="13"/>
  <c r="U4" i="13"/>
  <c r="U94" i="13"/>
  <c r="U47" i="13"/>
  <c r="U50" i="13"/>
  <c r="U65" i="13"/>
  <c r="U23" i="13"/>
  <c r="T22" i="13"/>
  <c r="T19" i="13"/>
  <c r="S35" i="13"/>
  <c r="T35" i="13" s="1"/>
  <c r="S101" i="13"/>
  <c r="T101" i="13" s="1"/>
  <c r="AF101" i="13"/>
  <c r="AG101" i="13" s="1"/>
  <c r="AM68" i="13"/>
  <c r="AN68" i="13" s="1"/>
  <c r="U146" i="13"/>
  <c r="S115" i="13"/>
  <c r="T115" i="13" s="1"/>
  <c r="S104" i="13"/>
  <c r="T104" i="13" s="1"/>
  <c r="AF104" i="13"/>
  <c r="AG104" i="13" s="1"/>
  <c r="AM31" i="13"/>
  <c r="AN31" i="13" s="1"/>
  <c r="U21" i="13"/>
  <c r="S33" i="13"/>
  <c r="T33" i="13" s="1"/>
  <c r="AF33" i="13"/>
  <c r="AG33" i="13" s="1"/>
  <c r="AG144" i="13"/>
  <c r="AM35" i="13"/>
  <c r="AN35" i="13" s="1"/>
  <c r="S68" i="13"/>
  <c r="T68" i="13" s="1"/>
  <c r="S131" i="13"/>
  <c r="T131" i="13" s="1"/>
  <c r="AF131" i="13"/>
  <c r="AG131" i="13" s="1"/>
  <c r="AM115" i="13"/>
  <c r="AN115" i="13" s="1"/>
  <c r="S31" i="13"/>
  <c r="T31" i="13" s="1"/>
  <c r="S63" i="13"/>
  <c r="T63" i="13" s="1"/>
  <c r="AF63" i="13"/>
  <c r="AG63" i="13" s="1"/>
  <c r="AM111" i="13"/>
  <c r="AN111" i="13" s="1"/>
  <c r="S157" i="13"/>
  <c r="U157" i="13" s="1"/>
  <c r="S81" i="13"/>
  <c r="T81" i="13" s="1"/>
  <c r="AM64" i="13"/>
  <c r="AN64" i="13" s="1"/>
  <c r="AM77" i="13"/>
  <c r="AN77" i="13" s="1"/>
  <c r="M45" i="13"/>
  <c r="S8" i="13"/>
  <c r="U8" i="13" s="1"/>
  <c r="S64" i="13"/>
  <c r="U64" i="13" s="1"/>
  <c r="AM45" i="13"/>
  <c r="AN45" i="13" s="1"/>
  <c r="S16" i="13"/>
  <c r="U16" i="13" s="1"/>
  <c r="S6" i="13"/>
  <c r="U6" i="13" s="1"/>
  <c r="Z135" i="13"/>
  <c r="AF34" i="13"/>
  <c r="AG34" i="13" s="1"/>
  <c r="S39" i="13"/>
  <c r="T39" i="13" s="1"/>
  <c r="U73" i="13"/>
  <c r="T56" i="13"/>
  <c r="S132" i="13"/>
  <c r="T132" i="13" s="1"/>
  <c r="S37" i="13"/>
  <c r="T37" i="13" s="1"/>
  <c r="S29" i="13"/>
  <c r="T29" i="13" s="1"/>
  <c r="S120" i="13"/>
  <c r="T120" i="13" s="1"/>
  <c r="S113" i="13"/>
  <c r="T113" i="13" s="1"/>
  <c r="S13" i="13"/>
  <c r="T13" i="13" s="1"/>
  <c r="S48" i="13"/>
  <c r="T48" i="13" s="1"/>
  <c r="S126" i="13"/>
  <c r="T126" i="13" s="1"/>
  <c r="S93" i="13"/>
  <c r="T93" i="13" s="1"/>
  <c r="S106" i="13"/>
  <c r="T106" i="13" s="1"/>
  <c r="S41" i="13"/>
  <c r="T41" i="13" s="1"/>
  <c r="S122" i="13"/>
  <c r="U122" i="13" s="1"/>
  <c r="S134" i="13"/>
  <c r="U134" i="13" s="1"/>
  <c r="S43" i="13"/>
  <c r="U43" i="13" s="1"/>
  <c r="S80" i="13"/>
  <c r="U80" i="13" s="1"/>
  <c r="S42" i="13"/>
  <c r="U42" i="13" s="1"/>
  <c r="T66" i="13"/>
  <c r="T44" i="13"/>
  <c r="S127" i="13"/>
  <c r="U127" i="13" s="1"/>
  <c r="S112" i="13"/>
  <c r="U112" i="13" s="1"/>
  <c r="S86" i="13"/>
  <c r="U86" i="13" s="1"/>
  <c r="U17" i="13"/>
  <c r="U123" i="13"/>
  <c r="T123" i="13"/>
  <c r="U74" i="13"/>
  <c r="U144" i="13"/>
  <c r="U36" i="13"/>
  <c r="T103" i="13"/>
  <c r="T140" i="13"/>
  <c r="T46" i="13"/>
  <c r="T83" i="13"/>
  <c r="T88" i="13"/>
  <c r="T75" i="13"/>
  <c r="T78" i="13"/>
  <c r="T79" i="13"/>
  <c r="T84" i="13"/>
  <c r="T139" i="13"/>
  <c r="T57" i="13"/>
  <c r="S138" i="13"/>
  <c r="T138" i="13" s="1"/>
  <c r="S30" i="13"/>
  <c r="T30" i="13" s="1"/>
  <c r="S111" i="13"/>
  <c r="T111" i="13" s="1"/>
  <c r="M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L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N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M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U99" i="13" l="1"/>
  <c r="AN2" i="13"/>
  <c r="AX8" i="13" s="1"/>
  <c r="AY8" i="13"/>
  <c r="AN86" i="13"/>
  <c r="AX9" i="13" s="1"/>
  <c r="AY9" i="13"/>
  <c r="U82" i="13"/>
  <c r="U137" i="13"/>
  <c r="U32" i="13"/>
  <c r="U107" i="13"/>
  <c r="T34" i="13"/>
  <c r="U63" i="13"/>
  <c r="U25" i="13"/>
  <c r="U31" i="13"/>
  <c r="T96" i="13"/>
  <c r="T12" i="13"/>
  <c r="U52" i="13"/>
  <c r="U68" i="13"/>
  <c r="U115" i="13"/>
  <c r="U15" i="13"/>
  <c r="T136" i="13"/>
  <c r="U147" i="13"/>
  <c r="U131" i="13"/>
  <c r="T2" i="13"/>
  <c r="U92" i="13"/>
  <c r="U62" i="13"/>
  <c r="T6" i="13"/>
  <c r="U45" i="13"/>
  <c r="T77" i="13"/>
  <c r="U119" i="13"/>
  <c r="U111" i="13"/>
  <c r="U48" i="13"/>
  <c r="U9" i="13"/>
  <c r="U104" i="13"/>
  <c r="U124" i="13"/>
  <c r="U132" i="13"/>
  <c r="U35" i="13"/>
  <c r="U33" i="13"/>
  <c r="U10" i="13"/>
  <c r="U101" i="13"/>
  <c r="U109" i="13"/>
  <c r="U20" i="13"/>
  <c r="T20" i="13"/>
  <c r="U51" i="13"/>
  <c r="U14" i="13"/>
  <c r="U30" i="13"/>
  <c r="U138" i="13"/>
  <c r="U113" i="13"/>
  <c r="T134" i="13"/>
  <c r="T80" i="13"/>
  <c r="U13" i="13"/>
  <c r="U126" i="13"/>
  <c r="U39" i="13"/>
  <c r="T16" i="13"/>
  <c r="T157" i="13"/>
  <c r="T127" i="13"/>
  <c r="T86" i="13"/>
  <c r="T42" i="13"/>
  <c r="T122" i="13"/>
  <c r="U106" i="13"/>
  <c r="U41" i="13"/>
  <c r="T43" i="13"/>
  <c r="U37" i="13"/>
  <c r="T64" i="13"/>
  <c r="U93" i="13"/>
  <c r="T8" i="13"/>
  <c r="U81" i="13"/>
  <c r="T112" i="13"/>
  <c r="U120" i="13"/>
  <c r="U29" i="13"/>
  <c r="M19" i="8" l="1"/>
  <c r="M20" i="8"/>
  <c r="P12" i="8"/>
  <c r="O23" i="8"/>
  <c r="P23" i="8" s="1"/>
  <c r="O22" i="8"/>
  <c r="P22" i="8" s="1"/>
  <c r="O20" i="8"/>
  <c r="P20" i="8" s="1"/>
  <c r="O19" i="8"/>
  <c r="P19" i="8" s="1"/>
  <c r="O18" i="8"/>
  <c r="P18" i="8" s="1"/>
  <c r="O17" i="8"/>
  <c r="P17" i="8" s="1"/>
  <c r="O16" i="8"/>
  <c r="P16" i="8" s="1"/>
  <c r="O15" i="8"/>
  <c r="P15" i="8" s="1"/>
  <c r="O14" i="8"/>
  <c r="P14" i="8" s="1"/>
  <c r="O13" i="8"/>
  <c r="P13" i="8" s="1"/>
  <c r="O11" i="8"/>
  <c r="P11" i="8" s="1"/>
  <c r="O10" i="8"/>
  <c r="P10" i="8" s="1"/>
  <c r="O9" i="8"/>
  <c r="P9" i="8" s="1"/>
  <c r="O8" i="8"/>
  <c r="P8" i="8" s="1"/>
  <c r="O7" i="8"/>
  <c r="P7" i="8" s="1"/>
  <c r="O5" i="8"/>
  <c r="P5" i="8" s="1"/>
  <c r="O4" i="8"/>
  <c r="P4" i="8" s="1"/>
  <c r="O3" i="8"/>
  <c r="P3" i="8" s="1"/>
  <c r="O2" i="8"/>
  <c r="P2" i="8" s="1"/>
  <c r="M3" i="8"/>
  <c r="M4" i="8"/>
  <c r="M5" i="8"/>
  <c r="M7" i="8"/>
  <c r="M8" i="8"/>
  <c r="M13" i="8"/>
  <c r="M14" i="8"/>
  <c r="M15" i="8"/>
  <c r="M16" i="8"/>
  <c r="M17" i="8"/>
  <c r="M18" i="8"/>
  <c r="L3" i="5" l="1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2" i="5"/>
  <c r="AE246" i="1" l="1"/>
  <c r="AE236" i="1" l="1"/>
  <c r="AB236" i="1" l="1"/>
  <c r="AA236" i="1"/>
  <c r="V236" i="1"/>
  <c r="Z236" i="1"/>
  <c r="Y236" i="1"/>
  <c r="X236" i="1"/>
  <c r="U236" i="1"/>
  <c r="AC236" i="1" l="1"/>
  <c r="AD236" i="1" s="1"/>
  <c r="AG245" i="1"/>
  <c r="AG244" i="1"/>
  <c r="AG243" i="1"/>
  <c r="AG242" i="1"/>
  <c r="AG241" i="1"/>
  <c r="AG240" i="1"/>
  <c r="AG239" i="1"/>
  <c r="AG238" i="1"/>
  <c r="AG237" i="1"/>
  <c r="AG235" i="1"/>
  <c r="AG234" i="1"/>
  <c r="AG233" i="1"/>
  <c r="AG232" i="1"/>
  <c r="AG231" i="1"/>
  <c r="AG230" i="1"/>
  <c r="AG229" i="1"/>
  <c r="AG228" i="1"/>
  <c r="AG227" i="1"/>
  <c r="AH227" i="1" l="1"/>
  <c r="AH228" i="1"/>
  <c r="AH229" i="1"/>
  <c r="AH230" i="1"/>
  <c r="AH231" i="1"/>
  <c r="AH232" i="1"/>
  <c r="AH233" i="1"/>
  <c r="AH234" i="1"/>
  <c r="AH235" i="1"/>
  <c r="AH237" i="1"/>
  <c r="AH238" i="1"/>
  <c r="AH239" i="1"/>
  <c r="AH240" i="1"/>
  <c r="AH241" i="1"/>
  <c r="AH242" i="1"/>
  <c r="AH243" i="1"/>
  <c r="AH244" i="1"/>
  <c r="AH245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B246" i="1" l="1"/>
  <c r="AB245" i="1"/>
  <c r="AB244" i="1"/>
  <c r="AB243" i="1"/>
  <c r="AB242" i="1"/>
  <c r="AB241" i="1"/>
  <c r="AB240" i="1"/>
  <c r="AB239" i="1"/>
  <c r="AB238" i="1"/>
  <c r="AB237" i="1"/>
  <c r="AB235" i="1"/>
  <c r="AB234" i="1"/>
  <c r="AB233" i="1"/>
  <c r="AB232" i="1"/>
  <c r="AB231" i="1"/>
  <c r="AB230" i="1"/>
  <c r="AB229" i="1"/>
  <c r="AB228" i="1"/>
  <c r="AB227" i="1"/>
  <c r="AA246" i="1"/>
  <c r="AA245" i="1"/>
  <c r="AA244" i="1"/>
  <c r="AA243" i="1"/>
  <c r="AA242" i="1"/>
  <c r="AA241" i="1"/>
  <c r="AA240" i="1"/>
  <c r="AA239" i="1"/>
  <c r="AA238" i="1"/>
  <c r="AA237" i="1"/>
  <c r="AA235" i="1"/>
  <c r="AA234" i="1"/>
  <c r="AA233" i="1"/>
  <c r="AA232" i="1"/>
  <c r="AA231" i="1"/>
  <c r="AA230" i="1"/>
  <c r="AA229" i="1"/>
  <c r="AA228" i="1"/>
  <c r="AA227" i="1"/>
  <c r="Z246" i="1"/>
  <c r="Z245" i="1"/>
  <c r="Z244" i="1"/>
  <c r="Z243" i="1"/>
  <c r="Z242" i="1"/>
  <c r="Z241" i="1"/>
  <c r="Z240" i="1"/>
  <c r="Z239" i="1"/>
  <c r="Z238" i="1"/>
  <c r="Z237" i="1"/>
  <c r="Z235" i="1"/>
  <c r="Z234" i="1"/>
  <c r="Z233" i="1"/>
  <c r="Z232" i="1"/>
  <c r="Z231" i="1"/>
  <c r="Z230" i="1"/>
  <c r="Z229" i="1"/>
  <c r="Z228" i="1"/>
  <c r="Z227" i="1"/>
  <c r="AG262" i="1" l="1"/>
  <c r="AH262" i="1" s="1"/>
  <c r="AG261" i="1"/>
  <c r="AH261" i="1" s="1"/>
  <c r="AG260" i="1"/>
  <c r="AH260" i="1" s="1"/>
  <c r="AG259" i="1"/>
  <c r="AH259" i="1" s="1"/>
  <c r="AG258" i="1"/>
  <c r="AH258" i="1" s="1"/>
  <c r="AG257" i="1"/>
  <c r="AH257" i="1" s="1"/>
  <c r="AG256" i="1"/>
  <c r="AH256" i="1" s="1"/>
  <c r="AG255" i="1"/>
  <c r="AH255" i="1" s="1"/>
  <c r="AG254" i="1"/>
  <c r="AH254" i="1" s="1"/>
  <c r="AG253" i="1"/>
  <c r="AH253" i="1" s="1"/>
  <c r="AG252" i="1"/>
  <c r="AH252" i="1" s="1"/>
  <c r="AG251" i="1"/>
  <c r="AH251" i="1" s="1"/>
  <c r="AG250" i="1"/>
  <c r="AH250" i="1" s="1"/>
  <c r="AG249" i="1"/>
  <c r="AH249" i="1" s="1"/>
  <c r="AG248" i="1"/>
  <c r="AH248" i="1" s="1"/>
  <c r="AG247" i="1"/>
  <c r="AH247" i="1" s="1"/>
  <c r="AG122" i="1"/>
  <c r="AH122" i="1" s="1"/>
  <c r="AG121" i="1"/>
  <c r="AH121" i="1" s="1"/>
  <c r="AG120" i="1"/>
  <c r="AH120" i="1" s="1"/>
  <c r="AG119" i="1"/>
  <c r="AH119" i="1" s="1"/>
  <c r="AG118" i="1"/>
  <c r="AH118" i="1" s="1"/>
  <c r="AG117" i="1"/>
  <c r="AH117" i="1" s="1"/>
  <c r="AG116" i="1"/>
  <c r="AH116" i="1" s="1"/>
  <c r="AG115" i="1"/>
  <c r="AH115" i="1" s="1"/>
  <c r="AG114" i="1"/>
  <c r="AH114" i="1" s="1"/>
  <c r="AG113" i="1"/>
  <c r="AH113" i="1" s="1"/>
  <c r="AG112" i="1"/>
  <c r="AH112" i="1" s="1"/>
  <c r="AG111" i="1"/>
  <c r="AH111" i="1" s="1"/>
  <c r="AG110" i="1"/>
  <c r="AH110" i="1" s="1"/>
  <c r="AG109" i="1"/>
  <c r="AH109" i="1" s="1"/>
  <c r="AG108" i="1"/>
  <c r="AH108" i="1" s="1"/>
  <c r="AG107" i="1"/>
  <c r="AH107" i="1" s="1"/>
  <c r="AF110" i="1"/>
  <c r="AF108" i="1"/>
  <c r="AB262" i="1"/>
  <c r="AB261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I27" i="1" l="1"/>
  <c r="AI26" i="1"/>
  <c r="AI226" i="1" l="1"/>
  <c r="AI225" i="1"/>
  <c r="AI224" i="1"/>
  <c r="AI223" i="1"/>
  <c r="AI222" i="1"/>
  <c r="AI221" i="1"/>
  <c r="AI220" i="1"/>
  <c r="AI219" i="1"/>
  <c r="AI218" i="1"/>
  <c r="AI217" i="1"/>
  <c r="AI216" i="1"/>
  <c r="AI215" i="1"/>
  <c r="AI214" i="1"/>
  <c r="AI213" i="1"/>
  <c r="AI212" i="1"/>
  <c r="AI211" i="1"/>
  <c r="AI210" i="1"/>
  <c r="AI209" i="1"/>
  <c r="AI208" i="1"/>
  <c r="AI207" i="1"/>
  <c r="AI206" i="1"/>
  <c r="AI205" i="1"/>
  <c r="AI204" i="1"/>
  <c r="AI203" i="1"/>
  <c r="AI202" i="1"/>
  <c r="AI201" i="1"/>
  <c r="AI200" i="1"/>
  <c r="AI199" i="1"/>
  <c r="AI198" i="1"/>
  <c r="AI197" i="1"/>
  <c r="AI196" i="1"/>
  <c r="AI195" i="1"/>
  <c r="AI194" i="1"/>
  <c r="AI193" i="1"/>
  <c r="AI192" i="1"/>
  <c r="AI191" i="1"/>
  <c r="AI190" i="1"/>
  <c r="AI189" i="1"/>
  <c r="AI188" i="1"/>
  <c r="AI187" i="1"/>
  <c r="AI97" i="1"/>
  <c r="AI96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246" i="1" l="1"/>
  <c r="AI236" i="1"/>
  <c r="AJ236" i="1" s="1"/>
  <c r="AP3" i="7" l="1"/>
  <c r="AP4" i="7"/>
  <c r="AP5" i="7"/>
  <c r="AP6" i="7"/>
  <c r="AP7" i="7"/>
  <c r="AP8" i="7"/>
  <c r="AP9" i="7"/>
  <c r="AP10" i="7"/>
  <c r="AP11" i="7"/>
  <c r="AP2" i="7"/>
  <c r="AK11" i="7" l="1"/>
  <c r="AJ11" i="7"/>
  <c r="AI11" i="7"/>
  <c r="AE11" i="7"/>
  <c r="AD11" i="7"/>
  <c r="AC11" i="7"/>
  <c r="AB11" i="7"/>
  <c r="AA11" i="7"/>
  <c r="Y11" i="7"/>
  <c r="X11" i="7"/>
  <c r="R11" i="7"/>
  <c r="Q11" i="7"/>
  <c r="S11" i="7" s="1"/>
  <c r="P11" i="7"/>
  <c r="M11" i="7"/>
  <c r="AK10" i="7"/>
  <c r="AJ10" i="7"/>
  <c r="AI10" i="7"/>
  <c r="AE10" i="7"/>
  <c r="AD10" i="7"/>
  <c r="AC10" i="7"/>
  <c r="AB10" i="7"/>
  <c r="AA10" i="7"/>
  <c r="Y10" i="7"/>
  <c r="X10" i="7"/>
  <c r="R10" i="7"/>
  <c r="Q10" i="7"/>
  <c r="P10" i="7"/>
  <c r="M10" i="7"/>
  <c r="AK9" i="7"/>
  <c r="AJ9" i="7"/>
  <c r="AI9" i="7"/>
  <c r="AE9" i="7"/>
  <c r="AD9" i="7"/>
  <c r="AC9" i="7"/>
  <c r="AB9" i="7"/>
  <c r="AA9" i="7"/>
  <c r="Y9" i="7"/>
  <c r="X9" i="7"/>
  <c r="R9" i="7"/>
  <c r="Q9" i="7"/>
  <c r="P9" i="7"/>
  <c r="M9" i="7"/>
  <c r="AK8" i="7"/>
  <c r="AJ8" i="7"/>
  <c r="AI8" i="7"/>
  <c r="AE8" i="7"/>
  <c r="AD8" i="7"/>
  <c r="AC8" i="7"/>
  <c r="AB8" i="7"/>
  <c r="AA8" i="7"/>
  <c r="Y8" i="7"/>
  <c r="X8" i="7"/>
  <c r="R8" i="7"/>
  <c r="Q8" i="7"/>
  <c r="P8" i="7"/>
  <c r="M8" i="7"/>
  <c r="AK7" i="7"/>
  <c r="AJ7" i="7"/>
  <c r="AI7" i="7"/>
  <c r="AE7" i="7"/>
  <c r="AD7" i="7"/>
  <c r="AC7" i="7"/>
  <c r="AB7" i="7"/>
  <c r="AA7" i="7"/>
  <c r="Y7" i="7"/>
  <c r="X7" i="7"/>
  <c r="R7" i="7"/>
  <c r="Q7" i="7"/>
  <c r="P7" i="7"/>
  <c r="M7" i="7"/>
  <c r="AK6" i="7"/>
  <c r="AJ6" i="7"/>
  <c r="AI6" i="7"/>
  <c r="AE6" i="7"/>
  <c r="AD6" i="7"/>
  <c r="AC6" i="7"/>
  <c r="AB6" i="7"/>
  <c r="AA6" i="7"/>
  <c r="Y6" i="7"/>
  <c r="X6" i="7"/>
  <c r="R6" i="7"/>
  <c r="Q6" i="7"/>
  <c r="M6" i="7"/>
  <c r="AK5" i="7"/>
  <c r="AJ5" i="7"/>
  <c r="AI5" i="7"/>
  <c r="AE5" i="7"/>
  <c r="AD5" i="7"/>
  <c r="AC5" i="7"/>
  <c r="AB5" i="7"/>
  <c r="AA5" i="7"/>
  <c r="Y5" i="7"/>
  <c r="X5" i="7"/>
  <c r="R5" i="7"/>
  <c r="Q5" i="7"/>
  <c r="P5" i="7"/>
  <c r="M5" i="7"/>
  <c r="AK4" i="7"/>
  <c r="AJ4" i="7"/>
  <c r="AI4" i="7"/>
  <c r="AE4" i="7"/>
  <c r="AD4" i="7"/>
  <c r="AC4" i="7"/>
  <c r="AB4" i="7"/>
  <c r="AA4" i="7"/>
  <c r="Y4" i="7"/>
  <c r="X4" i="7"/>
  <c r="R4" i="7"/>
  <c r="Q4" i="7"/>
  <c r="P4" i="7"/>
  <c r="M4" i="7"/>
  <c r="AK3" i="7"/>
  <c r="AJ3" i="7"/>
  <c r="AI3" i="7"/>
  <c r="AE3" i="7"/>
  <c r="AD3" i="7"/>
  <c r="AC3" i="7"/>
  <c r="AB3" i="7"/>
  <c r="AA3" i="7"/>
  <c r="Y3" i="7"/>
  <c r="X3" i="7"/>
  <c r="R3" i="7"/>
  <c r="Q3" i="7"/>
  <c r="P3" i="7"/>
  <c r="M3" i="7"/>
  <c r="AK2" i="7"/>
  <c r="AJ2" i="7"/>
  <c r="AI2" i="7"/>
  <c r="AE2" i="7"/>
  <c r="AD2" i="7"/>
  <c r="AC2" i="7"/>
  <c r="AB2" i="7"/>
  <c r="AA2" i="7"/>
  <c r="Y2" i="7"/>
  <c r="X2" i="7"/>
  <c r="R2" i="7"/>
  <c r="Q2" i="7"/>
  <c r="P2" i="7"/>
  <c r="M2" i="7"/>
  <c r="S6" i="7" l="1"/>
  <c r="S2" i="7"/>
  <c r="S4" i="7"/>
  <c r="S5" i="7"/>
  <c r="S8" i="7"/>
  <c r="S10" i="7"/>
  <c r="S3" i="7"/>
  <c r="S7" i="7"/>
  <c r="S9" i="7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W110" i="1" s="1"/>
  <c r="U109" i="1"/>
  <c r="U108" i="1"/>
  <c r="U107" i="1"/>
  <c r="S110" i="1"/>
  <c r="S108" i="1"/>
  <c r="O110" i="1"/>
  <c r="N110" i="1"/>
  <c r="O108" i="1"/>
  <c r="N108" i="1"/>
  <c r="J110" i="1"/>
  <c r="M110" i="1"/>
  <c r="AC110" i="1"/>
  <c r="J108" i="1"/>
  <c r="M108" i="1"/>
  <c r="AC108" i="1"/>
  <c r="N123" i="1"/>
  <c r="O123" i="1"/>
  <c r="S123" i="1"/>
  <c r="N124" i="1"/>
  <c r="O124" i="1"/>
  <c r="S124" i="1"/>
  <c r="N125" i="1"/>
  <c r="O125" i="1"/>
  <c r="S125" i="1"/>
  <c r="N126" i="1"/>
  <c r="O126" i="1"/>
  <c r="S126" i="1"/>
  <c r="P108" i="1" l="1"/>
  <c r="Q108" i="1" s="1"/>
  <c r="P125" i="1"/>
  <c r="R125" i="1" s="1"/>
  <c r="P123" i="1"/>
  <c r="R123" i="1" s="1"/>
  <c r="P110" i="1"/>
  <c r="R110" i="1" s="1"/>
  <c r="AD108" i="1"/>
  <c r="AD110" i="1"/>
  <c r="W108" i="1"/>
  <c r="Q125" i="1"/>
  <c r="P124" i="1"/>
  <c r="R124" i="1" s="1"/>
  <c r="P126" i="1"/>
  <c r="R126" i="1" s="1"/>
  <c r="R108" i="1" l="1"/>
  <c r="Q110" i="1"/>
  <c r="Q126" i="1"/>
  <c r="Q123" i="1"/>
  <c r="Q124" i="1"/>
  <c r="Y246" i="1" l="1"/>
  <c r="Y245" i="1"/>
  <c r="Y244" i="1"/>
  <c r="Y243" i="1"/>
  <c r="Y242" i="1"/>
  <c r="Y241" i="1"/>
  <c r="Y240" i="1"/>
  <c r="Y239" i="1"/>
  <c r="Y238" i="1"/>
  <c r="Y237" i="1"/>
  <c r="Y235" i="1"/>
  <c r="Y234" i="1"/>
  <c r="Y233" i="1"/>
  <c r="Y232" i="1"/>
  <c r="Y231" i="1"/>
  <c r="Y230" i="1"/>
  <c r="Y229" i="1"/>
  <c r="Y228" i="1"/>
  <c r="Y227" i="1"/>
  <c r="X246" i="1"/>
  <c r="X245" i="1"/>
  <c r="X244" i="1"/>
  <c r="X243" i="1"/>
  <c r="X242" i="1"/>
  <c r="X241" i="1"/>
  <c r="X240" i="1"/>
  <c r="X239" i="1"/>
  <c r="X238" i="1"/>
  <c r="X237" i="1"/>
  <c r="X235" i="1"/>
  <c r="X234" i="1"/>
  <c r="X233" i="1"/>
  <c r="X232" i="1"/>
  <c r="X231" i="1"/>
  <c r="X230" i="1"/>
  <c r="X229" i="1"/>
  <c r="X228" i="1"/>
  <c r="X227" i="1"/>
  <c r="V246" i="1" l="1"/>
  <c r="V245" i="1"/>
  <c r="V244" i="1"/>
  <c r="V243" i="1"/>
  <c r="V242" i="1"/>
  <c r="V241" i="1"/>
  <c r="V240" i="1"/>
  <c r="V239" i="1"/>
  <c r="V238" i="1"/>
  <c r="V237" i="1"/>
  <c r="V235" i="1"/>
  <c r="V234" i="1"/>
  <c r="V233" i="1"/>
  <c r="V232" i="1"/>
  <c r="V231" i="1"/>
  <c r="V230" i="1"/>
  <c r="V229" i="1"/>
  <c r="V228" i="1"/>
  <c r="V227" i="1"/>
  <c r="U246" i="1"/>
  <c r="U245" i="1"/>
  <c r="U244" i="1"/>
  <c r="U243" i="1"/>
  <c r="U242" i="1"/>
  <c r="U241" i="1"/>
  <c r="U240" i="1"/>
  <c r="U239" i="1"/>
  <c r="U238" i="1"/>
  <c r="U237" i="1"/>
  <c r="U235" i="1"/>
  <c r="U234" i="1"/>
  <c r="U233" i="1"/>
  <c r="U232" i="1"/>
  <c r="U231" i="1"/>
  <c r="U230" i="1"/>
  <c r="U229" i="1"/>
  <c r="U228" i="1"/>
  <c r="U227" i="1"/>
  <c r="T246" i="1"/>
  <c r="T245" i="1"/>
  <c r="T244" i="1"/>
  <c r="T243" i="1"/>
  <c r="T242" i="1"/>
  <c r="T241" i="1"/>
  <c r="T240" i="1"/>
  <c r="T239" i="1"/>
  <c r="T238" i="1"/>
  <c r="T237" i="1"/>
  <c r="T235" i="1"/>
  <c r="T234" i="1"/>
  <c r="T233" i="1"/>
  <c r="T232" i="1"/>
  <c r="T231" i="1"/>
  <c r="T230" i="1"/>
  <c r="T229" i="1"/>
  <c r="T228" i="1"/>
  <c r="T227" i="1"/>
  <c r="AC228" i="1"/>
  <c r="AD228" i="1" s="1"/>
  <c r="AF228" i="1"/>
  <c r="W228" i="1" l="1"/>
  <c r="S176" i="1"/>
  <c r="S175" i="1"/>
  <c r="O178" i="1"/>
  <c r="O177" i="1"/>
  <c r="O176" i="1"/>
  <c r="O175" i="1"/>
  <c r="N178" i="1"/>
  <c r="N177" i="1"/>
  <c r="N176" i="1"/>
  <c r="N175" i="1"/>
  <c r="S184" i="1"/>
  <c r="S183" i="1"/>
  <c r="S182" i="1"/>
  <c r="S181" i="1"/>
  <c r="O184" i="1"/>
  <c r="O183" i="1"/>
  <c r="O182" i="1"/>
  <c r="O181" i="1"/>
  <c r="N184" i="1"/>
  <c r="N183" i="1"/>
  <c r="N182" i="1"/>
  <c r="N181" i="1"/>
  <c r="AE186" i="1" l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0" i="1"/>
  <c r="AE159" i="1"/>
  <c r="AE158" i="1"/>
  <c r="AE157" i="1"/>
  <c r="AE156" i="1"/>
  <c r="AE155" i="1"/>
  <c r="AG20" i="1" l="1"/>
  <c r="AH20" i="1" s="1"/>
  <c r="AE153" i="1"/>
  <c r="AE149" i="1"/>
  <c r="AE148" i="1"/>
  <c r="AE146" i="1"/>
  <c r="AE143" i="1"/>
  <c r="AE141" i="1"/>
  <c r="AE139" i="1"/>
  <c r="AE138" i="1"/>
  <c r="AE133" i="1"/>
  <c r="AH133" i="1" s="1"/>
  <c r="AE132" i="1"/>
  <c r="AE129" i="1"/>
  <c r="AE127" i="1"/>
  <c r="AE126" i="1"/>
  <c r="AE154" i="1"/>
  <c r="AE150" i="1"/>
  <c r="AE147" i="1"/>
  <c r="AE145" i="1"/>
  <c r="AE144" i="1"/>
  <c r="AE142" i="1"/>
  <c r="AE140" i="1"/>
  <c r="AE137" i="1"/>
  <c r="AE134" i="1"/>
  <c r="AH134" i="1" s="1"/>
  <c r="AE131" i="1"/>
  <c r="AE130" i="1"/>
  <c r="AE128" i="1"/>
  <c r="AE125" i="1"/>
  <c r="AF262" i="1" l="1"/>
  <c r="AF261" i="1"/>
  <c r="AF260" i="1"/>
  <c r="AF259" i="1"/>
  <c r="AF258" i="1"/>
  <c r="AF257" i="1"/>
  <c r="AF256" i="1"/>
  <c r="AF255" i="1"/>
  <c r="AF254" i="1"/>
  <c r="AF253" i="1"/>
  <c r="AF252" i="1"/>
  <c r="AF251" i="1"/>
  <c r="AF250" i="1"/>
  <c r="AF249" i="1"/>
  <c r="AF248" i="1"/>
  <c r="AF247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09" i="1"/>
  <c r="AF107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6" i="1"/>
  <c r="AJ97" i="1"/>
  <c r="O122" i="1" l="1"/>
  <c r="O121" i="1"/>
  <c r="O120" i="1"/>
  <c r="O119" i="1"/>
  <c r="O118" i="1"/>
  <c r="O117" i="1"/>
  <c r="O116" i="1"/>
  <c r="N122" i="1"/>
  <c r="N121" i="1"/>
  <c r="N120" i="1"/>
  <c r="N119" i="1"/>
  <c r="N118" i="1"/>
  <c r="N117" i="1"/>
  <c r="N116" i="1"/>
  <c r="O115" i="1" l="1"/>
  <c r="N115" i="1"/>
  <c r="O114" i="1"/>
  <c r="N114" i="1"/>
  <c r="O113" i="1"/>
  <c r="N113" i="1"/>
  <c r="O112" i="1"/>
  <c r="N112" i="1"/>
  <c r="O111" i="1"/>
  <c r="N111" i="1"/>
  <c r="O109" i="1"/>
  <c r="N109" i="1"/>
  <c r="O107" i="1"/>
  <c r="N107" i="1"/>
  <c r="J252" i="1" l="1"/>
  <c r="M252" i="1"/>
  <c r="W252" i="1"/>
  <c r="AC252" i="1"/>
  <c r="AD252" i="1" s="1"/>
  <c r="J250" i="1"/>
  <c r="M250" i="1"/>
  <c r="W250" i="1"/>
  <c r="AC250" i="1"/>
  <c r="AD250" i="1" s="1"/>
  <c r="J248" i="1"/>
  <c r="M248" i="1"/>
  <c r="W248" i="1"/>
  <c r="AC248" i="1"/>
  <c r="AD248" i="1" s="1"/>
  <c r="J255" i="1"/>
  <c r="M255" i="1"/>
  <c r="W255" i="1"/>
  <c r="AC255" i="1"/>
  <c r="AD255" i="1" s="1"/>
  <c r="J251" i="1"/>
  <c r="M251" i="1"/>
  <c r="W251" i="1"/>
  <c r="AC251" i="1"/>
  <c r="AD251" i="1" s="1"/>
  <c r="J256" i="1"/>
  <c r="M256" i="1"/>
  <c r="W256" i="1"/>
  <c r="AC256" i="1"/>
  <c r="AD256" i="1" s="1"/>
  <c r="J254" i="1"/>
  <c r="M254" i="1"/>
  <c r="W254" i="1"/>
  <c r="AC254" i="1"/>
  <c r="AD254" i="1" s="1"/>
  <c r="J253" i="1"/>
  <c r="M253" i="1"/>
  <c r="W253" i="1"/>
  <c r="AC253" i="1"/>
  <c r="AD253" i="1" s="1"/>
  <c r="J247" i="1"/>
  <c r="M247" i="1"/>
  <c r="W247" i="1"/>
  <c r="AC247" i="1"/>
  <c r="AD247" i="1" s="1"/>
  <c r="J249" i="1"/>
  <c r="M249" i="1"/>
  <c r="W249" i="1"/>
  <c r="AC249" i="1"/>
  <c r="AD249" i="1" s="1"/>
  <c r="J258" i="1"/>
  <c r="M258" i="1"/>
  <c r="W258" i="1"/>
  <c r="AC258" i="1"/>
  <c r="AD258" i="1" s="1"/>
  <c r="J259" i="1"/>
  <c r="M259" i="1"/>
  <c r="W259" i="1"/>
  <c r="AC259" i="1"/>
  <c r="AD259" i="1" s="1"/>
  <c r="J260" i="1"/>
  <c r="M260" i="1"/>
  <c r="W260" i="1"/>
  <c r="AC260" i="1"/>
  <c r="AD260" i="1" s="1"/>
  <c r="J261" i="1"/>
  <c r="M261" i="1"/>
  <c r="W261" i="1"/>
  <c r="AC261" i="1"/>
  <c r="AD261" i="1" s="1"/>
  <c r="J257" i="1"/>
  <c r="M257" i="1"/>
  <c r="W257" i="1"/>
  <c r="AC257" i="1"/>
  <c r="AD257" i="1" s="1"/>
  <c r="J262" i="1"/>
  <c r="M262" i="1"/>
  <c r="W262" i="1"/>
  <c r="AC262" i="1"/>
  <c r="AD262" i="1" s="1"/>
  <c r="L229" i="1" l="1"/>
  <c r="K229" i="1"/>
  <c r="I229" i="1"/>
  <c r="K230" i="1"/>
  <c r="AF244" i="1" l="1"/>
  <c r="J229" i="1"/>
  <c r="M229" i="1"/>
  <c r="W229" i="1"/>
  <c r="AC229" i="1"/>
  <c r="AD229" i="1" s="1"/>
  <c r="AF245" i="1" l="1"/>
  <c r="AF243" i="1"/>
  <c r="AF242" i="1"/>
  <c r="AF241" i="1"/>
  <c r="AF240" i="1"/>
  <c r="AF239" i="1"/>
  <c r="AF238" i="1"/>
  <c r="AF237" i="1"/>
  <c r="AF235" i="1"/>
  <c r="AF234" i="1"/>
  <c r="AF233" i="1"/>
  <c r="AF232" i="1"/>
  <c r="AF231" i="1"/>
  <c r="AF230" i="1"/>
  <c r="AF229" i="1"/>
  <c r="AF227" i="1"/>
  <c r="L246" i="1" l="1"/>
  <c r="K246" i="1"/>
  <c r="L245" i="1"/>
  <c r="K245" i="1"/>
  <c r="L244" i="1"/>
  <c r="K244" i="1"/>
  <c r="L243" i="1"/>
  <c r="K243" i="1"/>
  <c r="L242" i="1"/>
  <c r="K242" i="1"/>
  <c r="L241" i="1"/>
  <c r="K241" i="1"/>
  <c r="M241" i="1" s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L228" i="1"/>
  <c r="K228" i="1"/>
  <c r="L227" i="1"/>
  <c r="K227" i="1"/>
  <c r="I245" i="1"/>
  <c r="J245" i="1" s="1"/>
  <c r="I246" i="1"/>
  <c r="J246" i="1" s="1"/>
  <c r="I244" i="1"/>
  <c r="J244" i="1" s="1"/>
  <c r="I243" i="1"/>
  <c r="J243" i="1" s="1"/>
  <c r="I242" i="1"/>
  <c r="J242" i="1" s="1"/>
  <c r="I241" i="1"/>
  <c r="J241" i="1" s="1"/>
  <c r="I240" i="1"/>
  <c r="J240" i="1" s="1"/>
  <c r="I239" i="1"/>
  <c r="J239" i="1" s="1"/>
  <c r="I238" i="1"/>
  <c r="J238" i="1" s="1"/>
  <c r="I237" i="1"/>
  <c r="J237" i="1" s="1"/>
  <c r="I236" i="1"/>
  <c r="J236" i="1" s="1"/>
  <c r="I235" i="1"/>
  <c r="J235" i="1" s="1"/>
  <c r="I234" i="1"/>
  <c r="J234" i="1" s="1"/>
  <c r="I233" i="1"/>
  <c r="J233" i="1" s="1"/>
  <c r="I232" i="1"/>
  <c r="J232" i="1" s="1"/>
  <c r="I231" i="1"/>
  <c r="J231" i="1" s="1"/>
  <c r="I230" i="1"/>
  <c r="J230" i="1" s="1"/>
  <c r="I228" i="1"/>
  <c r="J228" i="1" s="1"/>
  <c r="I227" i="1"/>
  <c r="J227" i="1" s="1"/>
  <c r="W236" i="1"/>
  <c r="W238" i="1"/>
  <c r="AC238" i="1"/>
  <c r="AD238" i="1" s="1"/>
  <c r="W232" i="1"/>
  <c r="AC232" i="1"/>
  <c r="AD232" i="1" s="1"/>
  <c r="W240" i="1"/>
  <c r="AC240" i="1"/>
  <c r="AD240" i="1" s="1"/>
  <c r="W235" i="1"/>
  <c r="AC235" i="1"/>
  <c r="AD235" i="1" s="1"/>
  <c r="W241" i="1"/>
  <c r="AC241" i="1"/>
  <c r="AD241" i="1" s="1"/>
  <c r="W243" i="1"/>
  <c r="AC243" i="1"/>
  <c r="AD243" i="1" s="1"/>
  <c r="W230" i="1"/>
  <c r="AC230" i="1"/>
  <c r="AD230" i="1" s="1"/>
  <c r="W227" i="1"/>
  <c r="AC227" i="1"/>
  <c r="AD227" i="1" s="1"/>
  <c r="W231" i="1"/>
  <c r="AC231" i="1"/>
  <c r="AD231" i="1" s="1"/>
  <c r="W233" i="1"/>
  <c r="AC233" i="1"/>
  <c r="AD233" i="1" s="1"/>
  <c r="W234" i="1"/>
  <c r="AC234" i="1"/>
  <c r="AD234" i="1" s="1"/>
  <c r="W237" i="1"/>
  <c r="AC237" i="1"/>
  <c r="AD237" i="1" s="1"/>
  <c r="W239" i="1"/>
  <c r="AC239" i="1"/>
  <c r="AD239" i="1" s="1"/>
  <c r="W244" i="1"/>
  <c r="AC244" i="1"/>
  <c r="AD244" i="1" s="1"/>
  <c r="W245" i="1"/>
  <c r="AC245" i="1"/>
  <c r="AD245" i="1" s="1"/>
  <c r="W246" i="1"/>
  <c r="AC246" i="1"/>
  <c r="AD246" i="1" s="1"/>
  <c r="W242" i="1"/>
  <c r="AC242" i="1"/>
  <c r="AD242" i="1" s="1"/>
  <c r="M242" i="1" l="1"/>
  <c r="M244" i="1"/>
  <c r="M238" i="1"/>
  <c r="M234" i="1"/>
  <c r="M246" i="1"/>
  <c r="M231" i="1"/>
  <c r="M235" i="1"/>
  <c r="M239" i="1"/>
  <c r="M243" i="1"/>
  <c r="M227" i="1"/>
  <c r="M236" i="1"/>
  <c r="M228" i="1"/>
  <c r="M233" i="1"/>
  <c r="M237" i="1"/>
  <c r="M245" i="1"/>
  <c r="M230" i="1"/>
  <c r="M232" i="1"/>
  <c r="M240" i="1"/>
  <c r="AF186" i="1" l="1"/>
  <c r="AF184" i="1"/>
  <c r="AF182" i="1"/>
  <c r="AF180" i="1"/>
  <c r="AF178" i="1"/>
  <c r="AF176" i="1"/>
  <c r="AF174" i="1"/>
  <c r="AF172" i="1"/>
  <c r="AF170" i="1"/>
  <c r="AF168" i="1"/>
  <c r="AF166" i="1"/>
  <c r="AF164" i="1"/>
  <c r="AF162" i="1"/>
  <c r="AF160" i="1"/>
  <c r="AF158" i="1"/>
  <c r="AF156" i="1"/>
  <c r="AF185" i="1"/>
  <c r="AF183" i="1"/>
  <c r="AF181" i="1"/>
  <c r="AF179" i="1"/>
  <c r="AF177" i="1"/>
  <c r="AF175" i="1"/>
  <c r="AF173" i="1"/>
  <c r="AF171" i="1"/>
  <c r="AF169" i="1"/>
  <c r="AF167" i="1"/>
  <c r="AF165" i="1"/>
  <c r="AF163" i="1"/>
  <c r="AF161" i="1"/>
  <c r="AF159" i="1"/>
  <c r="AF157" i="1"/>
  <c r="AF155" i="1"/>
  <c r="T186" i="1" l="1"/>
  <c r="T185" i="1"/>
  <c r="T184" i="1"/>
  <c r="T183" i="1"/>
  <c r="T182" i="1"/>
  <c r="T181" i="1"/>
  <c r="T180" i="1"/>
  <c r="T179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AF46" i="1" l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F16" i="5" l="1"/>
  <c r="F15" i="5"/>
  <c r="F14" i="5"/>
  <c r="F13" i="5"/>
  <c r="F12" i="5"/>
  <c r="F11" i="5"/>
  <c r="F10" i="5"/>
  <c r="F9" i="5"/>
  <c r="F8" i="5"/>
  <c r="F6" i="5"/>
  <c r="F5" i="5"/>
  <c r="F4" i="5"/>
  <c r="F3" i="5"/>
  <c r="F2" i="5"/>
  <c r="AG46" i="1"/>
  <c r="AH46" i="1" s="1"/>
  <c r="AG45" i="1"/>
  <c r="AH45" i="1" s="1"/>
  <c r="AG44" i="1"/>
  <c r="AH44" i="1" s="1"/>
  <c r="AG43" i="1"/>
  <c r="AH43" i="1" s="1"/>
  <c r="AG42" i="1"/>
  <c r="AH42" i="1" s="1"/>
  <c r="AG41" i="1"/>
  <c r="AH41" i="1" s="1"/>
  <c r="AG40" i="1"/>
  <c r="AH40" i="1" s="1"/>
  <c r="AG39" i="1"/>
  <c r="AH39" i="1" s="1"/>
  <c r="AG38" i="1"/>
  <c r="AH38" i="1" s="1"/>
  <c r="AG37" i="1"/>
  <c r="AH37" i="1" s="1"/>
  <c r="AG36" i="1"/>
  <c r="AH36" i="1" s="1"/>
  <c r="AG35" i="1"/>
  <c r="AH35" i="1" s="1"/>
  <c r="AG34" i="1"/>
  <c r="AH34" i="1" s="1"/>
  <c r="AG33" i="1"/>
  <c r="AH33" i="1" s="1"/>
  <c r="AG32" i="1"/>
  <c r="AH32" i="1" s="1"/>
  <c r="AG31" i="1"/>
  <c r="AH31" i="1" s="1"/>
  <c r="AG30" i="1"/>
  <c r="AH30" i="1" s="1"/>
  <c r="AG29" i="1"/>
  <c r="AH29" i="1" s="1"/>
  <c r="AG28" i="1"/>
  <c r="AH28" i="1" s="1"/>
  <c r="AG27" i="1"/>
  <c r="AH27" i="1" s="1"/>
  <c r="AG26" i="1"/>
  <c r="AH26" i="1" s="1"/>
  <c r="AG25" i="1"/>
  <c r="AH25" i="1" s="1"/>
  <c r="AG24" i="1"/>
  <c r="AH24" i="1" s="1"/>
  <c r="AG23" i="1"/>
  <c r="AH23" i="1" s="1"/>
  <c r="AG22" i="1"/>
  <c r="AH22" i="1" s="1"/>
  <c r="AG21" i="1"/>
  <c r="AH21" i="1" s="1"/>
  <c r="AG19" i="1"/>
  <c r="AH19" i="1" s="1"/>
  <c r="AG18" i="1"/>
  <c r="AH18" i="1" s="1"/>
  <c r="AG17" i="1"/>
  <c r="AH17" i="1" s="1"/>
  <c r="AG16" i="1"/>
  <c r="AH16" i="1" s="1"/>
  <c r="AG15" i="1"/>
  <c r="AH15" i="1" s="1"/>
  <c r="AG14" i="1"/>
  <c r="AH14" i="1" s="1"/>
  <c r="AG13" i="1"/>
  <c r="AH13" i="1" s="1"/>
  <c r="AG12" i="1"/>
  <c r="AH12" i="1" s="1"/>
  <c r="AG11" i="1"/>
  <c r="AH11" i="1" s="1"/>
  <c r="AG10" i="1"/>
  <c r="AH10" i="1" s="1"/>
  <c r="AG9" i="1"/>
  <c r="AH9" i="1" s="1"/>
  <c r="AG8" i="1"/>
  <c r="AH8" i="1" s="1"/>
  <c r="AG7" i="1"/>
  <c r="AH7" i="1" s="1"/>
  <c r="AG6" i="1"/>
  <c r="AH6" i="1" s="1"/>
  <c r="AG5" i="1"/>
  <c r="AH5" i="1" s="1"/>
  <c r="AG4" i="1"/>
  <c r="AH4" i="1" s="1"/>
  <c r="AG3" i="1"/>
  <c r="AH3" i="1" s="1"/>
  <c r="AG2" i="1"/>
  <c r="AH2" i="1" s="1"/>
  <c r="O154" i="1" l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N145" i="1"/>
  <c r="S145" i="1"/>
  <c r="N154" i="1"/>
  <c r="N153" i="1"/>
  <c r="N139" i="1"/>
  <c r="N140" i="1"/>
  <c r="N141" i="1"/>
  <c r="N142" i="1"/>
  <c r="N143" i="1"/>
  <c r="N144" i="1"/>
  <c r="N146" i="1"/>
  <c r="N147" i="1"/>
  <c r="N148" i="1"/>
  <c r="N149" i="1"/>
  <c r="N150" i="1"/>
  <c r="N152" i="1"/>
  <c r="N151" i="1"/>
  <c r="N155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S154" i="1"/>
  <c r="S153" i="1"/>
  <c r="P152" i="1" l="1"/>
  <c r="P144" i="1"/>
  <c r="P147" i="1"/>
  <c r="P146" i="1"/>
  <c r="P154" i="1"/>
  <c r="P143" i="1"/>
  <c r="P141" i="1"/>
  <c r="P145" i="1"/>
  <c r="P142" i="1"/>
  <c r="P150" i="1"/>
  <c r="P151" i="1"/>
  <c r="P153" i="1"/>
  <c r="P148" i="1"/>
  <c r="P149" i="1"/>
  <c r="S152" i="1"/>
  <c r="T154" i="1" l="1"/>
  <c r="T153" i="1"/>
  <c r="AB154" i="1" l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G154" i="1" l="1"/>
  <c r="AH154" i="1" s="1"/>
  <c r="J122" i="1" l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AF154" i="1" l="1"/>
  <c r="AF153" i="1"/>
  <c r="AF152" i="1"/>
  <c r="AF151" i="1"/>
  <c r="AF150" i="1"/>
  <c r="AF149" i="1"/>
  <c r="AF148" i="1"/>
  <c r="AF147" i="1"/>
  <c r="AF146" i="1"/>
  <c r="AF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24" i="1" l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F3" i="1"/>
  <c r="AF2" i="1"/>
  <c r="V154" i="1" l="1"/>
  <c r="V153" i="1"/>
  <c r="U154" i="1"/>
  <c r="U153" i="1"/>
  <c r="Z154" i="1"/>
  <c r="Z153" i="1"/>
  <c r="X154" i="1"/>
  <c r="X153" i="1"/>
  <c r="X14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X152" i="1"/>
  <c r="X151" i="1"/>
  <c r="X150" i="1"/>
  <c r="X149" i="1"/>
  <c r="X148" i="1"/>
  <c r="X147" i="1"/>
  <c r="X146" i="1"/>
  <c r="X145" i="1"/>
  <c r="X144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AG153" i="1"/>
  <c r="AH153" i="1" s="1"/>
  <c r="AG152" i="1"/>
  <c r="AH152" i="1" s="1"/>
  <c r="AG151" i="1"/>
  <c r="AH151" i="1" s="1"/>
  <c r="AG150" i="1"/>
  <c r="AH150" i="1" s="1"/>
  <c r="AG149" i="1"/>
  <c r="AH149" i="1" s="1"/>
  <c r="AG148" i="1"/>
  <c r="AH148" i="1" s="1"/>
  <c r="AG147" i="1"/>
  <c r="AH147" i="1" s="1"/>
  <c r="AG146" i="1"/>
  <c r="AH146" i="1" s="1"/>
  <c r="AG145" i="1"/>
  <c r="AH145" i="1" s="1"/>
  <c r="AG144" i="1"/>
  <c r="AH144" i="1" s="1"/>
  <c r="AG143" i="1"/>
  <c r="AH143" i="1" s="1"/>
  <c r="AG142" i="1"/>
  <c r="AH142" i="1" s="1"/>
  <c r="AG141" i="1"/>
  <c r="AH141" i="1" s="1"/>
  <c r="AG140" i="1"/>
  <c r="AH140" i="1" s="1"/>
  <c r="AG139" i="1"/>
  <c r="AH139" i="1" s="1"/>
  <c r="AG138" i="1"/>
  <c r="AH138" i="1" s="1"/>
  <c r="AG137" i="1"/>
  <c r="AH137" i="1" s="1"/>
  <c r="AG136" i="1"/>
  <c r="AH136" i="1" s="1"/>
  <c r="AG135" i="1"/>
  <c r="AH135" i="1" s="1"/>
  <c r="AG132" i="1"/>
  <c r="AH132" i="1" s="1"/>
  <c r="AG131" i="1"/>
  <c r="AH131" i="1" s="1"/>
  <c r="AG130" i="1"/>
  <c r="AH130" i="1" s="1"/>
  <c r="AG129" i="1"/>
  <c r="AH129" i="1" s="1"/>
  <c r="AG128" i="1"/>
  <c r="AH128" i="1" s="1"/>
  <c r="AG127" i="1"/>
  <c r="AH127" i="1" s="1"/>
  <c r="AG126" i="1"/>
  <c r="AH126" i="1" s="1"/>
  <c r="AG125" i="1"/>
  <c r="AH125" i="1" s="1"/>
  <c r="AG124" i="1"/>
  <c r="AH124" i="1" s="1"/>
  <c r="AG123" i="1"/>
  <c r="AH123" i="1" s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U155" i="1" l="1"/>
  <c r="V155" i="1"/>
  <c r="Y155" i="1"/>
  <c r="AG155" i="1"/>
  <c r="AH155" i="1" s="1"/>
  <c r="S148" i="1" l="1"/>
  <c r="S147" i="1"/>
  <c r="S150" i="1"/>
  <c r="S151" i="1"/>
  <c r="S149" i="1"/>
  <c r="S146" i="1"/>
  <c r="S143" i="1"/>
  <c r="S144" i="1"/>
  <c r="S142" i="1"/>
  <c r="S141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I226" i="1" l="1"/>
  <c r="I225" i="1"/>
  <c r="I224" i="1"/>
  <c r="I223" i="1"/>
  <c r="I222" i="1"/>
  <c r="I221" i="1"/>
  <c r="I220" i="1"/>
  <c r="I219" i="1"/>
  <c r="I218" i="1"/>
  <c r="I217" i="1"/>
  <c r="I206" i="1"/>
  <c r="I205" i="1"/>
  <c r="I204" i="1"/>
  <c r="I203" i="1"/>
  <c r="I202" i="1"/>
  <c r="I201" i="1"/>
  <c r="I200" i="1"/>
  <c r="I199" i="1"/>
  <c r="I198" i="1"/>
  <c r="I197" i="1"/>
  <c r="G226" i="1"/>
  <c r="G225" i="1"/>
  <c r="G224" i="1"/>
  <c r="G223" i="1"/>
  <c r="G222" i="1"/>
  <c r="G221" i="1"/>
  <c r="G220" i="1"/>
  <c r="G219" i="1"/>
  <c r="G218" i="1"/>
  <c r="G217" i="1"/>
  <c r="G206" i="1"/>
  <c r="G205" i="1"/>
  <c r="G204" i="1"/>
  <c r="G203" i="1"/>
  <c r="G202" i="1"/>
  <c r="G201" i="1"/>
  <c r="G200" i="1"/>
  <c r="G199" i="1"/>
  <c r="G198" i="1"/>
  <c r="G197" i="1"/>
  <c r="AG226" i="1"/>
  <c r="AG225" i="1"/>
  <c r="AG224" i="1"/>
  <c r="AG223" i="1"/>
  <c r="AG222" i="1"/>
  <c r="AG221" i="1"/>
  <c r="AG220" i="1"/>
  <c r="AG219" i="1"/>
  <c r="AG218" i="1"/>
  <c r="AG217" i="1"/>
  <c r="AG206" i="1"/>
  <c r="AG205" i="1"/>
  <c r="AG204" i="1"/>
  <c r="AG203" i="1"/>
  <c r="AG202" i="1"/>
  <c r="AG201" i="1"/>
  <c r="AG200" i="1"/>
  <c r="AG199" i="1"/>
  <c r="AG198" i="1"/>
  <c r="AG197" i="1"/>
  <c r="AE226" i="1"/>
  <c r="AE225" i="1"/>
  <c r="AE224" i="1"/>
  <c r="AE223" i="1"/>
  <c r="AE222" i="1"/>
  <c r="AE221" i="1"/>
  <c r="AE220" i="1"/>
  <c r="AE219" i="1"/>
  <c r="AE218" i="1"/>
  <c r="AE217" i="1"/>
  <c r="AE206" i="1"/>
  <c r="AE205" i="1"/>
  <c r="AE204" i="1"/>
  <c r="AE203" i="1"/>
  <c r="AE202" i="1"/>
  <c r="AE201" i="1"/>
  <c r="AE200" i="1"/>
  <c r="AE199" i="1"/>
  <c r="AE198" i="1"/>
  <c r="AE197" i="1"/>
  <c r="AH203" i="1" l="1"/>
  <c r="AH201" i="1"/>
  <c r="AH219" i="1"/>
  <c r="AH202" i="1"/>
  <c r="AH220" i="1"/>
  <c r="AH221" i="1"/>
  <c r="AH200" i="1"/>
  <c r="AH218" i="1"/>
  <c r="AH226" i="1"/>
  <c r="AH197" i="1"/>
  <c r="AH205" i="1"/>
  <c r="AH223" i="1"/>
  <c r="AH204" i="1"/>
  <c r="AH206" i="1"/>
  <c r="AH224" i="1"/>
  <c r="AH222" i="1"/>
  <c r="AH198" i="1"/>
  <c r="AH199" i="1"/>
  <c r="AH217" i="1"/>
  <c r="AH225" i="1"/>
  <c r="AB226" i="1"/>
  <c r="AB225" i="1"/>
  <c r="AB224" i="1"/>
  <c r="AB223" i="1"/>
  <c r="AB222" i="1"/>
  <c r="AB221" i="1"/>
  <c r="AB220" i="1"/>
  <c r="AB219" i="1"/>
  <c r="AB218" i="1"/>
  <c r="AB217" i="1"/>
  <c r="AB206" i="1"/>
  <c r="AB205" i="1"/>
  <c r="AB204" i="1"/>
  <c r="AB203" i="1"/>
  <c r="AB202" i="1"/>
  <c r="AB201" i="1"/>
  <c r="AB200" i="1"/>
  <c r="AB199" i="1"/>
  <c r="AB198" i="1"/>
  <c r="AB197" i="1"/>
  <c r="AA226" i="1"/>
  <c r="AA225" i="1"/>
  <c r="AA224" i="1"/>
  <c r="AA223" i="1"/>
  <c r="AA222" i="1"/>
  <c r="AA221" i="1"/>
  <c r="AA220" i="1"/>
  <c r="AA219" i="1"/>
  <c r="AA218" i="1"/>
  <c r="AA217" i="1"/>
  <c r="AA206" i="1"/>
  <c r="AA205" i="1"/>
  <c r="AA204" i="1"/>
  <c r="AA203" i="1"/>
  <c r="AA202" i="1"/>
  <c r="AA201" i="1"/>
  <c r="AA200" i="1"/>
  <c r="AA199" i="1"/>
  <c r="AA198" i="1"/>
  <c r="AA197" i="1"/>
  <c r="Z226" i="1"/>
  <c r="Z225" i="1"/>
  <c r="Z224" i="1"/>
  <c r="Z223" i="1"/>
  <c r="Z222" i="1"/>
  <c r="Z221" i="1"/>
  <c r="Z220" i="1"/>
  <c r="Z219" i="1"/>
  <c r="Z218" i="1"/>
  <c r="Z217" i="1"/>
  <c r="Z206" i="1"/>
  <c r="Z205" i="1"/>
  <c r="Z204" i="1"/>
  <c r="Z203" i="1"/>
  <c r="Z202" i="1"/>
  <c r="Z201" i="1"/>
  <c r="Z200" i="1"/>
  <c r="Z199" i="1"/>
  <c r="Z198" i="1"/>
  <c r="Z197" i="1"/>
  <c r="Y226" i="1"/>
  <c r="Y225" i="1"/>
  <c r="Y224" i="1"/>
  <c r="Y223" i="1"/>
  <c r="Y222" i="1"/>
  <c r="Y221" i="1"/>
  <c r="Y220" i="1"/>
  <c r="Y219" i="1"/>
  <c r="Y218" i="1"/>
  <c r="Y217" i="1"/>
  <c r="Y206" i="1"/>
  <c r="Y205" i="1"/>
  <c r="Y204" i="1"/>
  <c r="Y203" i="1"/>
  <c r="Y202" i="1"/>
  <c r="Y201" i="1"/>
  <c r="Y200" i="1"/>
  <c r="Y199" i="1"/>
  <c r="Y198" i="1"/>
  <c r="Y197" i="1"/>
  <c r="X226" i="1"/>
  <c r="X225" i="1"/>
  <c r="X224" i="1"/>
  <c r="X223" i="1"/>
  <c r="X222" i="1"/>
  <c r="X221" i="1"/>
  <c r="X220" i="1"/>
  <c r="X219" i="1"/>
  <c r="X218" i="1"/>
  <c r="X217" i="1"/>
  <c r="X206" i="1"/>
  <c r="X205" i="1"/>
  <c r="X204" i="1"/>
  <c r="X203" i="1"/>
  <c r="X202" i="1"/>
  <c r="X201" i="1"/>
  <c r="X200" i="1"/>
  <c r="X199" i="1"/>
  <c r="X198" i="1"/>
  <c r="X197" i="1"/>
  <c r="V226" i="1"/>
  <c r="V225" i="1"/>
  <c r="V224" i="1"/>
  <c r="V223" i="1"/>
  <c r="V222" i="1"/>
  <c r="V221" i="1"/>
  <c r="V220" i="1"/>
  <c r="V219" i="1"/>
  <c r="V218" i="1"/>
  <c r="V217" i="1"/>
  <c r="V206" i="1"/>
  <c r="V205" i="1"/>
  <c r="V204" i="1"/>
  <c r="V203" i="1"/>
  <c r="V202" i="1"/>
  <c r="V201" i="1"/>
  <c r="V200" i="1"/>
  <c r="V199" i="1"/>
  <c r="V198" i="1"/>
  <c r="V197" i="1"/>
  <c r="U226" i="1"/>
  <c r="AJ226" i="1" s="1"/>
  <c r="U225" i="1"/>
  <c r="AJ225" i="1" s="1"/>
  <c r="U224" i="1"/>
  <c r="AJ224" i="1" s="1"/>
  <c r="U223" i="1"/>
  <c r="AJ223" i="1" s="1"/>
  <c r="U222" i="1"/>
  <c r="AJ222" i="1" s="1"/>
  <c r="U221" i="1"/>
  <c r="AJ221" i="1" s="1"/>
  <c r="U220" i="1"/>
  <c r="AJ220" i="1" s="1"/>
  <c r="U219" i="1"/>
  <c r="AJ219" i="1" s="1"/>
  <c r="U218" i="1"/>
  <c r="AJ218" i="1" s="1"/>
  <c r="U217" i="1"/>
  <c r="AJ217" i="1" s="1"/>
  <c r="U206" i="1"/>
  <c r="AJ206" i="1" s="1"/>
  <c r="U205" i="1"/>
  <c r="AJ205" i="1" s="1"/>
  <c r="U204" i="1"/>
  <c r="AJ204" i="1" s="1"/>
  <c r="U203" i="1"/>
  <c r="AJ203" i="1" s="1"/>
  <c r="U202" i="1"/>
  <c r="AJ202" i="1" s="1"/>
  <c r="U201" i="1"/>
  <c r="AJ201" i="1" s="1"/>
  <c r="U200" i="1"/>
  <c r="AJ200" i="1" s="1"/>
  <c r="U199" i="1"/>
  <c r="AJ199" i="1" s="1"/>
  <c r="U198" i="1"/>
  <c r="AJ198" i="1" s="1"/>
  <c r="U197" i="1"/>
  <c r="AJ197" i="1" s="1"/>
  <c r="P199" i="1"/>
  <c r="R199" i="1" s="1"/>
  <c r="J199" i="1"/>
  <c r="P198" i="1"/>
  <c r="R198" i="1" s="1"/>
  <c r="J198" i="1"/>
  <c r="AC224" i="1" l="1"/>
  <c r="AD224" i="1" s="1"/>
  <c r="AC223" i="1"/>
  <c r="AD223" i="1" s="1"/>
  <c r="AC221" i="1"/>
  <c r="AD221" i="1" s="1"/>
  <c r="AC222" i="1"/>
  <c r="AD222" i="1" s="1"/>
  <c r="AC218" i="1"/>
  <c r="AD218" i="1" s="1"/>
  <c r="W198" i="1"/>
  <c r="AC198" i="1"/>
  <c r="AD198" i="1" s="1"/>
  <c r="AC217" i="1"/>
  <c r="AD217" i="1" s="1"/>
  <c r="AC225" i="1"/>
  <c r="AD225" i="1" s="1"/>
  <c r="AC226" i="1"/>
  <c r="AD226" i="1" s="1"/>
  <c r="AC219" i="1"/>
  <c r="AD219" i="1" s="1"/>
  <c r="AC220" i="1"/>
  <c r="AD220" i="1" s="1"/>
  <c r="AC199" i="1"/>
  <c r="AD199" i="1" s="1"/>
  <c r="W199" i="1"/>
  <c r="Q199" i="1"/>
  <c r="Q198" i="1"/>
  <c r="AG184" i="1" l="1"/>
  <c r="AH184" i="1" s="1"/>
  <c r="AG182" i="1"/>
  <c r="AH182" i="1" s="1"/>
  <c r="AG180" i="1"/>
  <c r="AH180" i="1" s="1"/>
  <c r="AG178" i="1"/>
  <c r="AH178" i="1" s="1"/>
  <c r="AG176" i="1"/>
  <c r="AH176" i="1" s="1"/>
  <c r="AG174" i="1"/>
  <c r="AH174" i="1" s="1"/>
  <c r="AG172" i="1"/>
  <c r="AH172" i="1" s="1"/>
  <c r="AG170" i="1"/>
  <c r="AH170" i="1" s="1"/>
  <c r="AG168" i="1"/>
  <c r="AH168" i="1" s="1"/>
  <c r="AG166" i="1"/>
  <c r="AH166" i="1" s="1"/>
  <c r="AG164" i="1"/>
  <c r="AH164" i="1" s="1"/>
  <c r="AG162" i="1"/>
  <c r="AG160" i="1"/>
  <c r="AH160" i="1" s="1"/>
  <c r="AG158" i="1"/>
  <c r="AH158" i="1" s="1"/>
  <c r="AG156" i="1"/>
  <c r="AH156" i="1" s="1"/>
  <c r="AG183" i="1"/>
  <c r="AH183" i="1" s="1"/>
  <c r="AG181" i="1"/>
  <c r="AH181" i="1" s="1"/>
  <c r="AG179" i="1"/>
  <c r="AH179" i="1" s="1"/>
  <c r="AG177" i="1"/>
  <c r="AH177" i="1" s="1"/>
  <c r="AG175" i="1"/>
  <c r="AH175" i="1" s="1"/>
  <c r="AG173" i="1"/>
  <c r="AH173" i="1" s="1"/>
  <c r="AG171" i="1"/>
  <c r="AH171" i="1" s="1"/>
  <c r="AG169" i="1"/>
  <c r="AH169" i="1" s="1"/>
  <c r="AG167" i="1"/>
  <c r="AH167" i="1" s="1"/>
  <c r="AG165" i="1"/>
  <c r="AH165" i="1" s="1"/>
  <c r="AG163" i="1"/>
  <c r="AH163" i="1" s="1"/>
  <c r="AG161" i="1"/>
  <c r="AG159" i="1"/>
  <c r="AH159" i="1" s="1"/>
  <c r="AG157" i="1"/>
  <c r="AH157" i="1" s="1"/>
  <c r="AB186" i="1" l="1"/>
  <c r="AB184" i="1"/>
  <c r="AB182" i="1"/>
  <c r="AB180" i="1"/>
  <c r="AB178" i="1"/>
  <c r="AB176" i="1"/>
  <c r="AB174" i="1"/>
  <c r="AB172" i="1"/>
  <c r="AB170" i="1"/>
  <c r="AB168" i="1"/>
  <c r="AB166" i="1"/>
  <c r="AB164" i="1"/>
  <c r="AB162" i="1"/>
  <c r="AB160" i="1"/>
  <c r="AB158" i="1"/>
  <c r="AB156" i="1"/>
  <c r="AB185" i="1"/>
  <c r="AB183" i="1"/>
  <c r="AB181" i="1"/>
  <c r="AB179" i="1"/>
  <c r="AB177" i="1"/>
  <c r="AB175" i="1"/>
  <c r="AB173" i="1"/>
  <c r="AB171" i="1"/>
  <c r="AB169" i="1"/>
  <c r="AB167" i="1"/>
  <c r="AB165" i="1"/>
  <c r="AB163" i="1"/>
  <c r="AB161" i="1"/>
  <c r="AB159" i="1"/>
  <c r="AB157" i="1"/>
  <c r="AB155" i="1"/>
  <c r="AA186" i="1"/>
  <c r="AA155" i="1"/>
  <c r="AA184" i="1"/>
  <c r="AA182" i="1"/>
  <c r="AA180" i="1"/>
  <c r="AA178" i="1"/>
  <c r="AA176" i="1"/>
  <c r="AA174" i="1"/>
  <c r="AA172" i="1"/>
  <c r="AA170" i="1"/>
  <c r="AA168" i="1"/>
  <c r="AA166" i="1"/>
  <c r="AA164" i="1"/>
  <c r="AA162" i="1"/>
  <c r="AA160" i="1"/>
  <c r="AA158" i="1"/>
  <c r="AA156" i="1"/>
  <c r="AA185" i="1"/>
  <c r="AA183" i="1"/>
  <c r="AA181" i="1"/>
  <c r="AA179" i="1"/>
  <c r="AA177" i="1"/>
  <c r="AA175" i="1"/>
  <c r="AA173" i="1"/>
  <c r="AA171" i="1"/>
  <c r="AA169" i="1"/>
  <c r="AA167" i="1"/>
  <c r="AA165" i="1"/>
  <c r="AA163" i="1"/>
  <c r="AA161" i="1"/>
  <c r="AA159" i="1"/>
  <c r="AA157" i="1"/>
  <c r="Z186" i="1"/>
  <c r="Z184" i="1"/>
  <c r="Z182" i="1"/>
  <c r="Z180" i="1"/>
  <c r="Z178" i="1"/>
  <c r="Z176" i="1"/>
  <c r="Z174" i="1"/>
  <c r="Z172" i="1"/>
  <c r="Z170" i="1"/>
  <c r="Z168" i="1"/>
  <c r="Z166" i="1"/>
  <c r="Z164" i="1"/>
  <c r="Z162" i="1"/>
  <c r="Z160" i="1"/>
  <c r="Z158" i="1"/>
  <c r="Z156" i="1"/>
  <c r="Z185" i="1"/>
  <c r="Z183" i="1"/>
  <c r="Z181" i="1"/>
  <c r="Z179" i="1"/>
  <c r="Z177" i="1"/>
  <c r="Z175" i="1"/>
  <c r="Z173" i="1"/>
  <c r="Z171" i="1"/>
  <c r="Z169" i="1"/>
  <c r="Z167" i="1"/>
  <c r="Z165" i="1"/>
  <c r="Z163" i="1"/>
  <c r="Z161" i="1"/>
  <c r="Z159" i="1"/>
  <c r="Z157" i="1"/>
  <c r="Z155" i="1"/>
  <c r="Y186" i="1"/>
  <c r="Y184" i="1"/>
  <c r="Y182" i="1"/>
  <c r="Y180" i="1"/>
  <c r="Y178" i="1"/>
  <c r="Y176" i="1"/>
  <c r="Y174" i="1"/>
  <c r="Y172" i="1"/>
  <c r="Y170" i="1"/>
  <c r="Y168" i="1"/>
  <c r="Y166" i="1"/>
  <c r="Y164" i="1"/>
  <c r="Y162" i="1"/>
  <c r="Y160" i="1"/>
  <c r="Y158" i="1"/>
  <c r="Y156" i="1"/>
  <c r="Y185" i="1"/>
  <c r="Y183" i="1"/>
  <c r="Y181" i="1"/>
  <c r="Y179" i="1"/>
  <c r="Y177" i="1"/>
  <c r="Y175" i="1"/>
  <c r="Y173" i="1"/>
  <c r="Y171" i="1"/>
  <c r="Y169" i="1"/>
  <c r="Y167" i="1"/>
  <c r="Y165" i="1"/>
  <c r="Y163" i="1"/>
  <c r="Y161" i="1"/>
  <c r="Y159" i="1"/>
  <c r="Y157" i="1"/>
  <c r="X186" i="1"/>
  <c r="X184" i="1"/>
  <c r="X182" i="1"/>
  <c r="X180" i="1"/>
  <c r="X178" i="1"/>
  <c r="X176" i="1"/>
  <c r="X174" i="1"/>
  <c r="X172" i="1"/>
  <c r="X170" i="1"/>
  <c r="X168" i="1"/>
  <c r="X166" i="1"/>
  <c r="X164" i="1"/>
  <c r="X162" i="1"/>
  <c r="X160" i="1"/>
  <c r="X158" i="1"/>
  <c r="X156" i="1"/>
  <c r="X185" i="1"/>
  <c r="X183" i="1"/>
  <c r="X181" i="1"/>
  <c r="X179" i="1"/>
  <c r="X177" i="1"/>
  <c r="X175" i="1"/>
  <c r="X173" i="1"/>
  <c r="X171" i="1"/>
  <c r="X169" i="1"/>
  <c r="X167" i="1"/>
  <c r="X165" i="1"/>
  <c r="X163" i="1"/>
  <c r="X161" i="1"/>
  <c r="X159" i="1"/>
  <c r="X157" i="1"/>
  <c r="X155" i="1"/>
  <c r="U186" i="1"/>
  <c r="U184" i="1"/>
  <c r="U182" i="1"/>
  <c r="U180" i="1"/>
  <c r="U178" i="1"/>
  <c r="U176" i="1"/>
  <c r="U174" i="1"/>
  <c r="U172" i="1"/>
  <c r="U170" i="1"/>
  <c r="U168" i="1"/>
  <c r="U166" i="1"/>
  <c r="U164" i="1"/>
  <c r="U162" i="1"/>
  <c r="U160" i="1"/>
  <c r="U158" i="1"/>
  <c r="U156" i="1"/>
  <c r="U157" i="1"/>
  <c r="U185" i="1"/>
  <c r="U183" i="1"/>
  <c r="U181" i="1"/>
  <c r="U179" i="1"/>
  <c r="U177" i="1"/>
  <c r="U175" i="1"/>
  <c r="U173" i="1"/>
  <c r="U171" i="1"/>
  <c r="U169" i="1"/>
  <c r="U167" i="1"/>
  <c r="U165" i="1"/>
  <c r="U163" i="1"/>
  <c r="U161" i="1"/>
  <c r="U159" i="1"/>
  <c r="G151" i="1" l="1"/>
  <c r="G149" i="1"/>
  <c r="G147" i="1"/>
  <c r="G145" i="1"/>
  <c r="G143" i="1"/>
  <c r="G141" i="1"/>
  <c r="G139" i="1"/>
  <c r="G137" i="1"/>
  <c r="G135" i="1"/>
  <c r="G131" i="1"/>
  <c r="G129" i="1"/>
  <c r="G127" i="1"/>
  <c r="G125" i="1"/>
  <c r="G123" i="1"/>
  <c r="AG216" i="1" l="1"/>
  <c r="AG215" i="1"/>
  <c r="AG214" i="1"/>
  <c r="AG213" i="1"/>
  <c r="AG212" i="1"/>
  <c r="AG211" i="1"/>
  <c r="AG210" i="1"/>
  <c r="AG209" i="1"/>
  <c r="AG208" i="1"/>
  <c r="AG207" i="1"/>
  <c r="AG196" i="1"/>
  <c r="AG195" i="1"/>
  <c r="AG194" i="1"/>
  <c r="AG193" i="1"/>
  <c r="AG192" i="1"/>
  <c r="AG191" i="1"/>
  <c r="AG190" i="1"/>
  <c r="AG189" i="1"/>
  <c r="AG188" i="1"/>
  <c r="AG187" i="1"/>
  <c r="AE216" i="1"/>
  <c r="AE215" i="1"/>
  <c r="AE214" i="1"/>
  <c r="AE213" i="1"/>
  <c r="AE212" i="1"/>
  <c r="AE211" i="1"/>
  <c r="AE210" i="1"/>
  <c r="AE209" i="1"/>
  <c r="AE208" i="1"/>
  <c r="AE207" i="1"/>
  <c r="AE196" i="1"/>
  <c r="AE195" i="1"/>
  <c r="AE194" i="1"/>
  <c r="AE193" i="1"/>
  <c r="AE192" i="1"/>
  <c r="AE191" i="1"/>
  <c r="AE190" i="1"/>
  <c r="AE189" i="1"/>
  <c r="AE188" i="1"/>
  <c r="AE187" i="1"/>
  <c r="AH193" i="1" l="1"/>
  <c r="AH211" i="1"/>
  <c r="AH191" i="1"/>
  <c r="AH209" i="1"/>
  <c r="AH192" i="1"/>
  <c r="AH210" i="1"/>
  <c r="AH190" i="1"/>
  <c r="AH208" i="1"/>
  <c r="AH216" i="1"/>
  <c r="AH212" i="1"/>
  <c r="AH187" i="1"/>
  <c r="AH195" i="1"/>
  <c r="AH213" i="1"/>
  <c r="AH188" i="1"/>
  <c r="AH214" i="1"/>
  <c r="AH194" i="1"/>
  <c r="AH196" i="1"/>
  <c r="AH189" i="1"/>
  <c r="AH207" i="1"/>
  <c r="AH215" i="1"/>
  <c r="I216" i="1"/>
  <c r="I215" i="1"/>
  <c r="I214" i="1"/>
  <c r="I213" i="1"/>
  <c r="I212" i="1"/>
  <c r="I211" i="1"/>
  <c r="I210" i="1"/>
  <c r="I209" i="1"/>
  <c r="I208" i="1"/>
  <c r="I207" i="1"/>
  <c r="I196" i="1"/>
  <c r="I195" i="1"/>
  <c r="I194" i="1"/>
  <c r="I193" i="1"/>
  <c r="I192" i="1"/>
  <c r="I191" i="1"/>
  <c r="I190" i="1"/>
  <c r="I189" i="1"/>
  <c r="I188" i="1"/>
  <c r="I187" i="1"/>
  <c r="G216" i="1"/>
  <c r="G215" i="1"/>
  <c r="G214" i="1"/>
  <c r="G213" i="1"/>
  <c r="G212" i="1"/>
  <c r="G211" i="1"/>
  <c r="G210" i="1"/>
  <c r="G209" i="1"/>
  <c r="G208" i="1"/>
  <c r="G207" i="1"/>
  <c r="G196" i="1"/>
  <c r="G195" i="1"/>
  <c r="G194" i="1"/>
  <c r="G193" i="1"/>
  <c r="G192" i="1"/>
  <c r="G191" i="1"/>
  <c r="G190" i="1"/>
  <c r="G189" i="1"/>
  <c r="G188" i="1"/>
  <c r="G187" i="1"/>
  <c r="S186" i="1" l="1"/>
  <c r="S180" i="1"/>
  <c r="S174" i="1"/>
  <c r="S172" i="1"/>
  <c r="S170" i="1"/>
  <c r="S168" i="1"/>
  <c r="S166" i="1"/>
  <c r="S164" i="1"/>
  <c r="S162" i="1"/>
  <c r="S160" i="1"/>
  <c r="S158" i="1"/>
  <c r="S156" i="1"/>
  <c r="O186" i="1"/>
  <c r="O180" i="1"/>
  <c r="O174" i="1"/>
  <c r="O172" i="1"/>
  <c r="O170" i="1"/>
  <c r="O168" i="1"/>
  <c r="O166" i="1"/>
  <c r="O164" i="1"/>
  <c r="O162" i="1"/>
  <c r="O160" i="1"/>
  <c r="O158" i="1"/>
  <c r="O157" i="1"/>
  <c r="O156" i="1"/>
  <c r="N186" i="1"/>
  <c r="N180" i="1"/>
  <c r="N174" i="1"/>
  <c r="N172" i="1"/>
  <c r="N170" i="1"/>
  <c r="N168" i="1"/>
  <c r="N166" i="1"/>
  <c r="N164" i="1"/>
  <c r="N162" i="1"/>
  <c r="N160" i="1"/>
  <c r="N158" i="1"/>
  <c r="N156" i="1"/>
  <c r="K186" i="1"/>
  <c r="K184" i="1"/>
  <c r="K182" i="1"/>
  <c r="K180" i="1"/>
  <c r="K179" i="1"/>
  <c r="K178" i="1"/>
  <c r="K176" i="1"/>
  <c r="K174" i="1"/>
  <c r="K172" i="1"/>
  <c r="K168" i="1"/>
  <c r="K166" i="1"/>
  <c r="P6" i="7" s="1"/>
  <c r="K164" i="1"/>
  <c r="K162" i="1"/>
  <c r="K160" i="1"/>
  <c r="K158" i="1"/>
  <c r="K156" i="1"/>
  <c r="I186" i="1"/>
  <c r="I184" i="1"/>
  <c r="I182" i="1"/>
  <c r="I180" i="1"/>
  <c r="I178" i="1"/>
  <c r="I176" i="1"/>
  <c r="I174" i="1"/>
  <c r="I172" i="1"/>
  <c r="I170" i="1"/>
  <c r="I168" i="1"/>
  <c r="I166" i="1"/>
  <c r="I164" i="1"/>
  <c r="I162" i="1"/>
  <c r="I160" i="1"/>
  <c r="I158" i="1"/>
  <c r="I156" i="1"/>
  <c r="S185" i="1" l="1"/>
  <c r="S179" i="1"/>
  <c r="S173" i="1"/>
  <c r="S171" i="1"/>
  <c r="S169" i="1"/>
  <c r="S167" i="1"/>
  <c r="S165" i="1"/>
  <c r="S163" i="1"/>
  <c r="S161" i="1"/>
  <c r="S159" i="1"/>
  <c r="S157" i="1"/>
  <c r="S155" i="1"/>
  <c r="O185" i="1"/>
  <c r="O179" i="1"/>
  <c r="O173" i="1"/>
  <c r="O171" i="1"/>
  <c r="O169" i="1"/>
  <c r="O167" i="1"/>
  <c r="O165" i="1"/>
  <c r="O163" i="1"/>
  <c r="O161" i="1"/>
  <c r="O159" i="1"/>
  <c r="O155" i="1"/>
  <c r="N185" i="1"/>
  <c r="N179" i="1"/>
  <c r="N173" i="1"/>
  <c r="N171" i="1"/>
  <c r="N169" i="1"/>
  <c r="N167" i="1"/>
  <c r="N165" i="1"/>
  <c r="N163" i="1"/>
  <c r="N161" i="1"/>
  <c r="N159" i="1"/>
  <c r="N157" i="1"/>
  <c r="K185" i="1"/>
  <c r="K183" i="1"/>
  <c r="K181" i="1"/>
  <c r="K177" i="1"/>
  <c r="K175" i="1"/>
  <c r="K173" i="1"/>
  <c r="K171" i="1"/>
  <c r="K169" i="1"/>
  <c r="K167" i="1"/>
  <c r="K165" i="1"/>
  <c r="K163" i="1"/>
  <c r="K161" i="1"/>
  <c r="K159" i="1"/>
  <c r="K157" i="1"/>
  <c r="K155" i="1"/>
  <c r="I185" i="1"/>
  <c r="I183" i="1"/>
  <c r="I181" i="1"/>
  <c r="I179" i="1"/>
  <c r="I177" i="1"/>
  <c r="I175" i="1"/>
  <c r="I173" i="1"/>
  <c r="I171" i="1"/>
  <c r="I169" i="1"/>
  <c r="I167" i="1"/>
  <c r="I165" i="1"/>
  <c r="I163" i="1"/>
  <c r="I161" i="1"/>
  <c r="I159" i="1"/>
  <c r="I157" i="1"/>
  <c r="I155" i="1"/>
  <c r="H186" i="1"/>
  <c r="H185" i="1"/>
  <c r="H184" i="1"/>
  <c r="H183" i="1"/>
  <c r="H182" i="1"/>
  <c r="H181" i="1"/>
  <c r="H180" i="1"/>
  <c r="H179" i="1"/>
  <c r="H178" i="1"/>
  <c r="H177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G186" i="1"/>
  <c r="G124" i="1" s="1"/>
  <c r="G126" i="1" s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36" i="1" s="1"/>
  <c r="G138" i="1" s="1"/>
  <c r="G140" i="1" s="1"/>
  <c r="G171" i="1"/>
  <c r="G170" i="1"/>
  <c r="G169" i="1"/>
  <c r="G168" i="1"/>
  <c r="G167" i="1"/>
  <c r="G166" i="1"/>
  <c r="G165" i="1"/>
  <c r="G162" i="1"/>
  <c r="G164" i="1"/>
  <c r="G163" i="1"/>
  <c r="G161" i="1"/>
  <c r="G160" i="1"/>
  <c r="G159" i="1"/>
  <c r="G158" i="1"/>
  <c r="G157" i="1"/>
  <c r="G156" i="1"/>
  <c r="G155" i="1"/>
  <c r="G128" i="1" l="1"/>
  <c r="G130" i="1" s="1"/>
  <c r="G132" i="1" s="1"/>
  <c r="G142" i="1"/>
  <c r="AB216" i="1"/>
  <c r="AB215" i="1"/>
  <c r="AB214" i="1"/>
  <c r="AB213" i="1"/>
  <c r="AB212" i="1"/>
  <c r="AB211" i="1"/>
  <c r="AB210" i="1"/>
  <c r="AB209" i="1"/>
  <c r="AB208" i="1"/>
  <c r="AB207" i="1"/>
  <c r="AB196" i="1"/>
  <c r="AB195" i="1"/>
  <c r="AB194" i="1"/>
  <c r="AB193" i="1"/>
  <c r="AB192" i="1"/>
  <c r="AB191" i="1"/>
  <c r="AB190" i="1"/>
  <c r="AB189" i="1"/>
  <c r="AB188" i="1"/>
  <c r="AB187" i="1"/>
  <c r="AA216" i="1"/>
  <c r="AA215" i="1"/>
  <c r="AA214" i="1"/>
  <c r="AA213" i="1"/>
  <c r="AA212" i="1"/>
  <c r="AA211" i="1"/>
  <c r="AA210" i="1"/>
  <c r="AA209" i="1"/>
  <c r="AA208" i="1"/>
  <c r="AA207" i="1"/>
  <c r="AA196" i="1"/>
  <c r="AA195" i="1"/>
  <c r="AA194" i="1"/>
  <c r="AA193" i="1"/>
  <c r="AA192" i="1"/>
  <c r="AA191" i="1"/>
  <c r="AA190" i="1"/>
  <c r="AA189" i="1"/>
  <c r="AA188" i="1"/>
  <c r="AA187" i="1"/>
  <c r="Z216" i="1"/>
  <c r="Z215" i="1"/>
  <c r="Z214" i="1"/>
  <c r="Z213" i="1"/>
  <c r="Z212" i="1"/>
  <c r="Z211" i="1"/>
  <c r="Z210" i="1"/>
  <c r="Z209" i="1"/>
  <c r="Z208" i="1"/>
  <c r="Z207" i="1"/>
  <c r="Z196" i="1"/>
  <c r="Z195" i="1"/>
  <c r="Z194" i="1"/>
  <c r="Z193" i="1"/>
  <c r="Z192" i="1"/>
  <c r="Z191" i="1"/>
  <c r="Z190" i="1"/>
  <c r="Z189" i="1"/>
  <c r="Z188" i="1"/>
  <c r="Z187" i="1"/>
  <c r="Y216" i="1"/>
  <c r="Y215" i="1"/>
  <c r="Y214" i="1"/>
  <c r="Y213" i="1"/>
  <c r="Y212" i="1"/>
  <c r="Y211" i="1"/>
  <c r="Y210" i="1"/>
  <c r="Y209" i="1"/>
  <c r="Y208" i="1"/>
  <c r="Y207" i="1"/>
  <c r="Y196" i="1"/>
  <c r="Y195" i="1"/>
  <c r="Y194" i="1"/>
  <c r="Y193" i="1"/>
  <c r="Y192" i="1"/>
  <c r="Y191" i="1"/>
  <c r="Y190" i="1"/>
  <c r="Y189" i="1"/>
  <c r="Y188" i="1"/>
  <c r="Y187" i="1"/>
  <c r="X216" i="1"/>
  <c r="X215" i="1"/>
  <c r="X214" i="1"/>
  <c r="X213" i="1"/>
  <c r="X212" i="1"/>
  <c r="X211" i="1"/>
  <c r="X210" i="1"/>
  <c r="X209" i="1"/>
  <c r="X208" i="1"/>
  <c r="X207" i="1"/>
  <c r="X196" i="1"/>
  <c r="X195" i="1"/>
  <c r="X194" i="1"/>
  <c r="X193" i="1"/>
  <c r="X192" i="1"/>
  <c r="X191" i="1"/>
  <c r="X190" i="1"/>
  <c r="X189" i="1"/>
  <c r="X188" i="1"/>
  <c r="X187" i="1"/>
  <c r="V216" i="1"/>
  <c r="V215" i="1"/>
  <c r="V214" i="1"/>
  <c r="V213" i="1"/>
  <c r="V212" i="1"/>
  <c r="V211" i="1"/>
  <c r="V210" i="1"/>
  <c r="V209" i="1"/>
  <c r="V208" i="1"/>
  <c r="V207" i="1"/>
  <c r="V196" i="1"/>
  <c r="V195" i="1"/>
  <c r="V194" i="1"/>
  <c r="V193" i="1"/>
  <c r="V192" i="1"/>
  <c r="V191" i="1"/>
  <c r="V190" i="1"/>
  <c r="V189" i="1"/>
  <c r="V188" i="1"/>
  <c r="V187" i="1"/>
  <c r="J207" i="1"/>
  <c r="P207" i="1"/>
  <c r="Q207" i="1" s="1"/>
  <c r="J208" i="1"/>
  <c r="P208" i="1"/>
  <c r="Q208" i="1" s="1"/>
  <c r="U209" i="1"/>
  <c r="AJ209" i="1" s="1"/>
  <c r="P215" i="1"/>
  <c r="R215" i="1" s="1"/>
  <c r="J215" i="1"/>
  <c r="P195" i="1"/>
  <c r="Q195" i="1" s="1"/>
  <c r="J195" i="1"/>
  <c r="W197" i="1"/>
  <c r="U189" i="1"/>
  <c r="AJ189" i="1" s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F11" i="7" s="1"/>
  <c r="AA10" i="1"/>
  <c r="AF10" i="7" s="1"/>
  <c r="AA9" i="1"/>
  <c r="AA8" i="1"/>
  <c r="AA7" i="1"/>
  <c r="AF7" i="7" s="1"/>
  <c r="AA6" i="1"/>
  <c r="AA5" i="1"/>
  <c r="AA4" i="1"/>
  <c r="AA3" i="1"/>
  <c r="AA2" i="1"/>
  <c r="AF2" i="7" s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9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200" i="1"/>
  <c r="W201" i="1"/>
  <c r="W202" i="1"/>
  <c r="W203" i="1"/>
  <c r="W204" i="1"/>
  <c r="W205" i="1"/>
  <c r="W206" i="1"/>
  <c r="W217" i="1"/>
  <c r="W218" i="1"/>
  <c r="W219" i="1"/>
  <c r="W220" i="1"/>
  <c r="W221" i="1"/>
  <c r="W222" i="1"/>
  <c r="W223" i="1"/>
  <c r="W224" i="1"/>
  <c r="W225" i="1"/>
  <c r="W226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AJ27" i="1" s="1"/>
  <c r="U26" i="1"/>
  <c r="AJ26" i="1" s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AF8" i="7" l="1"/>
  <c r="AF4" i="7"/>
  <c r="G152" i="1"/>
  <c r="G144" i="1"/>
  <c r="G146" i="1" s="1"/>
  <c r="G148" i="1" s="1"/>
  <c r="G150" i="1" s="1"/>
  <c r="AF5" i="7"/>
  <c r="AF3" i="7"/>
  <c r="AF6" i="7"/>
  <c r="AF9" i="7"/>
  <c r="AC195" i="1"/>
  <c r="AD195" i="1" s="1"/>
  <c r="AC208" i="1"/>
  <c r="AD208" i="1" s="1"/>
  <c r="AC215" i="1"/>
  <c r="AD215" i="1" s="1"/>
  <c r="AC207" i="1"/>
  <c r="AD207" i="1" s="1"/>
  <c r="W189" i="1"/>
  <c r="W209" i="1"/>
  <c r="R207" i="1"/>
  <c r="W6" i="1"/>
  <c r="W14" i="1"/>
  <c r="W30" i="1"/>
  <c r="W38" i="1"/>
  <c r="W46" i="1"/>
  <c r="R208" i="1"/>
  <c r="W11" i="1"/>
  <c r="W19" i="1"/>
  <c r="W27" i="1"/>
  <c r="W35" i="1"/>
  <c r="W43" i="1"/>
  <c r="W3" i="1"/>
  <c r="W7" i="1"/>
  <c r="W15" i="1"/>
  <c r="W23" i="1"/>
  <c r="W31" i="1"/>
  <c r="W39" i="1"/>
  <c r="W8" i="1"/>
  <c r="W16" i="1"/>
  <c r="W24" i="1"/>
  <c r="W32" i="1"/>
  <c r="W40" i="1"/>
  <c r="Q215" i="1"/>
  <c r="W9" i="1"/>
  <c r="W17" i="1"/>
  <c r="W25" i="1"/>
  <c r="W33" i="1"/>
  <c r="W41" i="1"/>
  <c r="W2" i="1"/>
  <c r="W10" i="1"/>
  <c r="W18" i="1"/>
  <c r="W26" i="1"/>
  <c r="W34" i="1"/>
  <c r="W42" i="1"/>
  <c r="W22" i="1"/>
  <c r="W4" i="1"/>
  <c r="W12" i="1"/>
  <c r="W20" i="1"/>
  <c r="W28" i="1"/>
  <c r="W36" i="1"/>
  <c r="W44" i="1"/>
  <c r="R195" i="1"/>
  <c r="W5" i="1"/>
  <c r="W13" i="1"/>
  <c r="W21" i="1"/>
  <c r="W29" i="1"/>
  <c r="W37" i="1"/>
  <c r="W45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D47" i="1" s="1"/>
  <c r="AC48" i="1"/>
  <c r="AD48" i="1" s="1"/>
  <c r="AC49" i="1"/>
  <c r="AD49" i="1" s="1"/>
  <c r="AC50" i="1"/>
  <c r="AD50" i="1" s="1"/>
  <c r="AC51" i="1"/>
  <c r="AD51" i="1" s="1"/>
  <c r="AC52" i="1"/>
  <c r="AD52" i="1" s="1"/>
  <c r="AC53" i="1"/>
  <c r="AD53" i="1" s="1"/>
  <c r="AC54" i="1"/>
  <c r="AD54" i="1" s="1"/>
  <c r="AC55" i="1"/>
  <c r="AD55" i="1" s="1"/>
  <c r="AC56" i="1"/>
  <c r="AD56" i="1" s="1"/>
  <c r="AC57" i="1"/>
  <c r="AD57" i="1" s="1"/>
  <c r="AC58" i="1"/>
  <c r="AD58" i="1" s="1"/>
  <c r="AC59" i="1"/>
  <c r="AD59" i="1" s="1"/>
  <c r="AC60" i="1"/>
  <c r="AD60" i="1" s="1"/>
  <c r="AC61" i="1"/>
  <c r="AD61" i="1" s="1"/>
  <c r="AC62" i="1"/>
  <c r="AD62" i="1" s="1"/>
  <c r="AC63" i="1"/>
  <c r="AD63" i="1" s="1"/>
  <c r="AC64" i="1"/>
  <c r="AD64" i="1" s="1"/>
  <c r="AC65" i="1"/>
  <c r="AD65" i="1" s="1"/>
  <c r="AC66" i="1"/>
  <c r="AD66" i="1" s="1"/>
  <c r="AC67" i="1"/>
  <c r="AD67" i="1" s="1"/>
  <c r="AC68" i="1"/>
  <c r="AD68" i="1" s="1"/>
  <c r="AC69" i="1"/>
  <c r="AD69" i="1" s="1"/>
  <c r="AC70" i="1"/>
  <c r="AD70" i="1" s="1"/>
  <c r="AC71" i="1"/>
  <c r="AD71" i="1" s="1"/>
  <c r="AC72" i="1"/>
  <c r="AD72" i="1" s="1"/>
  <c r="AC73" i="1"/>
  <c r="AD73" i="1" s="1"/>
  <c r="AC74" i="1"/>
  <c r="AD74" i="1" s="1"/>
  <c r="AC75" i="1"/>
  <c r="AD75" i="1" s="1"/>
  <c r="AC76" i="1"/>
  <c r="AD76" i="1" s="1"/>
  <c r="AC77" i="1"/>
  <c r="AD77" i="1" s="1"/>
  <c r="AC78" i="1"/>
  <c r="AD78" i="1" s="1"/>
  <c r="AC79" i="1"/>
  <c r="AD79" i="1" s="1"/>
  <c r="AC80" i="1"/>
  <c r="AD80" i="1" s="1"/>
  <c r="AC81" i="1"/>
  <c r="AD81" i="1" s="1"/>
  <c r="AC82" i="1"/>
  <c r="AD82" i="1" s="1"/>
  <c r="AC83" i="1"/>
  <c r="AD83" i="1" s="1"/>
  <c r="AC84" i="1"/>
  <c r="AD84" i="1" s="1"/>
  <c r="AC85" i="1"/>
  <c r="AD85" i="1" s="1"/>
  <c r="AC86" i="1"/>
  <c r="AD86" i="1" s="1"/>
  <c r="AC87" i="1"/>
  <c r="AD87" i="1" s="1"/>
  <c r="AC88" i="1"/>
  <c r="AD88" i="1" s="1"/>
  <c r="AC89" i="1"/>
  <c r="AD89" i="1" s="1"/>
  <c r="AC90" i="1"/>
  <c r="AD90" i="1" s="1"/>
  <c r="AC91" i="1"/>
  <c r="AD91" i="1" s="1"/>
  <c r="AC92" i="1"/>
  <c r="AD92" i="1" s="1"/>
  <c r="AC93" i="1"/>
  <c r="AD93" i="1" s="1"/>
  <c r="AC94" i="1"/>
  <c r="AD94" i="1" s="1"/>
  <c r="AC95" i="1"/>
  <c r="AD95" i="1" s="1"/>
  <c r="AC96" i="1"/>
  <c r="AD96" i="1" s="1"/>
  <c r="AC97" i="1"/>
  <c r="AD97" i="1" s="1"/>
  <c r="AC98" i="1"/>
  <c r="AD98" i="1" s="1"/>
  <c r="AC99" i="1"/>
  <c r="AD99" i="1" s="1"/>
  <c r="AC100" i="1"/>
  <c r="AD100" i="1" s="1"/>
  <c r="AC101" i="1"/>
  <c r="AD101" i="1" s="1"/>
  <c r="AC102" i="1"/>
  <c r="AD102" i="1" s="1"/>
  <c r="AC103" i="1"/>
  <c r="AD103" i="1" s="1"/>
  <c r="AC104" i="1"/>
  <c r="AD104" i="1" s="1"/>
  <c r="AC105" i="1"/>
  <c r="AD105" i="1" s="1"/>
  <c r="AC106" i="1"/>
  <c r="AD106" i="1" s="1"/>
  <c r="AC107" i="1"/>
  <c r="AD107" i="1" s="1"/>
  <c r="AC109" i="1"/>
  <c r="AD109" i="1" s="1"/>
  <c r="AC111" i="1"/>
  <c r="AD111" i="1" s="1"/>
  <c r="AC112" i="1"/>
  <c r="AD112" i="1" s="1"/>
  <c r="AC113" i="1"/>
  <c r="AD113" i="1" s="1"/>
  <c r="AC114" i="1"/>
  <c r="AD114" i="1" s="1"/>
  <c r="AC115" i="1"/>
  <c r="AD115" i="1" s="1"/>
  <c r="AC116" i="1"/>
  <c r="AD116" i="1" s="1"/>
  <c r="AC117" i="1"/>
  <c r="AD117" i="1" s="1"/>
  <c r="AC118" i="1"/>
  <c r="AD118" i="1" s="1"/>
  <c r="AC119" i="1"/>
  <c r="AD119" i="1" s="1"/>
  <c r="AC120" i="1"/>
  <c r="AD120" i="1" s="1"/>
  <c r="AC121" i="1"/>
  <c r="AD121" i="1" s="1"/>
  <c r="AC122" i="1"/>
  <c r="AD122" i="1" s="1"/>
  <c r="AC123" i="1"/>
  <c r="AD123" i="1" s="1"/>
  <c r="AC124" i="1"/>
  <c r="AD124" i="1" s="1"/>
  <c r="AC125" i="1"/>
  <c r="AD125" i="1" s="1"/>
  <c r="AC126" i="1"/>
  <c r="AD126" i="1" s="1"/>
  <c r="AC127" i="1"/>
  <c r="AD127" i="1" s="1"/>
  <c r="AC128" i="1"/>
  <c r="AD128" i="1" s="1"/>
  <c r="AC129" i="1"/>
  <c r="AD129" i="1" s="1"/>
  <c r="AC130" i="1"/>
  <c r="AD130" i="1" s="1"/>
  <c r="AC131" i="1"/>
  <c r="AD131" i="1" s="1"/>
  <c r="AC132" i="1"/>
  <c r="AD132" i="1" s="1"/>
  <c r="AC133" i="1"/>
  <c r="AD133" i="1" s="1"/>
  <c r="AC134" i="1"/>
  <c r="AD134" i="1" s="1"/>
  <c r="AC135" i="1"/>
  <c r="AD135" i="1" s="1"/>
  <c r="AC136" i="1"/>
  <c r="AD136" i="1" s="1"/>
  <c r="AC137" i="1"/>
  <c r="AD137" i="1" s="1"/>
  <c r="AC138" i="1"/>
  <c r="AD138" i="1" s="1"/>
  <c r="AC139" i="1"/>
  <c r="AD139" i="1" s="1"/>
  <c r="AC140" i="1"/>
  <c r="AD140" i="1" s="1"/>
  <c r="AC141" i="1"/>
  <c r="AD141" i="1" s="1"/>
  <c r="AC142" i="1"/>
  <c r="AD142" i="1" s="1"/>
  <c r="AC143" i="1"/>
  <c r="AD143" i="1" s="1"/>
  <c r="AC144" i="1"/>
  <c r="AD144" i="1" s="1"/>
  <c r="AC145" i="1"/>
  <c r="AD145" i="1" s="1"/>
  <c r="AC146" i="1"/>
  <c r="AD146" i="1" s="1"/>
  <c r="AC147" i="1"/>
  <c r="AD147" i="1" s="1"/>
  <c r="AC148" i="1"/>
  <c r="AD148" i="1" s="1"/>
  <c r="AC149" i="1"/>
  <c r="AD149" i="1" s="1"/>
  <c r="AC150" i="1"/>
  <c r="AD150" i="1" s="1"/>
  <c r="AC151" i="1"/>
  <c r="AD151" i="1" s="1"/>
  <c r="AC152" i="1"/>
  <c r="AD152" i="1" s="1"/>
  <c r="AC153" i="1"/>
  <c r="AD153" i="1" s="1"/>
  <c r="AC154" i="1"/>
  <c r="AD154" i="1" s="1"/>
  <c r="AC187" i="1"/>
  <c r="AD187" i="1" s="1"/>
  <c r="AC188" i="1"/>
  <c r="AD188" i="1" s="1"/>
  <c r="AC189" i="1"/>
  <c r="AD189" i="1" s="1"/>
  <c r="AC190" i="1"/>
  <c r="AD190" i="1" s="1"/>
  <c r="AC191" i="1"/>
  <c r="AD191" i="1" s="1"/>
  <c r="AC192" i="1"/>
  <c r="AD192" i="1" s="1"/>
  <c r="AC193" i="1"/>
  <c r="AD193" i="1" s="1"/>
  <c r="AC194" i="1"/>
  <c r="AD194" i="1" s="1"/>
  <c r="AC196" i="1"/>
  <c r="AD196" i="1" s="1"/>
  <c r="AC197" i="1"/>
  <c r="AD197" i="1" s="1"/>
  <c r="AC200" i="1"/>
  <c r="AD200" i="1" s="1"/>
  <c r="AC201" i="1"/>
  <c r="AD201" i="1" s="1"/>
  <c r="AC202" i="1"/>
  <c r="AD202" i="1" s="1"/>
  <c r="AC203" i="1"/>
  <c r="AD203" i="1" s="1"/>
  <c r="AC204" i="1"/>
  <c r="AD204" i="1" s="1"/>
  <c r="AC205" i="1"/>
  <c r="AD205" i="1" s="1"/>
  <c r="AC206" i="1"/>
  <c r="AD206" i="1" s="1"/>
  <c r="AC209" i="1"/>
  <c r="AD209" i="1" s="1"/>
  <c r="AC210" i="1"/>
  <c r="AD210" i="1" s="1"/>
  <c r="AC211" i="1"/>
  <c r="AD211" i="1" s="1"/>
  <c r="AC212" i="1"/>
  <c r="AD212" i="1" s="1"/>
  <c r="AC213" i="1"/>
  <c r="AD213" i="1" s="1"/>
  <c r="AC214" i="1"/>
  <c r="AD214" i="1" s="1"/>
  <c r="AC216" i="1"/>
  <c r="AD216" i="1" s="1"/>
  <c r="V186" i="1"/>
  <c r="V185" i="1"/>
  <c r="AG4" i="7" l="1"/>
  <c r="AG11" i="7"/>
  <c r="AG3" i="7"/>
  <c r="AG10" i="7"/>
  <c r="AG2" i="7"/>
  <c r="AG9" i="7"/>
  <c r="AG8" i="7"/>
  <c r="AG7" i="7"/>
  <c r="AG5" i="7"/>
  <c r="AD42" i="1"/>
  <c r="AD41" i="1"/>
  <c r="AD34" i="1"/>
  <c r="AD40" i="1"/>
  <c r="AD39" i="1"/>
  <c r="AD46" i="1"/>
  <c r="AD38" i="1"/>
  <c r="AD45" i="1"/>
  <c r="AD37" i="1"/>
  <c r="AD44" i="1"/>
  <c r="AD36" i="1"/>
  <c r="AD43" i="1"/>
  <c r="AD35" i="1"/>
  <c r="AD30" i="1"/>
  <c r="AD22" i="1"/>
  <c r="AD14" i="1"/>
  <c r="AD6" i="1"/>
  <c r="AD29" i="1"/>
  <c r="AD21" i="1"/>
  <c r="AD13" i="1"/>
  <c r="AD5" i="1"/>
  <c r="AD28" i="1"/>
  <c r="AD27" i="1"/>
  <c r="AD19" i="1"/>
  <c r="AD11" i="1"/>
  <c r="AD3" i="1"/>
  <c r="AD4" i="1"/>
  <c r="AD26" i="1"/>
  <c r="AD18" i="1"/>
  <c r="AD10" i="1"/>
  <c r="AD2" i="1"/>
  <c r="AD12" i="1"/>
  <c r="AD33" i="1"/>
  <c r="AD25" i="1"/>
  <c r="AD17" i="1"/>
  <c r="AD9" i="1"/>
  <c r="AD20" i="1"/>
  <c r="AD32" i="1"/>
  <c r="AD24" i="1"/>
  <c r="AD16" i="1"/>
  <c r="AD8" i="1"/>
  <c r="AD31" i="1"/>
  <c r="AD23" i="1"/>
  <c r="AD15" i="1"/>
  <c r="AD7" i="1"/>
  <c r="AC186" i="1"/>
  <c r="AD186" i="1" s="1"/>
  <c r="W186" i="1"/>
  <c r="AC185" i="1"/>
  <c r="AD185" i="1" s="1"/>
  <c r="W185" i="1"/>
  <c r="AC184" i="1"/>
  <c r="V184" i="1"/>
  <c r="V183" i="1"/>
  <c r="AD184" i="1" l="1"/>
  <c r="W184" i="1"/>
  <c r="W183" i="1"/>
  <c r="AC183" i="1"/>
  <c r="V182" i="1"/>
  <c r="V181" i="1"/>
  <c r="AD183" i="1" l="1"/>
  <c r="W182" i="1"/>
  <c r="W181" i="1"/>
  <c r="AC181" i="1"/>
  <c r="AC182" i="1"/>
  <c r="AD182" i="1" s="1"/>
  <c r="V180" i="1"/>
  <c r="V179" i="1"/>
  <c r="AD181" i="1" l="1"/>
  <c r="W180" i="1"/>
  <c r="AC179" i="1"/>
  <c r="W179" i="1"/>
  <c r="AC180" i="1"/>
  <c r="AD180" i="1" s="1"/>
  <c r="AC177" i="1"/>
  <c r="V178" i="1"/>
  <c r="V177" i="1"/>
  <c r="AD179" i="1" l="1"/>
  <c r="AD177" i="1"/>
  <c r="W178" i="1"/>
  <c r="W177" i="1"/>
  <c r="AC178" i="1"/>
  <c r="AD178" i="1" s="1"/>
  <c r="V176" i="1"/>
  <c r="W176" i="1" s="1"/>
  <c r="V175" i="1"/>
  <c r="W175" i="1" l="1"/>
  <c r="AC175" i="1"/>
  <c r="AC176" i="1"/>
  <c r="AD176" i="1" s="1"/>
  <c r="V174" i="1"/>
  <c r="V173" i="1"/>
  <c r="AD175" i="1" l="1"/>
  <c r="W174" i="1"/>
  <c r="W173" i="1"/>
  <c r="AC173" i="1"/>
  <c r="AC174" i="1"/>
  <c r="AD174" i="1" s="1"/>
  <c r="AC171" i="1"/>
  <c r="V172" i="1"/>
  <c r="V171" i="1"/>
  <c r="AD173" i="1" l="1"/>
  <c r="AD171" i="1"/>
  <c r="W171" i="1"/>
  <c r="W172" i="1"/>
  <c r="AC172" i="1"/>
  <c r="AD172" i="1" s="1"/>
  <c r="AC169" i="1"/>
  <c r="V170" i="1"/>
  <c r="V169" i="1"/>
  <c r="AD169" i="1" l="1"/>
  <c r="W170" i="1"/>
  <c r="W169" i="1"/>
  <c r="AC170" i="1"/>
  <c r="AD170" i="1" s="1"/>
  <c r="V168" i="1"/>
  <c r="W168" i="1" s="1"/>
  <c r="V167" i="1"/>
  <c r="W167" i="1" l="1"/>
  <c r="AC167" i="1"/>
  <c r="AD167" i="1" s="1"/>
  <c r="AC168" i="1"/>
  <c r="AD168" i="1" s="1"/>
  <c r="V166" i="1"/>
  <c r="W166" i="1" s="1"/>
  <c r="V165" i="1"/>
  <c r="W165" i="1" l="1"/>
  <c r="AC165" i="1"/>
  <c r="AC166" i="1"/>
  <c r="AC163" i="1"/>
  <c r="V164" i="1"/>
  <c r="V163" i="1"/>
  <c r="AD166" i="1" l="1"/>
  <c r="AG6" i="7"/>
  <c r="AD165" i="1"/>
  <c r="W164" i="1"/>
  <c r="AD163" i="1"/>
  <c r="W163" i="1"/>
  <c r="AC164" i="1"/>
  <c r="AC161" i="1"/>
  <c r="V162" i="1"/>
  <c r="W162" i="1" s="1"/>
  <c r="V161" i="1"/>
  <c r="AD161" i="1" l="1"/>
  <c r="W161" i="1"/>
  <c r="AD164" i="1"/>
  <c r="AC162" i="1"/>
  <c r="AD162" i="1" s="1"/>
  <c r="V160" i="1"/>
  <c r="W160" i="1" s="1"/>
  <c r="V159" i="1"/>
  <c r="W159" i="1" s="1"/>
  <c r="AC159" i="1" l="1"/>
  <c r="AC160" i="1"/>
  <c r="AD160" i="1" s="1"/>
  <c r="V158" i="1"/>
  <c r="W158" i="1" s="1"/>
  <c r="V157" i="1"/>
  <c r="AD159" i="1" l="1"/>
  <c r="AC157" i="1"/>
  <c r="AC158" i="1"/>
  <c r="AD158" i="1" s="1"/>
  <c r="W157" i="1"/>
  <c r="AC155" i="1"/>
  <c r="V156" i="1"/>
  <c r="AD157" i="1" l="1"/>
  <c r="AD155" i="1"/>
  <c r="W156" i="1"/>
  <c r="W155" i="1"/>
  <c r="AC156" i="1"/>
  <c r="AD156" i="1" s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9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Q47" i="1" s="1"/>
  <c r="P48" i="1"/>
  <c r="Q48" i="1" s="1"/>
  <c r="P49" i="1"/>
  <c r="Q49" i="1" s="1"/>
  <c r="P50" i="1"/>
  <c r="R50" i="1" s="1"/>
  <c r="P51" i="1"/>
  <c r="R51" i="1" s="1"/>
  <c r="P52" i="1"/>
  <c r="R52" i="1" s="1"/>
  <c r="P53" i="1"/>
  <c r="R53" i="1" s="1"/>
  <c r="P54" i="1"/>
  <c r="R54" i="1" s="1"/>
  <c r="P55" i="1"/>
  <c r="Q55" i="1" s="1"/>
  <c r="P56" i="1"/>
  <c r="Q56" i="1" s="1"/>
  <c r="P57" i="1"/>
  <c r="Q57" i="1" s="1"/>
  <c r="P58" i="1"/>
  <c r="R58" i="1" s="1"/>
  <c r="P59" i="1"/>
  <c r="R59" i="1" s="1"/>
  <c r="P60" i="1"/>
  <c r="R60" i="1" s="1"/>
  <c r="P61" i="1"/>
  <c r="R61" i="1" s="1"/>
  <c r="P62" i="1"/>
  <c r="R62" i="1" s="1"/>
  <c r="P63" i="1"/>
  <c r="Q63" i="1" s="1"/>
  <c r="P64" i="1"/>
  <c r="Q64" i="1" s="1"/>
  <c r="P65" i="1"/>
  <c r="Q65" i="1" s="1"/>
  <c r="P66" i="1"/>
  <c r="R66" i="1" s="1"/>
  <c r="P67" i="1"/>
  <c r="R67" i="1" s="1"/>
  <c r="P68" i="1"/>
  <c r="R68" i="1" s="1"/>
  <c r="P69" i="1"/>
  <c r="R69" i="1" s="1"/>
  <c r="P70" i="1"/>
  <c r="Q70" i="1" s="1"/>
  <c r="P71" i="1"/>
  <c r="Q71" i="1" s="1"/>
  <c r="P72" i="1"/>
  <c r="Q72" i="1" s="1"/>
  <c r="P73" i="1"/>
  <c r="Q73" i="1" s="1"/>
  <c r="P74" i="1"/>
  <c r="R74" i="1" s="1"/>
  <c r="P75" i="1"/>
  <c r="R75" i="1" s="1"/>
  <c r="P76" i="1"/>
  <c r="R76" i="1" s="1"/>
  <c r="P77" i="1"/>
  <c r="R77" i="1" s="1"/>
  <c r="P78" i="1"/>
  <c r="R78" i="1" s="1"/>
  <c r="P79" i="1"/>
  <c r="Q79" i="1" s="1"/>
  <c r="P80" i="1"/>
  <c r="Q80" i="1" s="1"/>
  <c r="P81" i="1"/>
  <c r="Q81" i="1" s="1"/>
  <c r="P82" i="1"/>
  <c r="R82" i="1" s="1"/>
  <c r="P83" i="1"/>
  <c r="R83" i="1" s="1"/>
  <c r="P84" i="1"/>
  <c r="R84" i="1" s="1"/>
  <c r="P85" i="1"/>
  <c r="R85" i="1" s="1"/>
  <c r="P86" i="1"/>
  <c r="R86" i="1" s="1"/>
  <c r="P87" i="1"/>
  <c r="Q87" i="1" s="1"/>
  <c r="P88" i="1"/>
  <c r="Q88" i="1" s="1"/>
  <c r="P89" i="1"/>
  <c r="Q89" i="1" s="1"/>
  <c r="P90" i="1"/>
  <c r="R90" i="1" s="1"/>
  <c r="P91" i="1"/>
  <c r="R91" i="1" s="1"/>
  <c r="P92" i="1"/>
  <c r="R92" i="1" s="1"/>
  <c r="P93" i="1"/>
  <c r="R93" i="1" s="1"/>
  <c r="P94" i="1"/>
  <c r="Q94" i="1" s="1"/>
  <c r="P96" i="1"/>
  <c r="Q96" i="1" s="1"/>
  <c r="P97" i="1"/>
  <c r="Q97" i="1" s="1"/>
  <c r="P98" i="1"/>
  <c r="R98" i="1" s="1"/>
  <c r="P99" i="1"/>
  <c r="R99" i="1" s="1"/>
  <c r="P100" i="1"/>
  <c r="R100" i="1" s="1"/>
  <c r="P101" i="1"/>
  <c r="R101" i="1" s="1"/>
  <c r="P103" i="1"/>
  <c r="Q103" i="1" s="1"/>
  <c r="P104" i="1"/>
  <c r="Q104" i="1" s="1"/>
  <c r="P105" i="1"/>
  <c r="Q105" i="1" s="1"/>
  <c r="P106" i="1"/>
  <c r="R106" i="1" s="1"/>
  <c r="P107" i="1"/>
  <c r="R107" i="1" s="1"/>
  <c r="P109" i="1"/>
  <c r="R109" i="1" s="1"/>
  <c r="P111" i="1"/>
  <c r="Q111" i="1" s="1"/>
  <c r="P112" i="1"/>
  <c r="Q112" i="1" s="1"/>
  <c r="P113" i="1"/>
  <c r="Q113" i="1" s="1"/>
  <c r="P114" i="1"/>
  <c r="R114" i="1" s="1"/>
  <c r="P115" i="1"/>
  <c r="R115" i="1" s="1"/>
  <c r="P116" i="1"/>
  <c r="R116" i="1" s="1"/>
  <c r="P117" i="1"/>
  <c r="R117" i="1" s="1"/>
  <c r="P118" i="1"/>
  <c r="R118" i="1" s="1"/>
  <c r="P119" i="1"/>
  <c r="Q119" i="1" s="1"/>
  <c r="P120" i="1"/>
  <c r="Q120" i="1" s="1"/>
  <c r="P121" i="1"/>
  <c r="Q121" i="1" s="1"/>
  <c r="P122" i="1"/>
  <c r="R122" i="1" s="1"/>
  <c r="P127" i="1"/>
  <c r="Q127" i="1" s="1"/>
  <c r="P128" i="1"/>
  <c r="Q128" i="1" s="1"/>
  <c r="P129" i="1"/>
  <c r="Q129" i="1" s="1"/>
  <c r="P130" i="1"/>
  <c r="R130" i="1" s="1"/>
  <c r="P131" i="1"/>
  <c r="R131" i="1" s="1"/>
  <c r="P132" i="1"/>
  <c r="R132" i="1" s="1"/>
  <c r="P133" i="1"/>
  <c r="R133" i="1" s="1"/>
  <c r="P134" i="1"/>
  <c r="R134" i="1" s="1"/>
  <c r="P135" i="1"/>
  <c r="Q135" i="1" s="1"/>
  <c r="P136" i="1"/>
  <c r="Q136" i="1" s="1"/>
  <c r="P137" i="1"/>
  <c r="Q137" i="1" s="1"/>
  <c r="P138" i="1"/>
  <c r="R138" i="1" s="1"/>
  <c r="P139" i="1"/>
  <c r="R139" i="1" s="1"/>
  <c r="P140" i="1"/>
  <c r="R140" i="1" s="1"/>
  <c r="R141" i="1"/>
  <c r="R142" i="1"/>
  <c r="Q143" i="1"/>
  <c r="Q144" i="1"/>
  <c r="Q145" i="1"/>
  <c r="R146" i="1"/>
  <c r="R147" i="1"/>
  <c r="R148" i="1"/>
  <c r="R149" i="1"/>
  <c r="R150" i="1"/>
  <c r="Q151" i="1"/>
  <c r="Q152" i="1"/>
  <c r="Q153" i="1"/>
  <c r="R154" i="1"/>
  <c r="P155" i="1"/>
  <c r="R155" i="1" s="1"/>
  <c r="P156" i="1"/>
  <c r="R156" i="1" s="1"/>
  <c r="P157" i="1"/>
  <c r="R157" i="1" s="1"/>
  <c r="P158" i="1"/>
  <c r="Q158" i="1" s="1"/>
  <c r="P159" i="1"/>
  <c r="Q159" i="1" s="1"/>
  <c r="P160" i="1"/>
  <c r="Q160" i="1" s="1"/>
  <c r="P161" i="1"/>
  <c r="Q161" i="1" s="1"/>
  <c r="P162" i="1"/>
  <c r="R162" i="1" s="1"/>
  <c r="P163" i="1"/>
  <c r="R163" i="1" s="1"/>
  <c r="P164" i="1"/>
  <c r="R164" i="1" s="1"/>
  <c r="P165" i="1"/>
  <c r="Q165" i="1" s="1"/>
  <c r="P166" i="1"/>
  <c r="Q166" i="1" s="1"/>
  <c r="P167" i="1"/>
  <c r="Q167" i="1" s="1"/>
  <c r="P168" i="1"/>
  <c r="R168" i="1" s="1"/>
  <c r="P169" i="1"/>
  <c r="R169" i="1" s="1"/>
  <c r="P170" i="1"/>
  <c r="R170" i="1" s="1"/>
  <c r="P171" i="1"/>
  <c r="R171" i="1" s="1"/>
  <c r="P172" i="1"/>
  <c r="R172" i="1" s="1"/>
  <c r="P173" i="1"/>
  <c r="Q173" i="1" s="1"/>
  <c r="P174" i="1"/>
  <c r="Q174" i="1" s="1"/>
  <c r="P175" i="1"/>
  <c r="Q175" i="1" s="1"/>
  <c r="P176" i="1"/>
  <c r="R176" i="1" s="1"/>
  <c r="P177" i="1"/>
  <c r="R177" i="1" s="1"/>
  <c r="P178" i="1"/>
  <c r="R178" i="1" s="1"/>
  <c r="P179" i="1"/>
  <c r="Q179" i="1" s="1"/>
  <c r="P180" i="1"/>
  <c r="Q180" i="1" s="1"/>
  <c r="P181" i="1"/>
  <c r="Q181" i="1" s="1"/>
  <c r="P182" i="1"/>
  <c r="R182" i="1" s="1"/>
  <c r="P183" i="1"/>
  <c r="R183" i="1" s="1"/>
  <c r="P184" i="1"/>
  <c r="R184" i="1" s="1"/>
  <c r="P185" i="1"/>
  <c r="R185" i="1" s="1"/>
  <c r="P186" i="1"/>
  <c r="Q186" i="1" s="1"/>
  <c r="P187" i="1"/>
  <c r="Q187" i="1" s="1"/>
  <c r="P188" i="1"/>
  <c r="R188" i="1" s="1"/>
  <c r="P189" i="1"/>
  <c r="R189" i="1" s="1"/>
  <c r="P190" i="1"/>
  <c r="R190" i="1" s="1"/>
  <c r="P191" i="1"/>
  <c r="R191" i="1" s="1"/>
  <c r="P192" i="1"/>
  <c r="R192" i="1" s="1"/>
  <c r="P193" i="1"/>
  <c r="Q193" i="1" s="1"/>
  <c r="P194" i="1"/>
  <c r="Q194" i="1" s="1"/>
  <c r="P196" i="1"/>
  <c r="Q196" i="1" s="1"/>
  <c r="P197" i="1"/>
  <c r="R197" i="1" s="1"/>
  <c r="P200" i="1"/>
  <c r="R200" i="1" s="1"/>
  <c r="P201" i="1"/>
  <c r="R201" i="1" s="1"/>
  <c r="P202" i="1"/>
  <c r="R202" i="1" s="1"/>
  <c r="P203" i="1"/>
  <c r="R203" i="1" s="1"/>
  <c r="P204" i="1"/>
  <c r="Q204" i="1" s="1"/>
  <c r="P205" i="1"/>
  <c r="Q205" i="1" s="1"/>
  <c r="P206" i="1"/>
  <c r="Q206" i="1" s="1"/>
  <c r="P209" i="1"/>
  <c r="R209" i="1" s="1"/>
  <c r="P210" i="1"/>
  <c r="R210" i="1" s="1"/>
  <c r="P211" i="1"/>
  <c r="R211" i="1" s="1"/>
  <c r="P212" i="1"/>
  <c r="Q212" i="1" s="1"/>
  <c r="P213" i="1"/>
  <c r="Q213" i="1" s="1"/>
  <c r="P214" i="1"/>
  <c r="Q214" i="1" s="1"/>
  <c r="P216" i="1"/>
  <c r="R216" i="1" s="1"/>
  <c r="P217" i="1"/>
  <c r="R217" i="1" s="1"/>
  <c r="P218" i="1"/>
  <c r="R218" i="1" s="1"/>
  <c r="P219" i="1"/>
  <c r="R219" i="1" s="1"/>
  <c r="P220" i="1"/>
  <c r="R220" i="1" s="1"/>
  <c r="P221" i="1"/>
  <c r="Q221" i="1" s="1"/>
  <c r="P222" i="1"/>
  <c r="Q222" i="1" s="1"/>
  <c r="P223" i="1"/>
  <c r="Q223" i="1" s="1"/>
  <c r="P224" i="1"/>
  <c r="R224" i="1" s="1"/>
  <c r="P225" i="1"/>
  <c r="R225" i="1" s="1"/>
  <c r="P226" i="1"/>
  <c r="R226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9" i="1"/>
  <c r="J111" i="1"/>
  <c r="J112" i="1"/>
  <c r="J113" i="1"/>
  <c r="J114" i="1"/>
  <c r="J115" i="1"/>
  <c r="J116" i="1"/>
  <c r="J117" i="1"/>
  <c r="J118" i="1"/>
  <c r="J119" i="1"/>
  <c r="J120" i="1"/>
  <c r="J121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6" i="1"/>
  <c r="J197" i="1"/>
  <c r="J200" i="1"/>
  <c r="J201" i="1"/>
  <c r="J202" i="1"/>
  <c r="J203" i="1"/>
  <c r="J204" i="1"/>
  <c r="J205" i="1"/>
  <c r="J206" i="1"/>
  <c r="J209" i="1"/>
  <c r="J210" i="1"/>
  <c r="J211" i="1"/>
  <c r="J212" i="1"/>
  <c r="J213" i="1"/>
  <c r="J214" i="1"/>
  <c r="J216" i="1"/>
  <c r="J217" i="1"/>
  <c r="J218" i="1"/>
  <c r="J219" i="1"/>
  <c r="J220" i="1"/>
  <c r="J221" i="1"/>
  <c r="J222" i="1"/>
  <c r="J223" i="1"/>
  <c r="J224" i="1"/>
  <c r="J225" i="1"/>
  <c r="J226" i="1"/>
  <c r="P2" i="1"/>
  <c r="J2" i="1"/>
  <c r="T2" i="7" l="1"/>
  <c r="U2" i="7"/>
  <c r="U6" i="7"/>
  <c r="T6" i="7"/>
  <c r="U5" i="7"/>
  <c r="T5" i="7"/>
  <c r="U4" i="7"/>
  <c r="T4" i="7"/>
  <c r="T9" i="7"/>
  <c r="U9" i="7"/>
  <c r="U11" i="7"/>
  <c r="T11" i="7"/>
  <c r="T3" i="7"/>
  <c r="U3" i="7"/>
  <c r="T10" i="7"/>
  <c r="U10" i="7"/>
  <c r="U8" i="7"/>
  <c r="T8" i="7"/>
  <c r="T7" i="7"/>
  <c r="U7" i="7"/>
  <c r="Q41" i="1"/>
  <c r="Q40" i="1"/>
  <c r="Q39" i="1"/>
  <c r="R34" i="1"/>
  <c r="R46" i="1"/>
  <c r="R38" i="1"/>
  <c r="R45" i="1"/>
  <c r="R37" i="1"/>
  <c r="R42" i="1"/>
  <c r="R44" i="1"/>
  <c r="R36" i="1"/>
  <c r="R43" i="1"/>
  <c r="R35" i="1"/>
  <c r="R18" i="1"/>
  <c r="R9" i="1"/>
  <c r="Q32" i="1"/>
  <c r="Q24" i="1"/>
  <c r="Q16" i="1"/>
  <c r="Q8" i="1"/>
  <c r="Q31" i="1"/>
  <c r="Q23" i="1"/>
  <c r="Q15" i="1"/>
  <c r="Q7" i="1"/>
  <c r="R10" i="1"/>
  <c r="Q25" i="1"/>
  <c r="R30" i="1"/>
  <c r="R22" i="1"/>
  <c r="Q14" i="1"/>
  <c r="Q6" i="1"/>
  <c r="R2" i="1"/>
  <c r="R29" i="1"/>
  <c r="R21" i="1"/>
  <c r="R13" i="1"/>
  <c r="Q5" i="1"/>
  <c r="R26" i="1"/>
  <c r="Q33" i="1"/>
  <c r="R28" i="1"/>
  <c r="R20" i="1"/>
  <c r="R12" i="1"/>
  <c r="R4" i="1"/>
  <c r="Q17" i="1"/>
  <c r="R27" i="1"/>
  <c r="R19" i="1"/>
  <c r="R11" i="1"/>
  <c r="R3" i="1"/>
  <c r="Q183" i="1"/>
  <c r="Q155" i="1"/>
  <c r="Q67" i="1"/>
  <c r="Q163" i="1"/>
  <c r="Q59" i="1"/>
  <c r="Q131" i="1"/>
  <c r="Q52" i="1"/>
  <c r="Q43" i="1"/>
  <c r="Q99" i="1"/>
  <c r="Q36" i="1"/>
  <c r="Q91" i="1"/>
  <c r="Q19" i="1"/>
  <c r="Q189" i="1"/>
  <c r="Q84" i="1"/>
  <c r="Q4" i="1"/>
  <c r="Q11" i="1"/>
  <c r="Q216" i="1"/>
  <c r="Q209" i="1"/>
  <c r="Q184" i="1"/>
  <c r="Q156" i="1"/>
  <c r="Q92" i="1"/>
  <c r="Q60" i="1"/>
  <c r="Q44" i="1"/>
  <c r="Q12" i="1"/>
  <c r="Q226" i="1"/>
  <c r="Q148" i="1"/>
  <c r="Q116" i="1"/>
  <c r="Q225" i="1"/>
  <c r="Q201" i="1"/>
  <c r="Q147" i="1"/>
  <c r="Q115" i="1"/>
  <c r="Q83" i="1"/>
  <c r="Q51" i="1"/>
  <c r="Q35" i="1"/>
  <c r="Q3" i="1"/>
  <c r="Q224" i="1"/>
  <c r="Q200" i="1"/>
  <c r="Q170" i="1"/>
  <c r="Q140" i="1"/>
  <c r="Q76" i="1"/>
  <c r="Q28" i="1"/>
  <c r="R6" i="1"/>
  <c r="Q218" i="1"/>
  <c r="Q197" i="1"/>
  <c r="Q169" i="1"/>
  <c r="Q139" i="1"/>
  <c r="Q107" i="1"/>
  <c r="Q75" i="1"/>
  <c r="Q27" i="1"/>
  <c r="R5" i="1"/>
  <c r="Q217" i="1"/>
  <c r="Q190" i="1"/>
  <c r="Q164" i="1"/>
  <c r="Q132" i="1"/>
  <c r="Q100" i="1"/>
  <c r="Q68" i="1"/>
  <c r="Q20" i="1"/>
  <c r="R221" i="1"/>
  <c r="R179" i="1"/>
  <c r="R143" i="1"/>
  <c r="R111" i="1"/>
  <c r="R71" i="1"/>
  <c r="R47" i="1"/>
  <c r="R31" i="1"/>
  <c r="R186" i="1"/>
  <c r="R158" i="1"/>
  <c r="R94" i="1"/>
  <c r="R70" i="1"/>
  <c r="R14" i="1"/>
  <c r="Q220" i="1"/>
  <c r="Q211" i="1"/>
  <c r="Q203" i="1"/>
  <c r="Q192" i="1"/>
  <c r="Q178" i="1"/>
  <c r="Q172" i="1"/>
  <c r="Q150" i="1"/>
  <c r="Q142" i="1"/>
  <c r="Q134" i="1"/>
  <c r="Q118" i="1"/>
  <c r="Q86" i="1"/>
  <c r="Q78" i="1"/>
  <c r="Q62" i="1"/>
  <c r="Q54" i="1"/>
  <c r="Q46" i="1"/>
  <c r="Q38" i="1"/>
  <c r="Q30" i="1"/>
  <c r="Q22" i="1"/>
  <c r="R223" i="1"/>
  <c r="R214" i="1"/>
  <c r="R206" i="1"/>
  <c r="R196" i="1"/>
  <c r="R187" i="1"/>
  <c r="R181" i="1"/>
  <c r="R175" i="1"/>
  <c r="R167" i="1"/>
  <c r="R161" i="1"/>
  <c r="R153" i="1"/>
  <c r="R145" i="1"/>
  <c r="R137" i="1"/>
  <c r="R129" i="1"/>
  <c r="R121" i="1"/>
  <c r="R113" i="1"/>
  <c r="R105" i="1"/>
  <c r="R97" i="1"/>
  <c r="R89" i="1"/>
  <c r="R81" i="1"/>
  <c r="R73" i="1"/>
  <c r="R65" i="1"/>
  <c r="R57" i="1"/>
  <c r="R49" i="1"/>
  <c r="R41" i="1"/>
  <c r="R33" i="1"/>
  <c r="R25" i="1"/>
  <c r="R17" i="1"/>
  <c r="R8" i="1"/>
  <c r="R151" i="1"/>
  <c r="R119" i="1"/>
  <c r="R79" i="1"/>
  <c r="R23" i="1"/>
  <c r="Q219" i="1"/>
  <c r="Q210" i="1"/>
  <c r="Q202" i="1"/>
  <c r="Q191" i="1"/>
  <c r="Q185" i="1"/>
  <c r="Q177" i="1"/>
  <c r="Q171" i="1"/>
  <c r="Q157" i="1"/>
  <c r="Q149" i="1"/>
  <c r="Q141" i="1"/>
  <c r="Q133" i="1"/>
  <c r="Q117" i="1"/>
  <c r="Q109" i="1"/>
  <c r="Q101" i="1"/>
  <c r="Q93" i="1"/>
  <c r="Q85" i="1"/>
  <c r="Q77" i="1"/>
  <c r="Q69" i="1"/>
  <c r="Q61" i="1"/>
  <c r="Q53" i="1"/>
  <c r="Q45" i="1"/>
  <c r="Q37" i="1"/>
  <c r="Q29" i="1"/>
  <c r="Q21" i="1"/>
  <c r="Q13" i="1"/>
  <c r="R222" i="1"/>
  <c r="R213" i="1"/>
  <c r="R205" i="1"/>
  <c r="R194" i="1"/>
  <c r="R180" i="1"/>
  <c r="R174" i="1"/>
  <c r="R166" i="1"/>
  <c r="R160" i="1"/>
  <c r="R152" i="1"/>
  <c r="R144" i="1"/>
  <c r="R136" i="1"/>
  <c r="R128" i="1"/>
  <c r="R120" i="1"/>
  <c r="R112" i="1"/>
  <c r="R104" i="1"/>
  <c r="R96" i="1"/>
  <c r="R88" i="1"/>
  <c r="R80" i="1"/>
  <c r="R72" i="1"/>
  <c r="R64" i="1"/>
  <c r="R56" i="1"/>
  <c r="R48" i="1"/>
  <c r="R40" i="1"/>
  <c r="R32" i="1"/>
  <c r="R24" i="1"/>
  <c r="R16" i="1"/>
  <c r="R7" i="1"/>
  <c r="R212" i="1"/>
  <c r="Q188" i="1"/>
  <c r="Q182" i="1"/>
  <c r="Q176" i="1"/>
  <c r="Q168" i="1"/>
  <c r="Q162" i="1"/>
  <c r="Q154" i="1"/>
  <c r="Q146" i="1"/>
  <c r="Q138" i="1"/>
  <c r="Q130" i="1"/>
  <c r="Q122" i="1"/>
  <c r="Q114" i="1"/>
  <c r="Q106" i="1"/>
  <c r="Q98" i="1"/>
  <c r="Q90" i="1"/>
  <c r="Q82" i="1"/>
  <c r="Q74" i="1"/>
  <c r="Q66" i="1"/>
  <c r="Q58" i="1"/>
  <c r="Q50" i="1"/>
  <c r="Q42" i="1"/>
  <c r="Q34" i="1"/>
  <c r="Q26" i="1"/>
  <c r="Q18" i="1"/>
  <c r="Q10" i="1"/>
  <c r="Q2" i="1"/>
  <c r="R165" i="1"/>
  <c r="R135" i="1"/>
  <c r="R63" i="1"/>
  <c r="Q9" i="1"/>
  <c r="R204" i="1"/>
  <c r="R159" i="1"/>
  <c r="R103" i="1"/>
  <c r="R39" i="1"/>
  <c r="R193" i="1"/>
  <c r="R173" i="1"/>
  <c r="R127" i="1"/>
  <c r="R87" i="1"/>
  <c r="R55" i="1"/>
  <c r="R15" i="1"/>
  <c r="U216" i="1" l="1"/>
  <c r="U196" i="1"/>
  <c r="Z11" i="7" l="1"/>
  <c r="AJ196" i="1"/>
  <c r="AJ216" i="1"/>
  <c r="W196" i="1"/>
  <c r="W216" i="1"/>
  <c r="U195" i="1"/>
  <c r="U215" i="1"/>
  <c r="Z10" i="7" l="1"/>
  <c r="AJ215" i="1"/>
  <c r="AJ195" i="1"/>
  <c r="W215" i="1"/>
  <c r="W195" i="1"/>
  <c r="U214" i="1"/>
  <c r="U194" i="1"/>
  <c r="AJ194" i="1" l="1"/>
  <c r="AJ214" i="1"/>
  <c r="W194" i="1"/>
  <c r="W214" i="1"/>
  <c r="U193" i="1"/>
  <c r="U213" i="1"/>
  <c r="Z8" i="7" l="1"/>
  <c r="AJ193" i="1"/>
  <c r="AJ213" i="1"/>
  <c r="W213" i="1"/>
  <c r="W193" i="1"/>
  <c r="U192" i="1"/>
  <c r="U212" i="1"/>
  <c r="Z7" i="7" l="1"/>
  <c r="AJ212" i="1"/>
  <c r="AJ192" i="1"/>
  <c r="W212" i="1"/>
  <c r="W192" i="1"/>
  <c r="U191" i="1"/>
  <c r="U211" i="1"/>
  <c r="AJ211" i="1" s="1"/>
  <c r="AJ191" i="1" l="1"/>
  <c r="Z6" i="7"/>
  <c r="W191" i="1"/>
  <c r="W211" i="1"/>
  <c r="U188" i="1"/>
  <c r="U210" i="1"/>
  <c r="AJ210" i="1" s="1"/>
  <c r="U207" i="1"/>
  <c r="U208" i="1"/>
  <c r="U190" i="1"/>
  <c r="U187" i="1"/>
  <c r="Z2" i="7" l="1"/>
  <c r="AJ190" i="1"/>
  <c r="Z5" i="7"/>
  <c r="Z3" i="7"/>
  <c r="AJ207" i="1"/>
  <c r="AJ187" i="1"/>
  <c r="AJ208" i="1"/>
  <c r="Z9" i="7"/>
  <c r="AJ188" i="1"/>
  <c r="Z4" i="7"/>
  <c r="W208" i="1"/>
  <c r="W207" i="1"/>
  <c r="W210" i="1"/>
  <c r="W188" i="1"/>
  <c r="W187" i="1"/>
  <c r="W190" i="1"/>
  <c r="AJ64" i="1" l="1"/>
  <c r="AJ54" i="1"/>
  <c r="AJ67" i="1"/>
  <c r="AJ47" i="1"/>
  <c r="AJ58" i="1"/>
  <c r="AJ52" i="1"/>
  <c r="AJ71" i="1"/>
  <c r="AJ59" i="1"/>
  <c r="AJ63" i="1"/>
  <c r="AJ65" i="1"/>
  <c r="AJ69" i="1"/>
  <c r="AJ56" i="1"/>
  <c r="AJ53" i="1"/>
  <c r="AJ62" i="1"/>
  <c r="AJ50" i="1"/>
  <c r="AJ73" i="1"/>
  <c r="AJ60" i="1"/>
  <c r="AJ49" i="1"/>
  <c r="AJ51" i="1"/>
  <c r="AJ48" i="1"/>
  <c r="AJ61" i="1"/>
  <c r="AJ57" i="1"/>
  <c r="AJ70" i="1"/>
  <c r="AJ72" i="1"/>
  <c r="AJ66" i="1"/>
  <c r="AJ55" i="1"/>
  <c r="AJ68" i="1"/>
  <c r="AJ246" i="1" l="1"/>
  <c r="AI105" i="1" l="1"/>
  <c r="AJ105" i="1" s="1"/>
  <c r="AI100" i="1"/>
  <c r="AJ100" i="1" s="1"/>
  <c r="AI103" i="1"/>
  <c r="AJ103" i="1" s="1"/>
  <c r="AI98" i="1"/>
  <c r="AJ98" i="1" s="1"/>
  <c r="AI106" i="1"/>
  <c r="AJ106" i="1" s="1"/>
  <c r="AI99" i="1"/>
  <c r="AJ99" i="1" s="1"/>
  <c r="AI101" i="1"/>
  <c r="AJ101" i="1" s="1"/>
  <c r="AI102" i="1"/>
  <c r="AJ102" i="1" s="1"/>
  <c r="AI104" i="1"/>
  <c r="AJ104" i="1" s="1"/>
  <c r="AI46" i="1" l="1"/>
  <c r="AJ46" i="1" s="1"/>
  <c r="AI40" i="1"/>
  <c r="AJ40" i="1" s="1"/>
  <c r="AI23" i="1"/>
  <c r="AJ23" i="1" s="1"/>
  <c r="AI31" i="1"/>
  <c r="AJ31" i="1" s="1"/>
  <c r="AI30" i="1"/>
  <c r="AJ30" i="1" s="1"/>
  <c r="AI39" i="1"/>
  <c r="AJ39" i="1" s="1"/>
  <c r="AI29" i="1"/>
  <c r="AJ29" i="1" s="1"/>
  <c r="AI43" i="1"/>
  <c r="AJ43" i="1" s="1"/>
  <c r="AI37" i="1"/>
  <c r="AJ37" i="1" s="1"/>
  <c r="AI32" i="1"/>
  <c r="AJ32" i="1" s="1"/>
  <c r="AI35" i="1"/>
  <c r="AJ35" i="1" s="1"/>
  <c r="AI41" i="1"/>
  <c r="AJ41" i="1" s="1"/>
  <c r="AI38" i="1"/>
  <c r="AJ38" i="1" s="1"/>
  <c r="AI24" i="1"/>
  <c r="AJ24" i="1" s="1"/>
  <c r="AI44" i="1"/>
  <c r="AJ44" i="1" s="1"/>
  <c r="AI45" i="1"/>
  <c r="AJ45" i="1" s="1"/>
  <c r="AI22" i="1"/>
  <c r="AJ22" i="1" s="1"/>
  <c r="AI42" i="1"/>
  <c r="AJ42" i="1" s="1"/>
  <c r="AI34" i="1"/>
  <c r="AJ34" i="1" s="1"/>
  <c r="AI33" i="1"/>
  <c r="AJ33" i="1" s="1"/>
  <c r="AI36" i="1"/>
  <c r="AJ36" i="1" s="1"/>
  <c r="AI28" i="1"/>
  <c r="AJ28" i="1" s="1"/>
  <c r="AI21" i="1"/>
  <c r="AJ21" i="1" s="1"/>
  <c r="AI123" i="1" l="1"/>
  <c r="AJ123" i="1" l="1"/>
  <c r="AI172" i="1"/>
  <c r="AJ172" i="1" s="1"/>
  <c r="AI128" i="1"/>
  <c r="AJ128" i="1" s="1"/>
  <c r="AI135" i="1"/>
  <c r="AI257" i="1"/>
  <c r="AJ257" i="1" s="1"/>
  <c r="AI180" i="1"/>
  <c r="AJ180" i="1" s="1"/>
  <c r="AI261" i="1"/>
  <c r="AJ261" i="1" s="1"/>
  <c r="AI121" i="1"/>
  <c r="AJ121" i="1" s="1"/>
  <c r="AI245" i="1"/>
  <c r="AJ245" i="1" s="1"/>
  <c r="AI237" i="1"/>
  <c r="AJ237" i="1" s="1"/>
  <c r="AI229" i="1"/>
  <c r="AJ229" i="1" s="1"/>
  <c r="AI170" i="1"/>
  <c r="AJ170" i="1" s="1"/>
  <c r="AI162" i="1"/>
  <c r="AJ162" i="1" s="1"/>
  <c r="AI150" i="1"/>
  <c r="AJ150" i="1" s="1"/>
  <c r="AI142" i="1"/>
  <c r="AJ142" i="1" s="1"/>
  <c r="AI134" i="1"/>
  <c r="AJ134" i="1" s="1"/>
  <c r="AI126" i="1"/>
  <c r="AJ126" i="1" s="1"/>
  <c r="AI107" i="1"/>
  <c r="AJ107" i="1" s="1"/>
  <c r="AI144" i="1"/>
  <c r="AJ144" i="1" s="1"/>
  <c r="AI122" i="1"/>
  <c r="AJ122" i="1" s="1"/>
  <c r="AI230" i="1"/>
  <c r="AJ230" i="1" s="1"/>
  <c r="AI184" i="1"/>
  <c r="AJ184" i="1" s="1"/>
  <c r="AI249" i="1"/>
  <c r="AJ249" i="1" s="1"/>
  <c r="AI179" i="1"/>
  <c r="AI260" i="1"/>
  <c r="AJ260" i="1" s="1"/>
  <c r="AI252" i="1"/>
  <c r="AJ252" i="1" s="1"/>
  <c r="AI112" i="1"/>
  <c r="AJ112" i="1" s="1"/>
  <c r="AI244" i="1"/>
  <c r="AJ244" i="1" s="1"/>
  <c r="AI228" i="1"/>
  <c r="AJ228" i="1" s="1"/>
  <c r="AI169" i="1"/>
  <c r="AI161" i="1"/>
  <c r="AJ161" i="1" s="1"/>
  <c r="AI149" i="1"/>
  <c r="AJ149" i="1" s="1"/>
  <c r="AI141" i="1"/>
  <c r="AJ141" i="1" s="1"/>
  <c r="AI133" i="1"/>
  <c r="AI125" i="1"/>
  <c r="AI255" i="1"/>
  <c r="AJ255" i="1" s="1"/>
  <c r="AI239" i="1"/>
  <c r="AJ239" i="1" s="1"/>
  <c r="AI164" i="1"/>
  <c r="AJ164" i="1" s="1"/>
  <c r="AI156" i="1"/>
  <c r="AJ156" i="1" s="1"/>
  <c r="AI152" i="1"/>
  <c r="AJ152" i="1" s="1"/>
  <c r="AI262" i="1"/>
  <c r="AJ262" i="1" s="1"/>
  <c r="AI114" i="1"/>
  <c r="AJ114" i="1" s="1"/>
  <c r="AI171" i="1"/>
  <c r="AI186" i="1"/>
  <c r="AJ186" i="1" s="1"/>
  <c r="AI178" i="1"/>
  <c r="AJ178" i="1" s="1"/>
  <c r="AI259" i="1"/>
  <c r="AJ259" i="1" s="1"/>
  <c r="AI251" i="1"/>
  <c r="AJ251" i="1" s="1"/>
  <c r="AI119" i="1"/>
  <c r="AJ119" i="1" s="1"/>
  <c r="AI111" i="1"/>
  <c r="AJ111" i="1" s="1"/>
  <c r="AI243" i="1"/>
  <c r="AJ243" i="1" s="1"/>
  <c r="AI235" i="1"/>
  <c r="AJ235" i="1" s="1"/>
  <c r="AI227" i="1"/>
  <c r="AJ227" i="1" s="1"/>
  <c r="AI168" i="1"/>
  <c r="AJ168" i="1" s="1"/>
  <c r="AI160" i="1"/>
  <c r="AJ160" i="1" s="1"/>
  <c r="AI148" i="1"/>
  <c r="AJ148" i="1" s="1"/>
  <c r="AI140" i="1"/>
  <c r="AJ140" i="1" s="1"/>
  <c r="AI132" i="1"/>
  <c r="AJ132" i="1" s="1"/>
  <c r="AI124" i="1"/>
  <c r="AJ124" i="1" s="1"/>
  <c r="AI247" i="1"/>
  <c r="AJ247" i="1" s="1"/>
  <c r="AI231" i="1"/>
  <c r="AJ231" i="1" s="1"/>
  <c r="AI181" i="1"/>
  <c r="AI254" i="1"/>
  <c r="AJ254" i="1" s="1"/>
  <c r="AI238" i="1"/>
  <c r="AJ238" i="1" s="1"/>
  <c r="AI163" i="1"/>
  <c r="AJ163" i="1" s="1"/>
  <c r="AI151" i="1"/>
  <c r="AJ151" i="1" s="1"/>
  <c r="AI127" i="1"/>
  <c r="AI176" i="1"/>
  <c r="AJ176" i="1" s="1"/>
  <c r="AI117" i="1"/>
  <c r="AJ117" i="1" s="1"/>
  <c r="AI185" i="1"/>
  <c r="AI177" i="1"/>
  <c r="AI250" i="1"/>
  <c r="AJ250" i="1" s="1"/>
  <c r="AI118" i="1"/>
  <c r="AJ118" i="1" s="1"/>
  <c r="AI242" i="1"/>
  <c r="AJ242" i="1" s="1"/>
  <c r="AI234" i="1"/>
  <c r="AJ234" i="1" s="1"/>
  <c r="AI175" i="1"/>
  <c r="AI167" i="1"/>
  <c r="AI159" i="1"/>
  <c r="AI147" i="1"/>
  <c r="AJ147" i="1" s="1"/>
  <c r="AI139" i="1"/>
  <c r="AI131" i="1"/>
  <c r="AI256" i="1"/>
  <c r="AJ256" i="1" s="1"/>
  <c r="AI240" i="1"/>
  <c r="AJ240" i="1" s="1"/>
  <c r="AI157" i="1"/>
  <c r="AI145" i="1"/>
  <c r="AJ145" i="1" s="1"/>
  <c r="AI136" i="1"/>
  <c r="AJ136" i="1" s="1"/>
  <c r="AI174" i="1"/>
  <c r="AJ174" i="1" s="1"/>
  <c r="AI155" i="1"/>
  <c r="AI143" i="1"/>
  <c r="AJ143" i="1" s="1"/>
  <c r="AI173" i="1"/>
  <c r="AI130" i="1"/>
  <c r="AJ130" i="1" s="1"/>
  <c r="AI253" i="1"/>
  <c r="AJ253" i="1" s="1"/>
  <c r="AI113" i="1"/>
  <c r="AJ113" i="1" s="1"/>
  <c r="AI120" i="1"/>
  <c r="AJ120" i="1" s="1"/>
  <c r="AI248" i="1"/>
  <c r="AJ248" i="1" s="1"/>
  <c r="AI137" i="1"/>
  <c r="AI154" i="1"/>
  <c r="AJ154" i="1" s="1"/>
  <c r="AI166" i="1"/>
  <c r="AJ166" i="1" s="1"/>
  <c r="AI153" i="1"/>
  <c r="AJ153" i="1" s="1"/>
  <c r="AI241" i="1"/>
  <c r="AJ241" i="1" s="1"/>
  <c r="AI232" i="1"/>
  <c r="AJ232" i="1" s="1"/>
  <c r="AI182" i="1"/>
  <c r="AJ182" i="1" s="1"/>
  <c r="AI116" i="1"/>
  <c r="AJ116" i="1" s="1"/>
  <c r="AI158" i="1"/>
  <c r="AJ158" i="1" s="1"/>
  <c r="AI115" i="1"/>
  <c r="AJ115" i="1" s="1"/>
  <c r="AI109" i="1"/>
  <c r="AJ109" i="1" s="1"/>
  <c r="AI129" i="1"/>
  <c r="AI258" i="1"/>
  <c r="AJ258" i="1" s="1"/>
  <c r="AI165" i="1"/>
  <c r="AJ165" i="1" s="1"/>
  <c r="AI146" i="1"/>
  <c r="AJ146" i="1" s="1"/>
  <c r="AI183" i="1"/>
  <c r="AI233" i="1"/>
  <c r="AJ233" i="1" s="1"/>
  <c r="AI138" i="1"/>
  <c r="AJ138" i="1" s="1"/>
  <c r="AJ137" i="1" l="1"/>
  <c r="AJ155" i="1"/>
  <c r="AJ157" i="1"/>
  <c r="AJ139" i="1"/>
  <c r="AJ175" i="1"/>
  <c r="AJ171" i="1"/>
  <c r="AJ125" i="1"/>
  <c r="AJ183" i="1"/>
  <c r="AJ129" i="1"/>
  <c r="AJ177" i="1"/>
  <c r="AJ127" i="1"/>
  <c r="AJ133" i="1"/>
  <c r="AJ169" i="1"/>
  <c r="AJ173" i="1"/>
  <c r="AJ159" i="1"/>
  <c r="AJ185" i="1"/>
  <c r="AJ181" i="1"/>
  <c r="AJ131" i="1"/>
  <c r="AJ167" i="1"/>
  <c r="AJ179" i="1"/>
  <c r="AJ135" i="1"/>
  <c r="AI10" i="1"/>
  <c r="AJ10" i="1" s="1"/>
  <c r="AI9" i="1"/>
  <c r="AJ9" i="1" s="1"/>
  <c r="AI5" i="1"/>
  <c r="AJ5" i="1" s="1"/>
  <c r="AI14" i="1"/>
  <c r="AJ14" i="1" s="1"/>
  <c r="AI18" i="1"/>
  <c r="AJ18" i="1" s="1"/>
  <c r="AI12" i="1"/>
  <c r="AJ12" i="1" s="1"/>
  <c r="AI6" i="1"/>
  <c r="AJ6" i="1" s="1"/>
  <c r="AI7" i="1"/>
  <c r="AJ7" i="1" s="1"/>
  <c r="AI13" i="1"/>
  <c r="AJ13" i="1" s="1"/>
  <c r="AI16" i="1"/>
  <c r="AJ16" i="1" s="1"/>
  <c r="AI3" i="1"/>
  <c r="AJ3" i="1" s="1"/>
  <c r="AI15" i="1"/>
  <c r="AJ15" i="1" s="1"/>
  <c r="AI11" i="1"/>
  <c r="AJ11" i="1" s="1"/>
  <c r="AI4" i="1"/>
  <c r="AJ4" i="1" s="1"/>
  <c r="AI8" i="1"/>
  <c r="AJ8" i="1" s="1"/>
  <c r="AI19" i="1"/>
  <c r="AJ19" i="1" s="1"/>
  <c r="AI20" i="1"/>
  <c r="AJ20" i="1" s="1"/>
  <c r="AI17" i="1"/>
  <c r="AJ17" i="1" s="1"/>
  <c r="AI2" i="1"/>
  <c r="AJ2" i="1" s="1"/>
</calcChain>
</file>

<file path=xl/sharedStrings.xml><?xml version="1.0" encoding="utf-8"?>
<sst xmlns="http://schemas.openxmlformats.org/spreadsheetml/2006/main" count="3898" uniqueCount="543">
  <si>
    <t>ID</t>
  </si>
  <si>
    <t>Study</t>
  </si>
  <si>
    <t>Sex</t>
  </si>
  <si>
    <t>Height</t>
  </si>
  <si>
    <t>Weight</t>
  </si>
  <si>
    <t>BMI</t>
  </si>
  <si>
    <t>Age</t>
  </si>
  <si>
    <t>Waist_Circumference</t>
  </si>
  <si>
    <t>Visceral_fat_g</t>
  </si>
  <si>
    <t>IHTG_%</t>
  </si>
  <si>
    <t>Visit</t>
  </si>
  <si>
    <t>Intervention</t>
  </si>
  <si>
    <t>Total_fat_g</t>
  </si>
  <si>
    <t>Lean_mass_g</t>
  </si>
  <si>
    <t>Total_mass_g</t>
  </si>
  <si>
    <t>Total_fat_%</t>
  </si>
  <si>
    <t>Lean_mass_%</t>
  </si>
  <si>
    <t>HOMA</t>
  </si>
  <si>
    <t>total_chol</t>
  </si>
  <si>
    <t>HDL_chol</t>
  </si>
  <si>
    <t>Non_HDL</t>
  </si>
  <si>
    <t>LDL_Friedewald</t>
  </si>
  <si>
    <t>VLDL</t>
  </si>
  <si>
    <t>Glucose</t>
  </si>
  <si>
    <t>Insulin</t>
  </si>
  <si>
    <t>NEFA</t>
  </si>
  <si>
    <t>TAG</t>
  </si>
  <si>
    <t>3OHB</t>
  </si>
  <si>
    <t>PNPLA3</t>
  </si>
  <si>
    <t>DGAT2</t>
  </si>
  <si>
    <t>Hip_circumference</t>
  </si>
  <si>
    <t>LH1</t>
  </si>
  <si>
    <t>LFCCS</t>
  </si>
  <si>
    <t>KP2</t>
  </si>
  <si>
    <t>LS3</t>
  </si>
  <si>
    <t>MW4</t>
  </si>
  <si>
    <t>RS5</t>
  </si>
  <si>
    <t>ML6</t>
  </si>
  <si>
    <t>NT7</t>
  </si>
  <si>
    <t>DA8</t>
  </si>
  <si>
    <t>AB9</t>
  </si>
  <si>
    <t>PT10</t>
  </si>
  <si>
    <t>RF11</t>
  </si>
  <si>
    <t>DD12</t>
  </si>
  <si>
    <t>LJ13</t>
  </si>
  <si>
    <t>MR14</t>
  </si>
  <si>
    <t>MJ15</t>
  </si>
  <si>
    <t>MS16</t>
  </si>
  <si>
    <t>WE17</t>
  </si>
  <si>
    <t>NC18</t>
  </si>
  <si>
    <t>RA19</t>
  </si>
  <si>
    <t>CS20</t>
  </si>
  <si>
    <t>PW21</t>
  </si>
  <si>
    <t>GJ23</t>
  </si>
  <si>
    <t>TA24</t>
  </si>
  <si>
    <t>RS1-A</t>
  </si>
  <si>
    <t>FOS_1</t>
  </si>
  <si>
    <t>MN3-A</t>
  </si>
  <si>
    <t>FOS_3</t>
  </si>
  <si>
    <t>DB5-A</t>
  </si>
  <si>
    <t>FOS_4</t>
  </si>
  <si>
    <t>RP7-A</t>
  </si>
  <si>
    <t>FOS_5</t>
  </si>
  <si>
    <t>AR11-A</t>
  </si>
  <si>
    <t>FOS_6</t>
  </si>
  <si>
    <t>DK13-A</t>
  </si>
  <si>
    <t>FOS_7</t>
  </si>
  <si>
    <t>MT14-A</t>
  </si>
  <si>
    <t>FOS_8</t>
  </si>
  <si>
    <t>WF16-A</t>
  </si>
  <si>
    <t>FOS_9</t>
  </si>
  <si>
    <t>MJ17-A</t>
  </si>
  <si>
    <t>FOS_10</t>
  </si>
  <si>
    <t>GS-21A</t>
  </si>
  <si>
    <t>FOS_11</t>
  </si>
  <si>
    <t>JW-23A</t>
  </si>
  <si>
    <t>FOS_12</t>
  </si>
  <si>
    <t>TG-24A</t>
  </si>
  <si>
    <t>FOS_13</t>
  </si>
  <si>
    <t>DP-28A</t>
  </si>
  <si>
    <t>FOS_14</t>
  </si>
  <si>
    <t>SB_31A</t>
  </si>
  <si>
    <t>FOS_15</t>
  </si>
  <si>
    <t>MW-32A</t>
  </si>
  <si>
    <t>FOS_16</t>
  </si>
  <si>
    <t>ST-33A</t>
  </si>
  <si>
    <t>FOS_17</t>
  </si>
  <si>
    <t>PH-34A</t>
  </si>
  <si>
    <t>FOS_18</t>
  </si>
  <si>
    <t>LR-35A</t>
  </si>
  <si>
    <t>FOS_19</t>
  </si>
  <si>
    <t>FOS_20</t>
  </si>
  <si>
    <t>RW</t>
  </si>
  <si>
    <t>FOS_21</t>
  </si>
  <si>
    <t>FOS_22</t>
  </si>
  <si>
    <t>FOS_23</t>
  </si>
  <si>
    <t>MM</t>
  </si>
  <si>
    <t>MS</t>
  </si>
  <si>
    <t>DB</t>
  </si>
  <si>
    <t>CH</t>
  </si>
  <si>
    <t>SL</t>
  </si>
  <si>
    <t>SB</t>
  </si>
  <si>
    <t>MC</t>
  </si>
  <si>
    <t>BHF1</t>
  </si>
  <si>
    <t>BHF2</t>
  </si>
  <si>
    <t>FT</t>
  </si>
  <si>
    <t>BHF3</t>
  </si>
  <si>
    <t>CJ</t>
  </si>
  <si>
    <t>BHF4</t>
  </si>
  <si>
    <t>JR</t>
  </si>
  <si>
    <t>BHF5</t>
  </si>
  <si>
    <t>SP</t>
  </si>
  <si>
    <t>BHF6</t>
  </si>
  <si>
    <t>JA</t>
  </si>
  <si>
    <t>BHF7</t>
  </si>
  <si>
    <t>AG</t>
  </si>
  <si>
    <t>BHF8</t>
  </si>
  <si>
    <t>K F-T</t>
  </si>
  <si>
    <t>BHF9</t>
  </si>
  <si>
    <t>BHF10</t>
  </si>
  <si>
    <t>JW</t>
  </si>
  <si>
    <t>BHF11</t>
  </si>
  <si>
    <t>BHF12</t>
  </si>
  <si>
    <t>GW</t>
  </si>
  <si>
    <t>BHF13</t>
  </si>
  <si>
    <t>BHF14</t>
  </si>
  <si>
    <t>AH</t>
  </si>
  <si>
    <t>BHF15</t>
  </si>
  <si>
    <t>TR</t>
  </si>
  <si>
    <t>BHF16</t>
  </si>
  <si>
    <t>CE</t>
  </si>
  <si>
    <t>BHF17</t>
  </si>
  <si>
    <t>SS</t>
  </si>
  <si>
    <t>BHF18</t>
  </si>
  <si>
    <t>NG</t>
  </si>
  <si>
    <t>BHF19</t>
  </si>
  <si>
    <t>BHF20</t>
  </si>
  <si>
    <t>LMc</t>
  </si>
  <si>
    <t>BHF21</t>
  </si>
  <si>
    <t>JM</t>
  </si>
  <si>
    <t>BHF22</t>
  </si>
  <si>
    <t>JF</t>
  </si>
  <si>
    <t>BHF23</t>
  </si>
  <si>
    <t>BHF24</t>
  </si>
  <si>
    <t>JB</t>
  </si>
  <si>
    <t>BHF25</t>
  </si>
  <si>
    <t>CC</t>
  </si>
  <si>
    <t>BHF26</t>
  </si>
  <si>
    <t>TC</t>
  </si>
  <si>
    <t>BHF27</t>
  </si>
  <si>
    <t>CDu</t>
  </si>
  <si>
    <t>BHF28</t>
  </si>
  <si>
    <t>Cdore</t>
  </si>
  <si>
    <t>BHF29</t>
  </si>
  <si>
    <t>SW</t>
  </si>
  <si>
    <t>BHF30</t>
  </si>
  <si>
    <t>TK</t>
  </si>
  <si>
    <t>BHF31</t>
  </si>
  <si>
    <t>TF</t>
  </si>
  <si>
    <t>BHF32</t>
  </si>
  <si>
    <t>CB</t>
  </si>
  <si>
    <t>BHF33</t>
  </si>
  <si>
    <t>SH</t>
  </si>
  <si>
    <t>BHF34</t>
  </si>
  <si>
    <t>JO</t>
  </si>
  <si>
    <t>BHF35</t>
  </si>
  <si>
    <t>PF</t>
  </si>
  <si>
    <t>BHF36</t>
  </si>
  <si>
    <t>RF</t>
  </si>
  <si>
    <t>BHF37</t>
  </si>
  <si>
    <t>KF</t>
  </si>
  <si>
    <t>BHF38</t>
  </si>
  <si>
    <t>SF</t>
  </si>
  <si>
    <t>BHF39</t>
  </si>
  <si>
    <t>RC</t>
  </si>
  <si>
    <t>BHF40</t>
  </si>
  <si>
    <t>BHF41</t>
  </si>
  <si>
    <t>BHF42</t>
  </si>
  <si>
    <t>RL</t>
  </si>
  <si>
    <t>BHF43</t>
  </si>
  <si>
    <t>BHF44</t>
  </si>
  <si>
    <t>EH</t>
  </si>
  <si>
    <t>BHF45</t>
  </si>
  <si>
    <t>KB</t>
  </si>
  <si>
    <t>BHF46</t>
  </si>
  <si>
    <t>KM</t>
  </si>
  <si>
    <t>BHF47</t>
  </si>
  <si>
    <t>JS</t>
  </si>
  <si>
    <t>BHF48</t>
  </si>
  <si>
    <t>BHF49</t>
  </si>
  <si>
    <t>CP</t>
  </si>
  <si>
    <t>BHF50</t>
  </si>
  <si>
    <t>ZS</t>
  </si>
  <si>
    <t>BHF51</t>
  </si>
  <si>
    <t>BHF52</t>
  </si>
  <si>
    <t>VB</t>
  </si>
  <si>
    <t>BHF53</t>
  </si>
  <si>
    <t>CWP</t>
  </si>
  <si>
    <t>BHF54</t>
  </si>
  <si>
    <t>KP</t>
  </si>
  <si>
    <t>BHF55</t>
  </si>
  <si>
    <t>AS</t>
  </si>
  <si>
    <t>BHF56</t>
  </si>
  <si>
    <t>SK</t>
  </si>
  <si>
    <t>BHF57</t>
  </si>
  <si>
    <t>LS</t>
  </si>
  <si>
    <t>BHF58</t>
  </si>
  <si>
    <t>SM</t>
  </si>
  <si>
    <t>BHF59</t>
  </si>
  <si>
    <t>BHF60</t>
  </si>
  <si>
    <t>SS1</t>
  </si>
  <si>
    <t>SS2</t>
  </si>
  <si>
    <t>SS3</t>
  </si>
  <si>
    <t>SS4</t>
  </si>
  <si>
    <t>SS5</t>
  </si>
  <si>
    <t>SS6</t>
  </si>
  <si>
    <t>SS7</t>
  </si>
  <si>
    <t>SS8</t>
  </si>
  <si>
    <t>SS9</t>
  </si>
  <si>
    <t>SS10</t>
  </si>
  <si>
    <t>SS11</t>
  </si>
  <si>
    <t>SS12</t>
  </si>
  <si>
    <t>SS13</t>
  </si>
  <si>
    <t>SS14</t>
  </si>
  <si>
    <t>SS15</t>
  </si>
  <si>
    <t>SS16</t>
  </si>
  <si>
    <t>Sugar_study</t>
  </si>
  <si>
    <t>F</t>
  </si>
  <si>
    <t>M</t>
  </si>
  <si>
    <t>GC</t>
  </si>
  <si>
    <t>GG</t>
  </si>
  <si>
    <t>GC001</t>
  </si>
  <si>
    <t>HFHS</t>
  </si>
  <si>
    <t>SOS</t>
  </si>
  <si>
    <t>SF002</t>
  </si>
  <si>
    <t>GC003</t>
  </si>
  <si>
    <t>RP004</t>
  </si>
  <si>
    <t>SJ005</t>
  </si>
  <si>
    <t>GL006</t>
  </si>
  <si>
    <t>ND007</t>
  </si>
  <si>
    <t>JL008</t>
  </si>
  <si>
    <t>CK009</t>
  </si>
  <si>
    <t>DC011</t>
  </si>
  <si>
    <t>JG012</t>
  </si>
  <si>
    <t>AK013</t>
  </si>
  <si>
    <t>MF014</t>
  </si>
  <si>
    <t>RVE015</t>
  </si>
  <si>
    <t>RC016</t>
  </si>
  <si>
    <t>BB017</t>
  </si>
  <si>
    <t>1A_M</t>
  </si>
  <si>
    <t>SMASH</t>
  </si>
  <si>
    <t>2A_M</t>
  </si>
  <si>
    <t>3A_M</t>
  </si>
  <si>
    <t>4A_M</t>
  </si>
  <si>
    <t>5A_M</t>
  </si>
  <si>
    <t>6A_M</t>
  </si>
  <si>
    <t>7A_M</t>
  </si>
  <si>
    <t>8A_M</t>
  </si>
  <si>
    <t>10A_M</t>
  </si>
  <si>
    <t>1A_D</t>
  </si>
  <si>
    <t>4A_D</t>
  </si>
  <si>
    <t>5A_D</t>
  </si>
  <si>
    <t>6A_D</t>
  </si>
  <si>
    <t>7A_D</t>
  </si>
  <si>
    <t>8A_D</t>
  </si>
  <si>
    <t>9A_D</t>
  </si>
  <si>
    <t>10A_D</t>
  </si>
  <si>
    <t>1B_M</t>
  </si>
  <si>
    <t>2B_M</t>
  </si>
  <si>
    <t>3B_M</t>
  </si>
  <si>
    <t>4B_M</t>
  </si>
  <si>
    <t>5B_M</t>
  </si>
  <si>
    <t>6B_M</t>
  </si>
  <si>
    <t>7B_M</t>
  </si>
  <si>
    <t>8B_M</t>
  </si>
  <si>
    <t>10B_M</t>
  </si>
  <si>
    <t>1B_D</t>
  </si>
  <si>
    <t>2B_D</t>
  </si>
  <si>
    <t>3B_D</t>
  </si>
  <si>
    <t>4B_D</t>
  </si>
  <si>
    <t>5B_D</t>
  </si>
  <si>
    <t>6B_D</t>
  </si>
  <si>
    <t>7B_D</t>
  </si>
  <si>
    <t>8B_D</t>
  </si>
  <si>
    <t>9B_D</t>
  </si>
  <si>
    <t>10B_D</t>
  </si>
  <si>
    <t>Waist_Hip_Ratio</t>
  </si>
  <si>
    <t>SOS001</t>
  </si>
  <si>
    <t>SOS002</t>
  </si>
  <si>
    <t>SOS003</t>
  </si>
  <si>
    <t>SOS004</t>
  </si>
  <si>
    <t>SOS005</t>
  </si>
  <si>
    <t>SOS007</t>
  </si>
  <si>
    <t>SOS008</t>
  </si>
  <si>
    <t>SOS009</t>
  </si>
  <si>
    <t>SOS010</t>
  </si>
  <si>
    <t>SOS011</t>
  </si>
  <si>
    <t>SOS012</t>
  </si>
  <si>
    <t>SOS014</t>
  </si>
  <si>
    <t>SOS015</t>
  </si>
  <si>
    <t>SOS016</t>
  </si>
  <si>
    <t>SOS017</t>
  </si>
  <si>
    <t>SOS018</t>
  </si>
  <si>
    <t>9A_M</t>
  </si>
  <si>
    <t>9B_M</t>
  </si>
  <si>
    <t>sugar</t>
  </si>
  <si>
    <t>fat</t>
  </si>
  <si>
    <t>2A_D</t>
  </si>
  <si>
    <t>3A_D</t>
  </si>
  <si>
    <t>Original study</t>
  </si>
  <si>
    <t>Original study ID</t>
  </si>
  <si>
    <t>Sample Number</t>
  </si>
  <si>
    <t>Collected</t>
  </si>
  <si>
    <t>Processed</t>
  </si>
  <si>
    <t>Yes</t>
  </si>
  <si>
    <t>No</t>
  </si>
  <si>
    <t>GND study ID</t>
  </si>
  <si>
    <t>Plasma water enrichment</t>
  </si>
  <si>
    <t>D</t>
  </si>
  <si>
    <t>Gluconeogensis (%)</t>
  </si>
  <si>
    <t>DNL (%)</t>
  </si>
  <si>
    <t>Intervention (1=fat) (2=sugar)</t>
  </si>
  <si>
    <t>GND Number</t>
  </si>
  <si>
    <t>SS1A</t>
  </si>
  <si>
    <t>SS2A</t>
  </si>
  <si>
    <t>SS3A</t>
  </si>
  <si>
    <t>SS4A</t>
  </si>
  <si>
    <t>SS5A</t>
  </si>
  <si>
    <t>SS6A</t>
  </si>
  <si>
    <t>SS7A</t>
  </si>
  <si>
    <t>SS8A</t>
  </si>
  <si>
    <t>SS9A</t>
  </si>
  <si>
    <t>SS10A</t>
  </si>
  <si>
    <t>SS11A</t>
  </si>
  <si>
    <t>SS12A</t>
  </si>
  <si>
    <t>SS13A</t>
  </si>
  <si>
    <t>SS14A</t>
  </si>
  <si>
    <t>SS15A</t>
  </si>
  <si>
    <t>SS16A</t>
  </si>
  <si>
    <t>SS1B</t>
  </si>
  <si>
    <t>SS2B</t>
  </si>
  <si>
    <t>SS3B</t>
  </si>
  <si>
    <t>SS4B</t>
  </si>
  <si>
    <t>SS5B</t>
  </si>
  <si>
    <t>SS6B</t>
  </si>
  <si>
    <t>SS7B</t>
  </si>
  <si>
    <t>SS8B</t>
  </si>
  <si>
    <t>SS9B</t>
  </si>
  <si>
    <t>SS10B</t>
  </si>
  <si>
    <t>SS11B</t>
  </si>
  <si>
    <t>SS12B</t>
  </si>
  <si>
    <t>SS13B</t>
  </si>
  <si>
    <t>SS14B</t>
  </si>
  <si>
    <t>SS15B</t>
  </si>
  <si>
    <t>SS16B</t>
  </si>
  <si>
    <t>SJH-36A</t>
  </si>
  <si>
    <t>SJ-38B</t>
  </si>
  <si>
    <t>JJC-39B</t>
  </si>
  <si>
    <t>JJC-39A</t>
  </si>
  <si>
    <t>SJ-38A</t>
  </si>
  <si>
    <t>RW-37A</t>
  </si>
  <si>
    <t>RS1-B</t>
  </si>
  <si>
    <t>MN3-B</t>
  </si>
  <si>
    <t>DB5-B</t>
  </si>
  <si>
    <t>RP7-B</t>
  </si>
  <si>
    <t>DK13-B</t>
  </si>
  <si>
    <t>MT14-B</t>
  </si>
  <si>
    <t>WF16-B</t>
  </si>
  <si>
    <t>MJ17-B</t>
  </si>
  <si>
    <t>GS-21B</t>
  </si>
  <si>
    <t>JW-23B</t>
  </si>
  <si>
    <t>TG-24B</t>
  </si>
  <si>
    <t>DP-28B</t>
  </si>
  <si>
    <t>SB_31B</t>
  </si>
  <si>
    <t>MW-32B</t>
  </si>
  <si>
    <t>ST-33B</t>
  </si>
  <si>
    <t>PH-34B</t>
  </si>
  <si>
    <t>LR-35B</t>
  </si>
  <si>
    <t>SJH-36B</t>
  </si>
  <si>
    <t>Comments</t>
  </si>
  <si>
    <t>taken at 30mins</t>
  </si>
  <si>
    <t>60mins post-prandial</t>
  </si>
  <si>
    <t>Fat</t>
  </si>
  <si>
    <t>Sugar</t>
  </si>
  <si>
    <t>Fat g</t>
  </si>
  <si>
    <t>Sugar g</t>
  </si>
  <si>
    <t>A</t>
  </si>
  <si>
    <t>B</t>
  </si>
  <si>
    <t>DNL (umol/L)</t>
  </si>
  <si>
    <t>Gluconeogenesis (mmol/L)</t>
  </si>
  <si>
    <t>OBB Number</t>
  </si>
  <si>
    <t>3544</t>
  </si>
  <si>
    <t>4004</t>
  </si>
  <si>
    <t>6666</t>
  </si>
  <si>
    <t>5964</t>
  </si>
  <si>
    <t>7507</t>
  </si>
  <si>
    <t>7053</t>
  </si>
  <si>
    <t>3088</t>
  </si>
  <si>
    <t>2349</t>
  </si>
  <si>
    <t>4695</t>
  </si>
  <si>
    <t>2981</t>
  </si>
  <si>
    <t>6644</t>
  </si>
  <si>
    <t>6404</t>
  </si>
  <si>
    <t>6373</t>
  </si>
  <si>
    <t>6328</t>
  </si>
  <si>
    <t>1683</t>
  </si>
  <si>
    <t>3399</t>
  </si>
  <si>
    <t>Fructose</t>
  </si>
  <si>
    <t>Gluconeogensis (%) at 0mins</t>
  </si>
  <si>
    <t>Gluconeogensis (%) postprandial</t>
  </si>
  <si>
    <t>Postprandial sample time</t>
  </si>
  <si>
    <t>45mins post-prandial</t>
  </si>
  <si>
    <t>Could never find</t>
  </si>
  <si>
    <t>Post-prandial only</t>
  </si>
  <si>
    <t>Plasma water enrichment (%)</t>
  </si>
  <si>
    <t>VLDL (umol/L)</t>
  </si>
  <si>
    <t>Non_HDL (umol/L)</t>
  </si>
  <si>
    <t>HDL_chol (umol/L)</t>
  </si>
  <si>
    <t>total_chol (umol/L)</t>
  </si>
  <si>
    <t>3OHB (umol/L)</t>
  </si>
  <si>
    <t>TAG (umol/L)</t>
  </si>
  <si>
    <t>NEFA (umol/L)</t>
  </si>
  <si>
    <t>Insulin (umol/L)</t>
  </si>
  <si>
    <t>Glucose (umol/L)</t>
  </si>
  <si>
    <t>GNG A (%)</t>
  </si>
  <si>
    <t>GNG A (Abs)</t>
  </si>
  <si>
    <t>GND ID</t>
  </si>
  <si>
    <t>Study ID</t>
  </si>
  <si>
    <t>GNG B (%)</t>
  </si>
  <si>
    <t>GNG B (Abs)</t>
  </si>
  <si>
    <t>A-B GNG (%)</t>
  </si>
  <si>
    <t>A-B GNG (Abs)</t>
  </si>
  <si>
    <t>IHTG A</t>
  </si>
  <si>
    <t>IHTG B</t>
  </si>
  <si>
    <t>A-B IHTG</t>
  </si>
  <si>
    <t>A GNG (%)</t>
  </si>
  <si>
    <t>A GNG(Abs)</t>
  </si>
  <si>
    <t>B GNG (%)</t>
  </si>
  <si>
    <t>B GNG (Abs)</t>
  </si>
  <si>
    <t>G GNG (%)</t>
  </si>
  <si>
    <t>G GNG(Abs)</t>
  </si>
  <si>
    <t>F GNG (%)</t>
  </si>
  <si>
    <t>F GNG (Abs)</t>
  </si>
  <si>
    <t>G-F GNG (%)</t>
  </si>
  <si>
    <t>G-F GNG (Abs)</t>
  </si>
  <si>
    <t>SS01</t>
  </si>
  <si>
    <t>SS03</t>
  </si>
  <si>
    <t>SS05</t>
  </si>
  <si>
    <t>SS06</t>
  </si>
  <si>
    <t>SS07</t>
  </si>
  <si>
    <t>SS08</t>
  </si>
  <si>
    <t>SS09</t>
  </si>
  <si>
    <t>Glucose (mmol/L)</t>
  </si>
  <si>
    <t>Weight B</t>
  </si>
  <si>
    <t>BMI B</t>
  </si>
  <si>
    <t>Waist_Circumference B</t>
  </si>
  <si>
    <t>Hip_circumference B</t>
  </si>
  <si>
    <t>Total_fat_g B</t>
  </si>
  <si>
    <t>Lean_mass_g B</t>
  </si>
  <si>
    <t>Total_mass_g B</t>
  </si>
  <si>
    <t>Total_fat_% B</t>
  </si>
  <si>
    <t>Lean_mass_% B</t>
  </si>
  <si>
    <t>Visceral_fat_g B</t>
  </si>
  <si>
    <t>IHTG_% B</t>
  </si>
  <si>
    <t>Glucose (umol/L) B</t>
  </si>
  <si>
    <t>Insulin (umol/L) B</t>
  </si>
  <si>
    <t>HOMA B</t>
  </si>
  <si>
    <t>NEFA (umol/L) B</t>
  </si>
  <si>
    <t>TAG (umol/L) B</t>
  </si>
  <si>
    <t>3OHB (umol/L) B</t>
  </si>
  <si>
    <t>total_chol (umol/L) B</t>
  </si>
  <si>
    <t>HDL_chol (umol/L) B</t>
  </si>
  <si>
    <t>Non_HDL (umol/L) B</t>
  </si>
  <si>
    <t>LDL_Friedewald B</t>
  </si>
  <si>
    <t>VLDL (umol/L) B</t>
  </si>
  <si>
    <t>Plasma water enrichment (%) B</t>
  </si>
  <si>
    <t>DNL (%) B</t>
  </si>
  <si>
    <t>DNL (umol/L) B</t>
  </si>
  <si>
    <t>Gluconeogensis (%) B</t>
  </si>
  <si>
    <t>Gluconeogenesis (mmol/L) B</t>
  </si>
  <si>
    <t>Gluconeogenesis (%) at 480mins</t>
  </si>
  <si>
    <t>Gluconeogenesis (mmol/L) at 0mins</t>
  </si>
  <si>
    <t>Gluconeogenesis (mmol/L) at 480mins</t>
  </si>
  <si>
    <t>Plasma water enrichment (%) at 0 mins</t>
  </si>
  <si>
    <t>Glucose (umol/L) at 0mins</t>
  </si>
  <si>
    <t>Glucose (umol/L) at 480mins</t>
  </si>
  <si>
    <t>Change in GNG</t>
  </si>
  <si>
    <t xml:space="preserve"> 0mins</t>
  </si>
  <si>
    <t>480mins</t>
  </si>
  <si>
    <t>0mins</t>
  </si>
  <si>
    <t>Change in Glucose</t>
  </si>
  <si>
    <t>Waist_Hip_Ratio B</t>
  </si>
  <si>
    <t>SOS19A</t>
  </si>
  <si>
    <t>SOS19B</t>
  </si>
  <si>
    <t>SOS20A</t>
  </si>
  <si>
    <t>SOS20B</t>
  </si>
  <si>
    <t>SOS21A</t>
  </si>
  <si>
    <t>SOS22B</t>
  </si>
  <si>
    <t>SOS22A</t>
  </si>
  <si>
    <t>SOS21B</t>
  </si>
  <si>
    <t>SOS23A</t>
  </si>
  <si>
    <t>SOS23B</t>
  </si>
  <si>
    <t>SOS24A</t>
  </si>
  <si>
    <t>SOS24B</t>
  </si>
  <si>
    <t>SOS25A</t>
  </si>
  <si>
    <t>SOS25B</t>
  </si>
  <si>
    <t>SOS26A</t>
  </si>
  <si>
    <t>SOS26B</t>
  </si>
  <si>
    <t>SOS27A</t>
  </si>
  <si>
    <t>SOS27B</t>
  </si>
  <si>
    <t>SOS28A</t>
  </si>
  <si>
    <t>SOS28B</t>
  </si>
  <si>
    <t>FAMOUS1A</t>
  </si>
  <si>
    <t>FAMOUS1B</t>
  </si>
  <si>
    <t>FAMOUS2A</t>
  </si>
  <si>
    <t>FAMOUS2B</t>
  </si>
  <si>
    <t>FAMOUS3A</t>
  </si>
  <si>
    <t>FAMOUS3B</t>
  </si>
  <si>
    <t>FAMOUS4A</t>
  </si>
  <si>
    <t>FAMOUS4B</t>
  </si>
  <si>
    <t>FAMOUS6A</t>
  </si>
  <si>
    <t>FAMOUS6B</t>
  </si>
  <si>
    <t>FAMOUS7A</t>
  </si>
  <si>
    <t>FAMOUS7B</t>
  </si>
  <si>
    <t>FAMOUS8A</t>
  </si>
  <si>
    <t>FAMOUS8B</t>
  </si>
  <si>
    <t>FAMOUS9A</t>
  </si>
  <si>
    <t>FAMOUS11A</t>
  </si>
  <si>
    <t>FAMOUS11B</t>
  </si>
  <si>
    <t>FAMOUS12A</t>
  </si>
  <si>
    <t>FAMOUS12B</t>
  </si>
  <si>
    <t>FAMOUS</t>
  </si>
  <si>
    <t>FAMOUS9B</t>
  </si>
  <si>
    <t>Column1</t>
  </si>
  <si>
    <t>GLY (mmol/L)</t>
  </si>
  <si>
    <t>Low</t>
  </si>
  <si>
    <t>High</t>
  </si>
  <si>
    <t>Column2</t>
  </si>
  <si>
    <t>Column3</t>
  </si>
  <si>
    <t>Glucose from GNG (mmol/L)</t>
  </si>
  <si>
    <t>Glucose from GLY (mmol/L)</t>
  </si>
  <si>
    <t>Low Insulin (&lt;= 11.41)</t>
  </si>
  <si>
    <t>High Insulin (&gt;11.41)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</si>
</sst>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0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5"/>
      </right>
      <top style="thin">
        <color theme="5"/>
      </top>
      <bottom/>
      <diagonal/>
    </border>
  </borders>
  <cellStyleXfs count="2">
    <xf numFmtId="0" fontId="0" fillId="0" borderId="0"/>
    <xf numFmtId="0" fontId="4" fillId="11" borderId="0" applyNumberFormat="0" applyBorder="0" applyAlignment="0" applyProtection="0"/>
  </cellStyleXfs>
  <cellXfs count="80">
    <xf numFmtId="0" fontId="0" fillId="0" borderId="0" xfId="0"/>
    <xf numFmtId="0" fontId="0" fillId="0" borderId="0" xfId="0" applyAlignment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2" borderId="0" xfId="0" applyFill="1"/>
    <xf numFmtId="164" fontId="0" fillId="2" borderId="0" xfId="0" applyNumberFormat="1" applyFill="1"/>
    <xf numFmtId="2" fontId="0" fillId="2" borderId="0" xfId="0" applyNumberFormat="1" applyFill="1"/>
    <xf numFmtId="1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2" fontId="0" fillId="3" borderId="0" xfId="0" applyNumberFormat="1" applyFill="1"/>
    <xf numFmtId="1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2" fontId="0" fillId="4" borderId="0" xfId="0" applyNumberFormat="1" applyFill="1"/>
    <xf numFmtId="1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2" fontId="0" fillId="5" borderId="0" xfId="0" applyNumberFormat="1" applyFill="1"/>
    <xf numFmtId="1" fontId="0" fillId="5" borderId="0" xfId="0" applyNumberFormat="1" applyFill="1"/>
    <xf numFmtId="0" fontId="0" fillId="6" borderId="0" xfId="0" applyFill="1"/>
    <xf numFmtId="164" fontId="0" fillId="6" borderId="0" xfId="0" applyNumberFormat="1" applyFill="1"/>
    <xf numFmtId="2" fontId="0" fillId="6" borderId="0" xfId="0" applyNumberFormat="1" applyFill="1"/>
    <xf numFmtId="1" fontId="0" fillId="6" borderId="0" xfId="0" applyNumberFormat="1" applyFill="1"/>
    <xf numFmtId="0" fontId="0" fillId="7" borderId="0" xfId="0" applyFill="1"/>
    <xf numFmtId="164" fontId="0" fillId="7" borderId="0" xfId="0" applyNumberFormat="1" applyFill="1"/>
    <xf numFmtId="2" fontId="0" fillId="7" borderId="0" xfId="0" applyNumberFormat="1" applyFill="1"/>
    <xf numFmtId="1" fontId="0" fillId="7" borderId="0" xfId="0" applyNumberFormat="1" applyFill="1"/>
    <xf numFmtId="165" fontId="0" fillId="7" borderId="0" xfId="0" applyNumberFormat="1" applyFill="1"/>
    <xf numFmtId="2" fontId="2" fillId="5" borderId="0" xfId="0" applyNumberFormat="1" applyFont="1" applyFill="1"/>
    <xf numFmtId="0" fontId="0" fillId="8" borderId="0" xfId="0" applyFill="1"/>
    <xf numFmtId="164" fontId="0" fillId="8" borderId="0" xfId="0" applyNumberFormat="1" applyFill="1"/>
    <xf numFmtId="2" fontId="0" fillId="8" borderId="0" xfId="0" applyNumberFormat="1" applyFill="1"/>
    <xf numFmtId="1" fontId="0" fillId="8" borderId="0" xfId="0" applyNumberFormat="1" applyFill="1"/>
    <xf numFmtId="0" fontId="2" fillId="3" borderId="0" xfId="0" applyFont="1" applyFill="1"/>
    <xf numFmtId="2" fontId="2" fillId="3" borderId="0" xfId="0" applyNumberFormat="1" applyFont="1" applyFill="1"/>
    <xf numFmtId="0" fontId="0" fillId="7" borderId="2" xfId="0" applyFont="1" applyFill="1" applyBorder="1"/>
    <xf numFmtId="0" fontId="0" fillId="7" borderId="1" xfId="0" applyFont="1" applyFill="1" applyBorder="1"/>
    <xf numFmtId="0" fontId="3" fillId="9" borderId="1" xfId="0" applyFont="1" applyFill="1" applyBorder="1"/>
    <xf numFmtId="0" fontId="3" fillId="9" borderId="2" xfId="0" applyFont="1" applyFill="1" applyBorder="1"/>
    <xf numFmtId="2" fontId="1" fillId="7" borderId="0" xfId="0" applyNumberFormat="1" applyFont="1" applyFill="1"/>
    <xf numFmtId="0" fontId="3" fillId="9" borderId="0" xfId="0" applyFont="1" applyFill="1" applyBorder="1"/>
    <xf numFmtId="1" fontId="0" fillId="10" borderId="0" xfId="0" applyNumberFormat="1" applyFill="1"/>
    <xf numFmtId="0" fontId="0" fillId="8" borderId="0" xfId="0" applyNumberFormat="1" applyFill="1"/>
    <xf numFmtId="0" fontId="4" fillId="11" borderId="0" xfId="1"/>
    <xf numFmtId="2" fontId="4" fillId="11" borderId="0" xfId="1" applyNumberFormat="1"/>
    <xf numFmtId="165" fontId="0" fillId="6" borderId="0" xfId="0" applyNumberFormat="1" applyFill="1"/>
    <xf numFmtId="165" fontId="0" fillId="4" borderId="0" xfId="0" applyNumberFormat="1" applyFill="1"/>
    <xf numFmtId="165" fontId="0" fillId="2" borderId="0" xfId="0" applyNumberFormat="1" applyFill="1"/>
    <xf numFmtId="165" fontId="0" fillId="8" borderId="0" xfId="0" applyNumberFormat="1" applyFill="1"/>
    <xf numFmtId="165" fontId="0" fillId="3" borderId="0" xfId="0" applyNumberFormat="1" applyFill="1"/>
    <xf numFmtId="165" fontId="0" fillId="5" borderId="0" xfId="0" applyNumberFormat="1" applyFill="1"/>
    <xf numFmtId="166" fontId="0" fillId="6" borderId="0" xfId="0" applyNumberFormat="1" applyFill="1"/>
    <xf numFmtId="166" fontId="0" fillId="4" borderId="0" xfId="0" applyNumberFormat="1" applyFill="1"/>
    <xf numFmtId="166" fontId="0" fillId="2" borderId="0" xfId="0" applyNumberFormat="1" applyFill="1"/>
    <xf numFmtId="166" fontId="0" fillId="8" borderId="0" xfId="0" applyNumberFormat="1" applyFill="1"/>
    <xf numFmtId="166" fontId="0" fillId="7" borderId="0" xfId="0" applyNumberFormat="1" applyFill="1"/>
    <xf numFmtId="166" fontId="0" fillId="3" borderId="0" xfId="0" applyNumberFormat="1" applyFill="1"/>
    <xf numFmtId="166" fontId="0" fillId="5" borderId="0" xfId="0" applyNumberFormat="1" applyFill="1"/>
    <xf numFmtId="2" fontId="1" fillId="6" borderId="0" xfId="0" applyNumberFormat="1" applyFont="1" applyFill="1"/>
    <xf numFmtId="2" fontId="2" fillId="6" borderId="0" xfId="0" applyNumberFormat="1" applyFont="1" applyFill="1"/>
    <xf numFmtId="2" fontId="2" fillId="4" borderId="0" xfId="0" applyNumberFormat="1" applyFont="1" applyFill="1"/>
    <xf numFmtId="2" fontId="2" fillId="2" borderId="0" xfId="0" applyNumberFormat="1" applyFont="1" applyFill="1"/>
    <xf numFmtId="2" fontId="1" fillId="8" borderId="0" xfId="0" applyNumberFormat="1" applyFont="1" applyFill="1"/>
    <xf numFmtId="2" fontId="0" fillId="10" borderId="0" xfId="0" applyNumberFormat="1" applyFill="1"/>
    <xf numFmtId="2" fontId="1" fillId="5" borderId="0" xfId="0" applyNumberFormat="1" applyFont="1" applyFill="1"/>
    <xf numFmtId="2" fontId="0" fillId="5" borderId="0" xfId="0" applyNumberFormat="1" applyFill="1" applyAlignment="1">
      <alignment wrapText="1"/>
    </xf>
    <xf numFmtId="2" fontId="0" fillId="7" borderId="2" xfId="0" applyNumberFormat="1" applyFont="1" applyFill="1" applyBorder="1"/>
    <xf numFmtId="2" fontId="1" fillId="7" borderId="2" xfId="0" applyNumberFormat="1" applyFont="1" applyFill="1" applyBorder="1"/>
    <xf numFmtId="166" fontId="0" fillId="7" borderId="2" xfId="0" applyNumberFormat="1" applyFont="1" applyFill="1" applyBorder="1"/>
    <xf numFmtId="166" fontId="0" fillId="0" borderId="0" xfId="0" applyNumberFormat="1"/>
    <xf numFmtId="2" fontId="0" fillId="4" borderId="2" xfId="0" applyNumberFormat="1" applyFont="1" applyFill="1" applyBorder="1"/>
    <xf numFmtId="0" fontId="5" fillId="0" borderId="0" xfId="0" applyFont="1"/>
    <xf numFmtId="2" fontId="2" fillId="2" borderId="3" xfId="0" applyNumberFormat="1" applyFont="1" applyFill="1" applyBorder="1"/>
    <xf numFmtId="2" fontId="0" fillId="2" borderId="3" xfId="0" applyNumberFormat="1" applyFont="1" applyFill="1" applyBorder="1"/>
    <xf numFmtId="166" fontId="0" fillId="6" borderId="4" xfId="0" applyNumberFormat="1" applyFont="1" applyFill="1" applyBorder="1"/>
    <xf numFmtId="166" fontId="0" fillId="6" borderId="2" xfId="0" applyNumberFormat="1" applyFont="1" applyFill="1" applyBorder="1"/>
  </cellXfs>
  <cellStyles count="2">
    <cellStyle name="Neutral" xfId="1" builtinId="28"/>
    <cellStyle name="Normal" xfId="0" builtinId="0"/>
  </cellStyles>
  <dxfs count="1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0.0000"/>
      <fill>
        <patternFill patternType="solid">
          <fgColor indexed="64"/>
          <bgColor theme="4" tint="0.79998168889431442"/>
        </patternFill>
      </fill>
    </dxf>
    <dxf>
      <numFmt numFmtId="166" formatCode="0.0000"/>
      <fill>
        <patternFill patternType="solid">
          <fgColor indexed="64"/>
          <bgColor theme="3" tint="0.79998168889431442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wrapText="1" indent="0" justifyLastLine="0" shrinkToFit="0" readingOrder="0"/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166" formatCode="0.00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165" formatCode="0.000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1" formatCode="0"/>
      <fill>
        <patternFill patternType="solid">
          <fgColor indexed="64"/>
          <bgColor theme="7" tint="0.79998168889431442"/>
        </patternFill>
      </fill>
    </dxf>
    <dxf>
      <numFmt numFmtId="1" formatCode="0"/>
      <fill>
        <patternFill patternType="solid">
          <fgColor indexed="64"/>
          <bgColor theme="7" tint="0.79998168889431442"/>
        </patternFill>
      </fill>
    </dxf>
    <dxf>
      <numFmt numFmtId="1" formatCode="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numFmt numFmtId="164" formatCode="0.0"/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numFmt numFmtId="166" formatCode="0.0000"/>
    </dxf>
    <dxf>
      <numFmt numFmtId="2" formatCode="0.00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2" formatCode="0.00"/>
    </dxf>
    <dxf>
      <numFmt numFmtId="165" formatCode="0.00000"/>
      <fill>
        <patternFill patternType="none">
          <fgColor indexed="64"/>
          <bgColor indexed="65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0" formatCode="General"/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</dxf>
    <dxf>
      <numFmt numFmtId="166" formatCode="0.0000"/>
    </dxf>
    <dxf>
      <numFmt numFmtId="2" formatCode="0.00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2" formatCode="0.00"/>
    </dxf>
    <dxf>
      <numFmt numFmtId="165" formatCode="0.00000"/>
      <fill>
        <patternFill patternType="none">
          <fgColor indexed="64"/>
          <bgColor indexed="65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6.xml"/><Relationship Id="rId21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31.xml"/><Relationship Id="rId63" Type="http://schemas.openxmlformats.org/officeDocument/2006/relationships/externalLink" Target="externalLinks/externalLink52.xml"/><Relationship Id="rId84" Type="http://schemas.openxmlformats.org/officeDocument/2006/relationships/externalLink" Target="externalLinks/externalLink73.xml"/><Relationship Id="rId138" Type="http://schemas.openxmlformats.org/officeDocument/2006/relationships/calcChain" Target="calcChain.xml"/><Relationship Id="rId16" Type="http://schemas.openxmlformats.org/officeDocument/2006/relationships/externalLink" Target="externalLinks/externalLink5.xml"/><Relationship Id="rId107" Type="http://schemas.openxmlformats.org/officeDocument/2006/relationships/externalLink" Target="externalLinks/externalLink9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53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7.xml"/><Relationship Id="rId74" Type="http://schemas.openxmlformats.org/officeDocument/2006/relationships/externalLink" Target="externalLinks/externalLink63.xml"/><Relationship Id="rId79" Type="http://schemas.openxmlformats.org/officeDocument/2006/relationships/externalLink" Target="externalLinks/externalLink68.xml"/><Relationship Id="rId102" Type="http://schemas.openxmlformats.org/officeDocument/2006/relationships/externalLink" Target="externalLinks/externalLink91.xml"/><Relationship Id="rId123" Type="http://schemas.openxmlformats.org/officeDocument/2006/relationships/externalLink" Target="externalLinks/externalLink112.xml"/><Relationship Id="rId128" Type="http://schemas.openxmlformats.org/officeDocument/2006/relationships/externalLink" Target="externalLinks/externalLink117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9.xml"/><Relationship Id="rId95" Type="http://schemas.openxmlformats.org/officeDocument/2006/relationships/externalLink" Target="externalLinks/externalLink84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64" Type="http://schemas.openxmlformats.org/officeDocument/2006/relationships/externalLink" Target="externalLinks/externalLink53.xml"/><Relationship Id="rId69" Type="http://schemas.openxmlformats.org/officeDocument/2006/relationships/externalLink" Target="externalLinks/externalLink58.xml"/><Relationship Id="rId113" Type="http://schemas.openxmlformats.org/officeDocument/2006/relationships/externalLink" Target="externalLinks/externalLink102.xml"/><Relationship Id="rId118" Type="http://schemas.openxmlformats.org/officeDocument/2006/relationships/externalLink" Target="externalLinks/externalLink107.xml"/><Relationship Id="rId134" Type="http://schemas.openxmlformats.org/officeDocument/2006/relationships/externalLink" Target="externalLinks/externalLink123.xml"/><Relationship Id="rId80" Type="http://schemas.openxmlformats.org/officeDocument/2006/relationships/externalLink" Target="externalLinks/externalLink69.xml"/><Relationship Id="rId85" Type="http://schemas.openxmlformats.org/officeDocument/2006/relationships/externalLink" Target="externalLinks/externalLink74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59" Type="http://schemas.openxmlformats.org/officeDocument/2006/relationships/externalLink" Target="externalLinks/externalLink48.xml"/><Relationship Id="rId103" Type="http://schemas.openxmlformats.org/officeDocument/2006/relationships/externalLink" Target="externalLinks/externalLink92.xml"/><Relationship Id="rId108" Type="http://schemas.openxmlformats.org/officeDocument/2006/relationships/externalLink" Target="externalLinks/externalLink97.xml"/><Relationship Id="rId124" Type="http://schemas.openxmlformats.org/officeDocument/2006/relationships/externalLink" Target="externalLinks/externalLink113.xml"/><Relationship Id="rId129" Type="http://schemas.openxmlformats.org/officeDocument/2006/relationships/externalLink" Target="externalLinks/externalLink118.xml"/><Relationship Id="rId54" Type="http://schemas.openxmlformats.org/officeDocument/2006/relationships/externalLink" Target="externalLinks/externalLink43.xml"/><Relationship Id="rId70" Type="http://schemas.openxmlformats.org/officeDocument/2006/relationships/externalLink" Target="externalLinks/externalLink59.xml"/><Relationship Id="rId75" Type="http://schemas.openxmlformats.org/officeDocument/2006/relationships/externalLink" Target="externalLinks/externalLink64.xml"/><Relationship Id="rId91" Type="http://schemas.openxmlformats.org/officeDocument/2006/relationships/externalLink" Target="externalLinks/externalLink80.xml"/><Relationship Id="rId96" Type="http://schemas.openxmlformats.org/officeDocument/2006/relationships/externalLink" Target="externalLinks/externalLink8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49" Type="http://schemas.openxmlformats.org/officeDocument/2006/relationships/externalLink" Target="externalLinks/externalLink38.xml"/><Relationship Id="rId114" Type="http://schemas.openxmlformats.org/officeDocument/2006/relationships/externalLink" Target="externalLinks/externalLink103.xml"/><Relationship Id="rId119" Type="http://schemas.openxmlformats.org/officeDocument/2006/relationships/externalLink" Target="externalLinks/externalLink108.xml"/><Relationship Id="rId44" Type="http://schemas.openxmlformats.org/officeDocument/2006/relationships/externalLink" Target="externalLinks/externalLink33.xml"/><Relationship Id="rId60" Type="http://schemas.openxmlformats.org/officeDocument/2006/relationships/externalLink" Target="externalLinks/externalLink49.xml"/><Relationship Id="rId65" Type="http://schemas.openxmlformats.org/officeDocument/2006/relationships/externalLink" Target="externalLinks/externalLink54.xml"/><Relationship Id="rId81" Type="http://schemas.openxmlformats.org/officeDocument/2006/relationships/externalLink" Target="externalLinks/externalLink70.xml"/><Relationship Id="rId86" Type="http://schemas.openxmlformats.org/officeDocument/2006/relationships/externalLink" Target="externalLinks/externalLink75.xml"/><Relationship Id="rId130" Type="http://schemas.openxmlformats.org/officeDocument/2006/relationships/externalLink" Target="externalLinks/externalLink119.xml"/><Relationship Id="rId135" Type="http://schemas.openxmlformats.org/officeDocument/2006/relationships/theme" Target="theme/theme1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Relationship Id="rId109" Type="http://schemas.openxmlformats.org/officeDocument/2006/relationships/externalLink" Target="externalLinks/externalLink98.xml"/><Relationship Id="rId34" Type="http://schemas.openxmlformats.org/officeDocument/2006/relationships/externalLink" Target="externalLinks/externalLink23.xml"/><Relationship Id="rId50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44.xml"/><Relationship Id="rId76" Type="http://schemas.openxmlformats.org/officeDocument/2006/relationships/externalLink" Target="externalLinks/externalLink65.xml"/><Relationship Id="rId97" Type="http://schemas.openxmlformats.org/officeDocument/2006/relationships/externalLink" Target="externalLinks/externalLink86.xml"/><Relationship Id="rId104" Type="http://schemas.openxmlformats.org/officeDocument/2006/relationships/externalLink" Target="externalLinks/externalLink93.xml"/><Relationship Id="rId120" Type="http://schemas.openxmlformats.org/officeDocument/2006/relationships/externalLink" Target="externalLinks/externalLink109.xml"/><Relationship Id="rId125" Type="http://schemas.openxmlformats.org/officeDocument/2006/relationships/externalLink" Target="externalLinks/externalLink114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0.xml"/><Relationship Id="rId92" Type="http://schemas.openxmlformats.org/officeDocument/2006/relationships/externalLink" Target="externalLinks/externalLink8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8.xml"/><Relationship Id="rId24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66" Type="http://schemas.openxmlformats.org/officeDocument/2006/relationships/externalLink" Target="externalLinks/externalLink55.xml"/><Relationship Id="rId87" Type="http://schemas.openxmlformats.org/officeDocument/2006/relationships/externalLink" Target="externalLinks/externalLink76.xml"/><Relationship Id="rId110" Type="http://schemas.openxmlformats.org/officeDocument/2006/relationships/externalLink" Target="externalLinks/externalLink99.xml"/><Relationship Id="rId115" Type="http://schemas.openxmlformats.org/officeDocument/2006/relationships/externalLink" Target="externalLinks/externalLink104.xml"/><Relationship Id="rId131" Type="http://schemas.openxmlformats.org/officeDocument/2006/relationships/externalLink" Target="externalLinks/externalLink120.xml"/><Relationship Id="rId136" Type="http://schemas.openxmlformats.org/officeDocument/2006/relationships/styles" Target="styles.xml"/><Relationship Id="rId61" Type="http://schemas.openxmlformats.org/officeDocument/2006/relationships/externalLink" Target="externalLinks/externalLink50.xml"/><Relationship Id="rId82" Type="http://schemas.openxmlformats.org/officeDocument/2006/relationships/externalLink" Target="externalLinks/externalLink71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56" Type="http://schemas.openxmlformats.org/officeDocument/2006/relationships/externalLink" Target="externalLinks/externalLink45.xml"/><Relationship Id="rId77" Type="http://schemas.openxmlformats.org/officeDocument/2006/relationships/externalLink" Target="externalLinks/externalLink66.xml"/><Relationship Id="rId100" Type="http://schemas.openxmlformats.org/officeDocument/2006/relationships/externalLink" Target="externalLinks/externalLink89.xml"/><Relationship Id="rId105" Type="http://schemas.openxmlformats.org/officeDocument/2006/relationships/externalLink" Target="externalLinks/externalLink94.xml"/><Relationship Id="rId126" Type="http://schemas.openxmlformats.org/officeDocument/2006/relationships/externalLink" Target="externalLinks/externalLink11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72" Type="http://schemas.openxmlformats.org/officeDocument/2006/relationships/externalLink" Target="externalLinks/externalLink61.xml"/><Relationship Id="rId93" Type="http://schemas.openxmlformats.org/officeDocument/2006/relationships/externalLink" Target="externalLinks/externalLink82.xml"/><Relationship Id="rId98" Type="http://schemas.openxmlformats.org/officeDocument/2006/relationships/externalLink" Target="externalLinks/externalLink87.xml"/><Relationship Id="rId121" Type="http://schemas.openxmlformats.org/officeDocument/2006/relationships/externalLink" Target="externalLinks/externalLink110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4.xml"/><Relationship Id="rId46" Type="http://schemas.openxmlformats.org/officeDocument/2006/relationships/externalLink" Target="externalLinks/externalLink35.xml"/><Relationship Id="rId67" Type="http://schemas.openxmlformats.org/officeDocument/2006/relationships/externalLink" Target="externalLinks/externalLink56.xml"/><Relationship Id="rId116" Type="http://schemas.openxmlformats.org/officeDocument/2006/relationships/externalLink" Target="externalLinks/externalLink105.xml"/><Relationship Id="rId137" Type="http://schemas.openxmlformats.org/officeDocument/2006/relationships/sharedStrings" Target="sharedStrings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62" Type="http://schemas.openxmlformats.org/officeDocument/2006/relationships/externalLink" Target="externalLinks/externalLink51.xml"/><Relationship Id="rId83" Type="http://schemas.openxmlformats.org/officeDocument/2006/relationships/externalLink" Target="externalLinks/externalLink72.xml"/><Relationship Id="rId88" Type="http://schemas.openxmlformats.org/officeDocument/2006/relationships/externalLink" Target="externalLinks/externalLink77.xml"/><Relationship Id="rId111" Type="http://schemas.openxmlformats.org/officeDocument/2006/relationships/externalLink" Target="externalLinks/externalLink100.xml"/><Relationship Id="rId132" Type="http://schemas.openxmlformats.org/officeDocument/2006/relationships/externalLink" Target="externalLinks/externalLink121.xml"/><Relationship Id="rId15" Type="http://schemas.openxmlformats.org/officeDocument/2006/relationships/externalLink" Target="externalLinks/externalLink4.xml"/><Relationship Id="rId36" Type="http://schemas.openxmlformats.org/officeDocument/2006/relationships/externalLink" Target="externalLinks/externalLink25.xml"/><Relationship Id="rId57" Type="http://schemas.openxmlformats.org/officeDocument/2006/relationships/externalLink" Target="externalLinks/externalLink46.xml"/><Relationship Id="rId106" Type="http://schemas.openxmlformats.org/officeDocument/2006/relationships/externalLink" Target="externalLinks/externalLink95.xml"/><Relationship Id="rId127" Type="http://schemas.openxmlformats.org/officeDocument/2006/relationships/externalLink" Target="externalLinks/externalLink11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52" Type="http://schemas.openxmlformats.org/officeDocument/2006/relationships/externalLink" Target="externalLinks/externalLink41.xml"/><Relationship Id="rId73" Type="http://schemas.openxmlformats.org/officeDocument/2006/relationships/externalLink" Target="externalLinks/externalLink62.xml"/><Relationship Id="rId78" Type="http://schemas.openxmlformats.org/officeDocument/2006/relationships/externalLink" Target="externalLinks/externalLink67.xml"/><Relationship Id="rId94" Type="http://schemas.openxmlformats.org/officeDocument/2006/relationships/externalLink" Target="externalLinks/externalLink83.xml"/><Relationship Id="rId99" Type="http://schemas.openxmlformats.org/officeDocument/2006/relationships/externalLink" Target="externalLinks/externalLink88.xml"/><Relationship Id="rId101" Type="http://schemas.openxmlformats.org/officeDocument/2006/relationships/externalLink" Target="externalLinks/externalLink90.xml"/><Relationship Id="rId122" Type="http://schemas.openxmlformats.org/officeDocument/2006/relationships/externalLink" Target="externalLinks/externalLink1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36.xml"/><Relationship Id="rId68" Type="http://schemas.openxmlformats.org/officeDocument/2006/relationships/externalLink" Target="externalLinks/externalLink57.xml"/><Relationship Id="rId89" Type="http://schemas.openxmlformats.org/officeDocument/2006/relationships/externalLink" Target="externalLinks/externalLink78.xml"/><Relationship Id="rId112" Type="http://schemas.openxmlformats.org/officeDocument/2006/relationships/externalLink" Target="externalLinks/externalLink101.xml"/><Relationship Id="rId133" Type="http://schemas.openxmlformats.org/officeDocument/2006/relationships/externalLink" Target="externalLinks/externalLink1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Contribution</a:t>
            </a:r>
            <a:r>
              <a:rPr lang="en-GB" baseline="0"/>
              <a:t> of GLY and GNG to fasting blood glucose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'All data A visit only'!$AX$7</c:f>
              <c:strCache>
                <c:ptCount val="1"/>
                <c:pt idx="0">
                  <c:v>Glucose from GLY (mmol/L)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'All data A visit only'!$AZ$8:$AZ$9</c:f>
              <c:strCache>
                <c:ptCount val="2"/>
                <c:pt idx="0">
                  <c:v>Low Insulin (&lt;= 11.41)</c:v>
                </c:pt>
                <c:pt idx="1">
                  <c:v>High Insulin (&gt;11.41)</c:v>
                </c:pt>
              </c:strCache>
            </c:strRef>
          </c:cat>
          <c:val>
            <c:numRef>
              <c:f>'All data A visit only'!$AX$8:$AX$9</c:f>
              <c:numCache>
                <c:formatCode>0.0000</c:formatCode>
                <c:ptCount val="2"/>
                <c:pt idx="0">
                  <c:v>3.5213551030448476</c:v>
                </c:pt>
                <c:pt idx="1">
                  <c:v>3.9433506663248696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1-48D4-A79A-ECAD93A3B8F3}"/>
            </c:ext>
          </c:extLst>
        </c:ser>
        <c:ser>
          <c:idx val="1"/>
          <c:order val="1"/>
          <c:tx>
            <c:strRef>
              <c:f>'All data A visit only'!$AY$7</c:f>
              <c:strCache>
                <c:ptCount val="1"/>
                <c:pt idx="0">
                  <c:v>Glucose from GNG (mmol/L)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'All data A visit only'!$AZ$8:$AZ$9</c:f>
              <c:strCache>
                <c:ptCount val="2"/>
                <c:pt idx="0">
                  <c:v>Low Insulin (&lt;= 11.41)</c:v>
                </c:pt>
                <c:pt idx="1">
                  <c:v>High Insulin (&gt;11.41)</c:v>
                </c:pt>
              </c:strCache>
            </c:strRef>
          </c:cat>
          <c:val>
            <c:numRef>
              <c:f>'All data A visit only'!$AY$8:$AY$9</c:f>
              <c:numCache>
                <c:formatCode>0.0000</c:formatCode>
                <c:ptCount val="2"/>
                <c:pt idx="0">
                  <c:v>1.4748918105353999</c:v>
                </c:pt>
                <c:pt idx="1">
                  <c:v>1.664447944786241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F1-48D4-A79A-ECAD93A3B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7634480"/>
        <c:axId val="357623664"/>
      </c:barChart>
      <c:catAx>
        <c:axId val="35763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23664"/>
        <c:crosses val="autoZero"/>
        <c:auto val="1"/>
        <c:lblAlgn val="ctr"/>
        <c:lblOffset val="100"/>
        <c:noMultiLvlLbl val="0"/>
      </c:catAx>
      <c:valAx>
        <c:axId val="35762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Blood</a:t>
                </a:r>
                <a:r>
                  <a:rPr lang="en-GB" baseline="0"/>
                  <a:t> Glucose (mmol/L)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3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Gluconeogenesis over</a:t>
            </a:r>
            <a:r>
              <a:rPr lang="en-GB" baseline="0"/>
              <a:t> 8hr fast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Fasting!$AQ$19:$AQ$20</c:f>
              <c:strCache>
                <c:ptCount val="2"/>
                <c:pt idx="0">
                  <c:v> 0mins</c:v>
                </c:pt>
                <c:pt idx="1">
                  <c:v>480mins</c:v>
                </c:pt>
              </c:strCache>
            </c:strRef>
          </c:cat>
          <c:val>
            <c:numRef>
              <c:f>Fasting!$AR$19:$AR$20</c:f>
              <c:numCache>
                <c:formatCode>0.00</c:formatCode>
                <c:ptCount val="2"/>
                <c:pt idx="0">
                  <c:v>5.1547763079577109</c:v>
                </c:pt>
                <c:pt idx="1">
                  <c:v>36.190095814987842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2A-8E49-A374-BBB6CEE187D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Fasting!$AQ$19:$AQ$20</c:f>
              <c:strCache>
                <c:ptCount val="2"/>
                <c:pt idx="0">
                  <c:v> 0mins</c:v>
                </c:pt>
                <c:pt idx="1">
                  <c:v>480mins</c:v>
                </c:pt>
              </c:strCache>
            </c:strRef>
          </c:cat>
          <c:val>
            <c:numRef>
              <c:f>Fasting!$AS$19:$AS$20</c:f>
              <c:numCache>
                <c:formatCode>0.00</c:formatCode>
                <c:ptCount val="2"/>
                <c:pt idx="0">
                  <c:v>9.3453372234787757</c:v>
                </c:pt>
                <c:pt idx="1">
                  <c:v>46.608062497236006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2A-8E49-A374-BBB6CEE187D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Fasting!$AQ$19:$AQ$20</c:f>
              <c:strCache>
                <c:ptCount val="2"/>
                <c:pt idx="0">
                  <c:v> 0mins</c:v>
                </c:pt>
                <c:pt idx="1">
                  <c:v>480mins</c:v>
                </c:pt>
              </c:strCache>
            </c:strRef>
          </c:cat>
          <c:val>
            <c:numRef>
              <c:f>Fasting!$AT$19:$AT$20</c:f>
              <c:numCache>
                <c:formatCode>0.00</c:formatCode>
                <c:ptCount val="2"/>
                <c:pt idx="0">
                  <c:v>11.486768072295387</c:v>
                </c:pt>
                <c:pt idx="1">
                  <c:v>35.912160330815986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2A-8E49-A374-BBB6CEE187D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Fasting!$AQ$19:$AQ$20</c:f>
              <c:strCache>
                <c:ptCount val="2"/>
                <c:pt idx="0">
                  <c:v> 0mins</c:v>
                </c:pt>
                <c:pt idx="1">
                  <c:v>480mins</c:v>
                </c:pt>
              </c:strCache>
            </c:strRef>
          </c:cat>
          <c:val>
            <c:numRef>
              <c:f>Fasting!$AU$19:$AU$20</c:f>
              <c:numCache>
                <c:formatCode>0.00</c:formatCode>
                <c:ptCount val="2"/>
                <c:pt idx="0">
                  <c:v>11.966451886422485</c:v>
                </c:pt>
                <c:pt idx="1">
                  <c:v>30.109231773137363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2A-8E49-A374-BBB6CEE187D2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Fasting!$AQ$19:$AQ$20</c:f>
              <c:strCache>
                <c:ptCount val="2"/>
                <c:pt idx="0">
                  <c:v> 0mins</c:v>
                </c:pt>
                <c:pt idx="1">
                  <c:v>480mins</c:v>
                </c:pt>
              </c:strCache>
            </c:strRef>
          </c:cat>
          <c:val>
            <c:numRef>
              <c:f>Fasting!$AV$19:$AV$20</c:f>
              <c:numCache>
                <c:formatCode>0.00</c:formatCode>
                <c:ptCount val="2"/>
                <c:pt idx="0">
                  <c:v>12.160992436128595</c:v>
                </c:pt>
                <c:pt idx="1">
                  <c:v>30.023247986908629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2A-8E49-A374-BBB6CEE187D2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Fasting!$AQ$19:$AQ$20</c:f>
              <c:strCache>
                <c:ptCount val="2"/>
                <c:pt idx="0">
                  <c:v> 0mins</c:v>
                </c:pt>
                <c:pt idx="1">
                  <c:v>480mins</c:v>
                </c:pt>
              </c:strCache>
            </c:strRef>
          </c:cat>
          <c:val>
            <c:numRef>
              <c:f>Fasting!$AW$19:$AW$20</c:f>
              <c:numCache>
                <c:formatCode>0.00</c:formatCode>
                <c:ptCount val="2"/>
                <c:pt idx="0">
                  <c:v>13.534691800456248</c:v>
                </c:pt>
                <c:pt idx="1">
                  <c:v>30.80382244210918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02A-8E49-A374-BBB6CEE187D2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Fasting!$AQ$19:$AQ$20</c:f>
              <c:strCache>
                <c:ptCount val="2"/>
                <c:pt idx="0">
                  <c:v> 0mins</c:v>
                </c:pt>
                <c:pt idx="1">
                  <c:v>480mins</c:v>
                </c:pt>
              </c:strCache>
            </c:strRef>
          </c:cat>
          <c:val>
            <c:numRef>
              <c:f>Fasting!$AX$19:$AX$20</c:f>
              <c:numCache>
                <c:formatCode>0.00</c:formatCode>
                <c:ptCount val="2"/>
                <c:pt idx="0">
                  <c:v>13.745488070476716</c:v>
                </c:pt>
                <c:pt idx="1">
                  <c:v>39.964457459439387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02A-8E49-A374-BBB6CEE187D2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Fasting!$AQ$19:$AQ$20</c:f>
              <c:strCache>
                <c:ptCount val="2"/>
                <c:pt idx="0">
                  <c:v> 0mins</c:v>
                </c:pt>
                <c:pt idx="1">
                  <c:v>480mins</c:v>
                </c:pt>
              </c:strCache>
            </c:strRef>
          </c:cat>
          <c:val>
            <c:numRef>
              <c:f>Fasting!$AY$19:$AY$20</c:f>
              <c:numCache>
                <c:formatCode>0.00</c:formatCode>
                <c:ptCount val="2"/>
                <c:pt idx="0">
                  <c:v>34.464231805192455</c:v>
                </c:pt>
                <c:pt idx="1">
                  <c:v>46.932971116546419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02A-8E49-A374-BBB6CEE187D2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Fasting!$AQ$19:$AQ$20</c:f>
              <c:strCache>
                <c:ptCount val="2"/>
                <c:pt idx="0">
                  <c:v> 0mins</c:v>
                </c:pt>
                <c:pt idx="1">
                  <c:v>480mins</c:v>
                </c:pt>
              </c:strCache>
            </c:strRef>
          </c:cat>
          <c:val>
            <c:numRef>
              <c:f>Fasting!$AZ$19:$AZ$20</c:f>
              <c:numCache>
                <c:formatCode>0.00</c:formatCode>
                <c:ptCount val="2"/>
                <c:pt idx="0">
                  <c:v>36.859689901046202</c:v>
                </c:pt>
                <c:pt idx="1">
                  <c:v>46.199737837504287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02A-8E49-A374-BBB6CEE187D2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Fasting!$AQ$19:$AQ$20</c:f>
              <c:strCache>
                <c:ptCount val="2"/>
                <c:pt idx="0">
                  <c:v> 0mins</c:v>
                </c:pt>
                <c:pt idx="1">
                  <c:v>480mins</c:v>
                </c:pt>
              </c:strCache>
            </c:strRef>
          </c:cat>
          <c:val>
            <c:numRef>
              <c:f>Fasting!$BA$19:$BA$20</c:f>
              <c:numCache>
                <c:formatCode>0.00</c:formatCode>
                <c:ptCount val="2"/>
                <c:pt idx="0">
                  <c:v>37.48508346708784</c:v>
                </c:pt>
                <c:pt idx="1">
                  <c:v>32.278414213939612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02A-8E49-A374-BBB6CEE187D2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Fasting!$AQ$19:$AQ$20</c:f>
              <c:strCache>
                <c:ptCount val="2"/>
                <c:pt idx="0">
                  <c:v> 0mins</c:v>
                </c:pt>
                <c:pt idx="1">
                  <c:v>480mins</c:v>
                </c:pt>
              </c:strCache>
            </c:strRef>
          </c:cat>
          <c:val>
            <c:numRef>
              <c:f>Fasting!$BB$19:$BB$20</c:f>
              <c:numCache>
                <c:formatCode>0.00</c:formatCode>
                <c:ptCount val="2"/>
                <c:pt idx="0">
                  <c:v>38.826755464470445</c:v>
                </c:pt>
                <c:pt idx="1">
                  <c:v>31.02600907305353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02A-8E49-A374-BBB6CEE187D2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Fasting!$AQ$19:$AQ$20</c:f>
              <c:strCache>
                <c:ptCount val="2"/>
                <c:pt idx="0">
                  <c:v> 0mins</c:v>
                </c:pt>
                <c:pt idx="1">
                  <c:v>480mins</c:v>
                </c:pt>
              </c:strCache>
            </c:strRef>
          </c:cat>
          <c:val>
            <c:numRef>
              <c:f>Fasting!$BC$19:$BC$20</c:f>
              <c:numCache>
                <c:formatCode>0.00</c:formatCode>
                <c:ptCount val="2"/>
                <c:pt idx="0">
                  <c:v>46.002866972534925</c:v>
                </c:pt>
                <c:pt idx="1">
                  <c:v>37.102532757916784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02A-8E49-A374-BBB6CEE187D2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Fasting!$AQ$19:$AQ$20</c:f>
              <c:strCache>
                <c:ptCount val="2"/>
                <c:pt idx="0">
                  <c:v> 0mins</c:v>
                </c:pt>
                <c:pt idx="1">
                  <c:v>480mins</c:v>
                </c:pt>
              </c:strCache>
            </c:strRef>
          </c:cat>
          <c:val>
            <c:numRef>
              <c:f>Fasting!$BD$19:$BD$20</c:f>
              <c:numCache>
                <c:formatCode>0.00</c:formatCode>
                <c:ptCount val="2"/>
                <c:pt idx="0">
                  <c:v>51.586455054375627</c:v>
                </c:pt>
                <c:pt idx="1">
                  <c:v>25.457072624623223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02A-8E49-A374-BBB6CEE187D2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Fasting!$AQ$19:$AQ$20</c:f>
              <c:strCache>
                <c:ptCount val="2"/>
                <c:pt idx="0">
                  <c:v> 0mins</c:v>
                </c:pt>
                <c:pt idx="1">
                  <c:v>480mins</c:v>
                </c:pt>
              </c:strCache>
            </c:strRef>
          </c:cat>
          <c:val>
            <c:numRef>
              <c:f>Fasting!$BE$19:$BE$20</c:f>
              <c:numCache>
                <c:formatCode>0.00</c:formatCode>
                <c:ptCount val="2"/>
                <c:pt idx="0">
                  <c:v>59.717984556117507</c:v>
                </c:pt>
                <c:pt idx="1">
                  <c:v>24.792198720519256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02A-8E49-A374-BBB6CEE18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6299488"/>
        <c:axId val="906301872"/>
      </c:lineChart>
      <c:catAx>
        <c:axId val="90629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301872"/>
        <c:crosses val="autoZero"/>
        <c:auto val="1"/>
        <c:lblAlgn val="ctr"/>
        <c:lblOffset val="100"/>
        <c:noMultiLvlLbl val="0"/>
      </c:catAx>
      <c:valAx>
        <c:axId val="90630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Fractional</a:t>
                </a:r>
                <a:r>
                  <a:rPr lang="en-GB" sz="1200" baseline="0"/>
                  <a:t> Gluconeogenesis (%)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29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Change</a:t>
            </a:r>
            <a:r>
              <a:rPr lang="en-GB" baseline="0"/>
              <a:t> in Gluconeogenesis over 8hr fast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Fasting!$AN$2:$AN$15</c:f>
              <c:numCache>
                <c:formatCode>0.00</c:formatCode>
                <c:ptCount val="14"/>
                <c:pt idx="0">
                  <c:v>5.1547763079577109</c:v>
                </c:pt>
                <c:pt idx="1">
                  <c:v>9.3453372234787757</c:v>
                </c:pt>
                <c:pt idx="2">
                  <c:v>11.486768072295387</c:v>
                </c:pt>
                <c:pt idx="3">
                  <c:v>11.966451886422485</c:v>
                </c:pt>
                <c:pt idx="4">
                  <c:v>12.160992436128595</c:v>
                </c:pt>
                <c:pt idx="5">
                  <c:v>13.534691800456248</c:v>
                </c:pt>
                <c:pt idx="6">
                  <c:v>13.745488070476716</c:v>
                </c:pt>
                <c:pt idx="7">
                  <c:v>34.464231805192455</c:v>
                </c:pt>
                <c:pt idx="8">
                  <c:v>36.859689901046202</c:v>
                </c:pt>
                <c:pt idx="9">
                  <c:v>37.48508346708784</c:v>
                </c:pt>
                <c:pt idx="10">
                  <c:v>38.826755464470445</c:v>
                </c:pt>
                <c:pt idx="11">
                  <c:v>46.002866972534925</c:v>
                </c:pt>
                <c:pt idx="12">
                  <c:v>51.586455054375627</c:v>
                </c:pt>
                <c:pt idx="13">
                  <c:v>59.717984556117507</c:v>
                </c:pt>
              </c:numCache>
            </c:numRef>
          </c:xVal>
          <c:yVal>
            <c:numRef>
              <c:f>Fasting!$AR$2:$AR$15</c:f>
              <c:numCache>
                <c:formatCode>0.00</c:formatCode>
                <c:ptCount val="14"/>
                <c:pt idx="0">
                  <c:v>31.035319507030131</c:v>
                </c:pt>
                <c:pt idx="1">
                  <c:v>37.262725273757226</c:v>
                </c:pt>
                <c:pt idx="2">
                  <c:v>24.425392258520599</c:v>
                </c:pt>
                <c:pt idx="3">
                  <c:v>18.142779886714877</c:v>
                </c:pt>
                <c:pt idx="4">
                  <c:v>17.862255550780034</c:v>
                </c:pt>
                <c:pt idx="5">
                  <c:v>17.269130641652932</c:v>
                </c:pt>
                <c:pt idx="6">
                  <c:v>26.21896938896267</c:v>
                </c:pt>
                <c:pt idx="7">
                  <c:v>12.468739311353964</c:v>
                </c:pt>
                <c:pt idx="8">
                  <c:v>9.3400479364580846</c:v>
                </c:pt>
                <c:pt idx="9">
                  <c:v>-5.2066692531482275</c:v>
                </c:pt>
                <c:pt idx="10">
                  <c:v>-7.8007463914169151</c:v>
                </c:pt>
                <c:pt idx="11">
                  <c:v>-8.900334214618141</c:v>
                </c:pt>
                <c:pt idx="13">
                  <c:v>-34.925785835598248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87-9A40-ADDA-7EE7BFE2E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915216"/>
        <c:axId val="458970608"/>
      </c:scatterChart>
      <c:valAx>
        <c:axId val="47491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Baseline</a:t>
                </a:r>
                <a:r>
                  <a:rPr lang="en-GB" sz="1200" baseline="0"/>
                  <a:t> Fractional Gluconeogenesis (%)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970608"/>
        <c:crosses val="autoZero"/>
        <c:crossBetween val="midCat"/>
      </c:valAx>
      <c:valAx>
        <c:axId val="45897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Change</a:t>
                </a:r>
                <a:r>
                  <a:rPr lang="en-GB" sz="1200" baseline="0"/>
                  <a:t> in Fractional Gluconeogenesis (%)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915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Gluconeogenesis after 8hr fast</a:t>
            </a:r>
            <a:r>
              <a:rPr lang="en-GB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Fasting!$AQ$21:$AQ$22</c:f>
              <c:strCache>
                <c:ptCount val="2"/>
                <c:pt idx="0">
                  <c:v>0mins</c:v>
                </c:pt>
                <c:pt idx="1">
                  <c:v>480mins</c:v>
                </c:pt>
              </c:strCache>
            </c:strRef>
          </c:cat>
          <c:val>
            <c:numRef>
              <c:f>Fasting!$AR$21:$AR$22</c:f>
              <c:numCache>
                <c:formatCode>0.00</c:formatCode>
                <c:ptCount val="2"/>
                <c:pt idx="0">
                  <c:v>0.22938754570411815</c:v>
                </c:pt>
                <c:pt idx="1">
                  <c:v>1.6631158531777666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CF-5B4F-A73F-2A07EEBF0BE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Fasting!$AQ$21:$AQ$22</c:f>
              <c:strCache>
                <c:ptCount val="2"/>
                <c:pt idx="0">
                  <c:v>0mins</c:v>
                </c:pt>
                <c:pt idx="1">
                  <c:v>480mins</c:v>
                </c:pt>
              </c:strCache>
            </c:strRef>
          </c:cat>
          <c:val>
            <c:numRef>
              <c:f>Fasting!$AS$21:$AS$22</c:f>
              <c:numCache>
                <c:formatCode>0.00</c:formatCode>
                <c:ptCount val="2"/>
                <c:pt idx="0">
                  <c:v>0.46072512511750358</c:v>
                </c:pt>
                <c:pt idx="1">
                  <c:v>2.2973114004887631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CF-5B4F-A73F-2A07EEBF0BE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Fasting!$AQ$21:$AQ$22</c:f>
              <c:strCache>
                <c:ptCount val="2"/>
                <c:pt idx="0">
                  <c:v>0mins</c:v>
                </c:pt>
                <c:pt idx="1">
                  <c:v>480mins</c:v>
                </c:pt>
              </c:strCache>
            </c:strRef>
          </c:cat>
          <c:val>
            <c:numRef>
              <c:f>Fasting!$AT$21:$AT$22</c:f>
              <c:numCache>
                <c:formatCode>0.00</c:formatCode>
                <c:ptCount val="2"/>
                <c:pt idx="0">
                  <c:v>0.59731193975936014</c:v>
                </c:pt>
                <c:pt idx="1">
                  <c:v>1.7930941653176422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CF-5B4F-A73F-2A07EEBF0BED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Fasting!$AQ$21:$AQ$22</c:f>
              <c:strCache>
                <c:ptCount val="2"/>
                <c:pt idx="0">
                  <c:v>0mins</c:v>
                </c:pt>
                <c:pt idx="1">
                  <c:v>480mins</c:v>
                </c:pt>
              </c:strCache>
            </c:strRef>
          </c:cat>
          <c:val>
            <c:numRef>
              <c:f>Fasting!$AU$21:$AU$22</c:f>
              <c:numCache>
                <c:formatCode>0.00</c:formatCode>
                <c:ptCount val="2"/>
                <c:pt idx="0">
                  <c:v>0.58276620686877501</c:v>
                </c:pt>
                <c:pt idx="1">
                  <c:v>1.4595450102028338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CF-5B4F-A73F-2A07EEBF0BED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Fasting!$AQ$21:$AQ$22</c:f>
              <c:strCache>
                <c:ptCount val="2"/>
                <c:pt idx="0">
                  <c:v>0mins</c:v>
                </c:pt>
                <c:pt idx="1">
                  <c:v>480mins</c:v>
                </c:pt>
              </c:strCache>
            </c:strRef>
          </c:cat>
          <c:val>
            <c:numRef>
              <c:f>Fasting!$AV$21:$AV$22</c:f>
              <c:numCache>
                <c:formatCode>0.00</c:formatCode>
                <c:ptCount val="2"/>
                <c:pt idx="0">
                  <c:v>0.59102423239584978</c:v>
                </c:pt>
                <c:pt idx="1">
                  <c:v>1.4312082315359342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CF-5B4F-A73F-2A07EEBF0BED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Fasting!$AQ$21:$AQ$22</c:f>
              <c:strCache>
                <c:ptCount val="2"/>
                <c:pt idx="0">
                  <c:v>0mins</c:v>
                </c:pt>
                <c:pt idx="1">
                  <c:v>480mins</c:v>
                </c:pt>
              </c:strCache>
            </c:strRef>
          </c:cat>
          <c:val>
            <c:numRef>
              <c:f>Fasting!$AW$21:$AW$22</c:f>
              <c:numCache>
                <c:formatCode>0.00</c:formatCode>
                <c:ptCount val="2"/>
                <c:pt idx="0">
                  <c:v>0.83373701490810481</c:v>
                </c:pt>
                <c:pt idx="1">
                  <c:v>1.5745373841284105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CF-5B4F-A73F-2A07EEBF0BED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Fasting!$AQ$21:$AQ$22</c:f>
              <c:strCache>
                <c:ptCount val="2"/>
                <c:pt idx="0">
                  <c:v>0mins</c:v>
                </c:pt>
                <c:pt idx="1">
                  <c:v>480mins</c:v>
                </c:pt>
              </c:strCache>
            </c:strRef>
          </c:cat>
          <c:val>
            <c:numRef>
              <c:f>Fasting!$AX$21:$AX$22</c:f>
              <c:numCache>
                <c:formatCode>0.00</c:formatCode>
                <c:ptCount val="2"/>
                <c:pt idx="0">
                  <c:v>0.65153613454059633</c:v>
                </c:pt>
                <c:pt idx="1">
                  <c:v>1.8951145727266159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CF-5B4F-A73F-2A07EEBF0BED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Fasting!$AQ$21:$AQ$22</c:f>
              <c:strCache>
                <c:ptCount val="2"/>
                <c:pt idx="0">
                  <c:v>0mins</c:v>
                </c:pt>
                <c:pt idx="1">
                  <c:v>480mins</c:v>
                </c:pt>
              </c:strCache>
            </c:strRef>
          </c:cat>
          <c:val>
            <c:numRef>
              <c:f>Fasting!$AY$21:$AY$22</c:f>
              <c:numCache>
                <c:formatCode>0.00</c:formatCode>
                <c:ptCount val="2"/>
                <c:pt idx="0">
                  <c:v>1.912764865188181</c:v>
                </c:pt>
                <c:pt idx="1">
                  <c:v>2.1570393525164735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CF-5B4F-A73F-2A07EEBF0BED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Fasting!$AQ$21:$AQ$22</c:f>
              <c:strCache>
                <c:ptCount val="2"/>
                <c:pt idx="0">
                  <c:v>0mins</c:v>
                </c:pt>
                <c:pt idx="1">
                  <c:v>480mins</c:v>
                </c:pt>
              </c:strCache>
            </c:strRef>
          </c:cat>
          <c:val>
            <c:numRef>
              <c:f>Fasting!$AZ$21:$AZ$22</c:f>
              <c:numCache>
                <c:formatCode>0.00</c:formatCode>
                <c:ptCount val="2"/>
                <c:pt idx="0">
                  <c:v>1.9351337198049254</c:v>
                </c:pt>
                <c:pt idx="1">
                  <c:v>2.2591671802539595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2CF-5B4F-A73F-2A07EEBF0BED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Fasting!$AQ$21:$AQ$22</c:f>
              <c:strCache>
                <c:ptCount val="2"/>
                <c:pt idx="0">
                  <c:v>0mins</c:v>
                </c:pt>
                <c:pt idx="1">
                  <c:v>480mins</c:v>
                </c:pt>
              </c:strCache>
            </c:strRef>
          </c:cat>
          <c:val>
            <c:numRef>
              <c:f>Fasting!$BA$21:$BA$22</c:f>
              <c:numCache>
                <c:formatCode>0.00</c:formatCode>
                <c:ptCount val="2"/>
                <c:pt idx="0">
                  <c:v>1.7655474312998372</c:v>
                </c:pt>
                <c:pt idx="1">
                  <c:v>1.3802249917880576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2CF-5B4F-A73F-2A07EEBF0BED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Fasting!$AQ$21:$AQ$22</c:f>
              <c:strCache>
                <c:ptCount val="2"/>
                <c:pt idx="0">
                  <c:v>0mins</c:v>
                </c:pt>
                <c:pt idx="1">
                  <c:v>480mins</c:v>
                </c:pt>
              </c:strCache>
            </c:strRef>
          </c:cat>
          <c:val>
            <c:numRef>
              <c:f>Fasting!$BB$21:$BB$22</c:f>
              <c:numCache>
                <c:formatCode>0.00</c:formatCode>
                <c:ptCount val="2"/>
                <c:pt idx="0">
                  <c:v>1.74720399590117</c:v>
                </c:pt>
                <c:pt idx="1">
                  <c:v>1.4698571798359108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2CF-5B4F-A73F-2A07EEBF0BED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Fasting!$AQ$21:$AQ$22</c:f>
              <c:strCache>
                <c:ptCount val="2"/>
                <c:pt idx="0">
                  <c:v>0mins</c:v>
                </c:pt>
                <c:pt idx="1">
                  <c:v>480mins</c:v>
                </c:pt>
              </c:strCache>
            </c:strRef>
          </c:cat>
          <c:val>
            <c:numRef>
              <c:f>Fasting!$BC$21:$BC$22</c:f>
              <c:numCache>
                <c:formatCode>0.00</c:formatCode>
                <c:ptCount val="2"/>
                <c:pt idx="0">
                  <c:v>2.3507465022965346</c:v>
                </c:pt>
                <c:pt idx="1">
                  <c:v>1.708571633502068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2CF-5B4F-A73F-2A07EEBF0BED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Fasting!$AQ$21:$AQ$22</c:f>
              <c:strCache>
                <c:ptCount val="2"/>
                <c:pt idx="0">
                  <c:v>0mins</c:v>
                </c:pt>
                <c:pt idx="1">
                  <c:v>480mins</c:v>
                </c:pt>
              </c:strCache>
            </c:strRef>
          </c:cat>
          <c:val>
            <c:numRef>
              <c:f>Fasting!$BD$21:$BD$22</c:f>
              <c:numCache>
                <c:formatCode>0.00</c:formatCode>
                <c:ptCount val="2"/>
                <c:pt idx="0">
                  <c:v>2.6102746257514062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2CF-5B4F-A73F-2A07EEBF0BED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Fasting!$AQ$21:$AQ$22</c:f>
              <c:strCache>
                <c:ptCount val="2"/>
                <c:pt idx="0">
                  <c:v>0mins</c:v>
                </c:pt>
                <c:pt idx="1">
                  <c:v>480mins</c:v>
                </c:pt>
              </c:strCache>
            </c:strRef>
          </c:cat>
          <c:val>
            <c:numRef>
              <c:f>Fasting!$BE$21:$BE$22</c:f>
              <c:numCache>
                <c:formatCode>0.00</c:formatCode>
                <c:ptCount val="2"/>
                <c:pt idx="0">
                  <c:v>2.8545196617824171</c:v>
                </c:pt>
                <c:pt idx="1">
                  <c:v>1.2443204537828616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2CF-5B4F-A73F-2A07EEBF0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3664544"/>
        <c:axId val="791152192"/>
      </c:lineChart>
      <c:catAx>
        <c:axId val="76366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152192"/>
        <c:crosses val="autoZero"/>
        <c:auto val="1"/>
        <c:lblAlgn val="ctr"/>
        <c:lblOffset val="100"/>
        <c:noMultiLvlLbl val="0"/>
      </c:catAx>
      <c:valAx>
        <c:axId val="79115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Absolute</a:t>
                </a:r>
                <a:r>
                  <a:rPr lang="en-GB" baseline="0"/>
                  <a:t> Gluconeogenesis (mmol/L)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6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Fasting</a:t>
            </a:r>
            <a:r>
              <a:rPr lang="en-GB" baseline="0"/>
              <a:t> </a:t>
            </a:r>
            <a:r>
              <a:rPr lang="en-GB"/>
              <a:t>Insulin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PostPrandial!$Y$2:$Y$11</c:f>
              <c:numCache>
                <c:formatCode>General</c:formatCode>
                <c:ptCount val="7"/>
                <c:pt idx="0">
                  <c:v>7.9964999999999993</c:v>
                </c:pt>
                <c:pt idx="1">
                  <c:v>12.083500000000001</c:v>
                </c:pt>
                <c:pt idx="2">
                  <c:v>14.282499999999999</c:v>
                </c:pt>
                <c:pt idx="3">
                  <c:v>10.619</c:v>
                </c:pt>
                <c:pt idx="4">
                  <c:v>13.5745</c:v>
                </c:pt>
                <c:pt idx="5">
                  <c:v>15.769500000000001</c:v>
                </c:pt>
                <c:pt idx="6">
                  <c:v>14.140499999999999</c:v>
                </c:pt>
              </c:numCache>
            </c:numRef>
          </c:xVal>
          <c:yVal>
            <c:numRef>
              <c:f>PostPrandial!$AP$2:$AP$11</c:f>
              <c:numCache>
                <c:formatCode>General</c:formatCode>
                <c:ptCount val="7"/>
                <c:pt idx="0">
                  <c:v>-0.53063756261305572</c:v>
                </c:pt>
                <c:pt idx="1">
                  <c:v>-0.7302491236356331</c:v>
                </c:pt>
                <c:pt idx="2">
                  <c:v>-0.73941005251248038</c:v>
                </c:pt>
                <c:pt idx="3">
                  <c:v>-0.681933533282438</c:v>
                </c:pt>
                <c:pt idx="4">
                  <c:v>-0.90483264646906303</c:v>
                </c:pt>
                <c:pt idx="5">
                  <c:v>-0.68152144915429624</c:v>
                </c:pt>
                <c:pt idx="6">
                  <c:v>-0.89264291410279306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8F-4E5F-A8A4-9C4E3B746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694832"/>
        <c:axId val="830695488"/>
      </c:scatterChart>
      <c:valAx>
        <c:axId val="83069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695488"/>
        <c:crosses val="autoZero"/>
        <c:crossBetween val="midCat"/>
      </c:valAx>
      <c:valAx>
        <c:axId val="83069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69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234155</xdr:colOff>
      <xdr:row>7</xdr:row>
      <xdr:rowOff>31750</xdr:rowOff>
    </xdr:from>
    <xdr:to>
      <xdr:col>48</xdr:col>
      <xdr:colOff>515938</xdr:colOff>
      <xdr:row>25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139184-E515-EBF1-1840-6C9088D0D6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701221</xdr:colOff>
      <xdr:row>23</xdr:row>
      <xdr:rowOff>158750</xdr:rowOff>
    </xdr:from>
    <xdr:to>
      <xdr:col>58</xdr:col>
      <xdr:colOff>466271</xdr:colOff>
      <xdr:row>61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BD9C988-9F74-C945-8A7D-72E3DA406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63996</xdr:colOff>
      <xdr:row>24</xdr:row>
      <xdr:rowOff>38350</xdr:rowOff>
    </xdr:from>
    <xdr:to>
      <xdr:col>44</xdr:col>
      <xdr:colOff>428830</xdr:colOff>
      <xdr:row>54</xdr:row>
      <xdr:rowOff>139370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4767A09-40FB-C346-99BB-37BB2B752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59</xdr:col>
      <xdr:colOff>222249</xdr:colOff>
      <xdr:row>1</xdr:row>
      <xdr:rowOff>143327</xdr:rowOff>
    </xdr:from>
    <xdr:to>
      <xdr:col>70</xdr:col>
      <xdr:colOff>290285</xdr:colOff>
      <xdr:row>26</xdr:row>
      <xdr:rowOff>145142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5C98308-A0E3-7C41-8C3C-15863A47B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428623</xdr:colOff>
      <xdr:row>12</xdr:row>
      <xdr:rowOff>9523</xdr:rowOff>
    </xdr:from>
    <xdr:to>
      <xdr:col>40</xdr:col>
      <xdr:colOff>600074</xdr:colOff>
      <xdr:row>43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Cross%20Section\Collated%20Anthro%20and%20Ilab%20data%20cross%20section%20study%2005%20Dec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2\Leanne\Liver%20fat%20case%20control%20study\Lab%20work\Results\1%20LH%2010.07.12\LH%201_Liver%20Fat_ILAB_10.07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2\Leanne\Liver%20fat%20case%20control%20study\Lab%20work\Results\DNL_Bound\DNLResult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20\Leanne\FHS_Felix\Gluconeogenesis%20calculation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2\Leanne\Liver%20fat%20case%20control%20study\Lab%20work\Results\2%20KP%2002.08.12\KP%202%2002.8.12%20ILAB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2\Leanne\Liver%20fat%20case%20control%20study\Lab%20work\Results\3%20LS%2014.08.12\LS%203_Liver%20Fat_ILAB_14.08.1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2\Leanne\Liver%20fat%20case%20control%20study\Lab%20work\Results\4%20MW%2017.08.12\MW%204_Liver%20Fat_ILAB_17.08.1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2\Leanne\Liver%20fat%20case%20control%20study\Lab%20work\Results\5%20RS%2027.09.12\RS(5)%20Liver%20Fat_ILAB_27.09.1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2\Leanne\Liver%20fat%20case%20control%20study\Lab%20work\Results\6%20ML%2003.10.12\ML(6)%20Liver%20Fat_ILAB_03.10.1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2\Leanne\Liver%20fat%20case%20control%20study\Lab%20work\Results\7%20NT%2004.10.12\NT(7)%20Liver%20Fat_ILAB_04.10.1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2\Leanne\Liver%20fat%20case%20control%20study\Lab%20work\Results\8%20DA%2005.10.12\DA(8)%20Liver%20Fat_ILAB_05.10.1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2\Leanne\Liver%20fat%20case%20control%20study\Lab%20work\Results\9%20AB%2010.10.12\AB(9)%20Liver%20Fat_ILAB_10.10.1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2\Leanne\Liver%20fat%20case%20control%20study\Lab%20work\Results\10%20PT%2011.10.12\PT(10)%20Liver%20Fat_ILAB_11.10.1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2\Leanne\Liver%20fat%20case%20control%20study\Lab%20work\Results\11%20RF%2022.10.12\RF(11)%20Liver%20Fat_ILAB_22.10.1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2\Leanne\Liver%20fat%20case%20control%20study\Lab%20work\Results\12%20DD%2024.10.12\DD(12)%20Liver%20Fat_ILAB_24.10.1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2\Leanne\Liver%20fat%20case%20control%20study\Lab%20work\Results\13%20LJ%2031.10.12\LJ_(13)_Liver%20Fat_ILAB%2031.10.12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2\Leanne\Liver%20fat%20case%20control%20study\Lab%20work\Results\14%20MR%2005.11.12\(14)_MR_ILAB%20results%2005.11.12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2\Leanne\Liver%20fat%20case%20control%20study\Lab%20work\Results\15%20MJ%2008.11.12\15%20MJ%2008.11.12%20ILAB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2\Leanne\Liver%20fat%20case%20control%20study\Lab%20work\Results\16%20MS%2013.11.12\16%20MS%20Ilab%2013.11.12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2\Leanne\Liver%20fat%20case%20control%20study\Lab%20work\Results\17%20WE%2015.11.12\17%20WE%20ILAB%20results%2015.11.12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2\Leanne\Liver%20fat%20case%20control%20study\Lab%20work\Results\18%20NC%2026.11.12\18%20NC_ILAB_26.11.12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2\Leanne\Liver%20fat%20case%20control%20study\Lab%20work\Results\19%20RA%2028.11.12\RA%20(19)_ILAB_28.11.12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2\Leanne\Liver%20fat%20case%20control%20study\Lab%20work\Results\20%20CS%2029.11.12\CS%20(20)_ILAB_29.11.12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2\Leanne\Liver%20fat%20case%20control%20study\Lab%20work\Results\21%20PW%204.12.12\PW%20(21)%20_ILAB_04.12.12_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2\Leanne\Liver%20fat%20case%20control%20study\Lab%20work\Results\23%20GJ%2017.12.12\Liver%20Fat%2023_GJ_ILAB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2\Leanne\Liver%20fat%20case%20control%20study\Lab%20work\Results\24%20TA%2021.02.13\24%20ILAB%20TA%2021.02.13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1-RS-Visit%20A%2017.9.13,%20Visit%20B%2012.11.13\RS1%20I%20Lab%20Resul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collated%20DNL%20results%20for%20fish%20oil%20visit%20A%20onl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3-MN%20Visit%20A%2022.10.13,%20Visit%20B%2016.12.13\MN3%20Ilab%20Results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5-DB%20Visit%20A%2021.11.13,%20Visit%20B%2027.1.14\DB5%20Ilab%20Results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7-RP%20Visit%20A%2013.3.14,%20Visit%20B%2022.5.14\RP%207%20ILab%20results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11-%20AR%20Visit%20A%2027.3.14,%20Visit%20B%2017.6.14\AR11%20Fish%20oil%20study%20ILab%20results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13-%20DK%20Visit%20A%201.4.14,%20Visit%20B%203.6.14\DK%2013%20%20ILab%20results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14-%20MT%20Visit%20A%208.4.14,%20Visit%20B%2010.6.14\MT14%20%20ILab%20results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16-WF%20Visit%20A%2022.4.14,%20Visit%20B%2024.6.14\WF%2016%20ILab%20results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17-MJ%20Visit%20A%201.5.14,%20Visit%20B%201.7.14\MJ%2017%20Fish%20oil%20study%20ILab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21%20GS%20Visit%20A%2012.8.14,%20Visit%20B%207.10.14\21%20GS%20Fish%20oil%20study%20ILab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23%20JW%20Visit%20A%2019.8.14%20Visit%20B%2014.10.14\23%20JW%20Fish%20oil%20study%20ILab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24%20TG%20Visit%20A%2028.8.14,%20Visit%20B%2024.10.14\24%20TG%20Fish%20oil%20study%20ILab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28%20DP%20Visit%20A%202.9.14,%20Visit%20B%2030.10.14\28%20DP%20ILab%20results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31%20SB%20Visit%20A%2030.9.14,%20Visit%20B%202.12.14\SB%2031%20ILab%20results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32%20%20MW%20Visit%20A%2016.10.14,%20Visit%20B%2011.12.14\MW32%20ILab%20results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33%20ST%20Visit%20A%2021.10.14,%20Visit%20B%2017.12.14\ST33%20ILab%20results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34%20PH%20Visit%20A%2020.11.14,%20Visit%20B%2029.1.15\PH34%20ILab%20results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35%20LR%20Visit%20A%2024.11.14,%20Visit%20B%2026.1.15\LR35%20ILab%20results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36%20S(J)H%20Visit%20A%2022.1.15,%20Visit%20B%202.6.15\36%20S(J)H%20ILab%20results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37%20RW%20Visit%20A%2009.03.15,\37%20RW%20ILab%20results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38%20SJ%20Visit%20A%2031.03.15,%20Visit%20B%2028.5.15\SJ38%20ILab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39%20JJC%20Visit%20A%2016.4.15,%20Visit%20B%2016.6.15\JJC39%20ILab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20\Leanne\For%20Jo\Collated%20data%20for%20sugar%20study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4\Wee%20Suan\Sugar%20study_crossover\Results\Compilation%20of%20Results\Collated_all%20data%20for%20sugar%20study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7\Sion\HFHS\Subject%20characteristics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7\Sion\HFHS\Analysis\Spectroscopy%20analysis\Spectroscopy_Collated%20data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7\Sion\HFHS\Analysis\DEXA\HF_HS_2016_DEXA_150219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20\Leanne\FHS_Felix\Collated%20MASTER_Jessica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7\Sion\HFHS\Analysis\iLab\Collated%20data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7\Sion\HFHS\Analysis\iLab\Collated%20data-2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7\Sion\HFHS\Analysis\DNL\collated%20DNL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7\Sion\HFHS\Analysis\Lipid%20fractions\Concentration%20of%20lipid%20fractions%20collated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7\Sion\HFHS\Analysis\iLab\JG012%20iLab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20\Leanne\FHS_Felix\Jess%20Spreadsheets\Collated%20MASTER_Jessica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20\Leanne\FHS_Felix\Collated%20DNL%20studies%20130618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7\Leanne\Sugar%20Overfeeding%20Study\Results\Collated%20results\Collated%20MASTER%20180919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7\Leanne\Sugar%20Overfeeding%20Study\Results\Spectroscopy_Analysis\Spectroscopy%20Collated%20data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dius2\ocdem\Oxlip\LabData\Data\EXPT_DAT\2017\Leanne\Sugar%20Overfeeding%20Study\Results\1%20SE%20Visit%20A%204.7.17,%20Visit%20B%2024.7.17\SOS%20SE1%20ILab%20results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7\Leanne\Sugar%20Overfeeding%20Study\Results\Collated%20results\Collated%20data.2020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7\Leanne\Sugar%20Overfeeding%20Study\Results\2%20NV%20Visit%20A%2029.8.17,%20Visit%20B%2014.9.17\NV2%20ILab%20Results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7\Leanne\Sugar%20Overfeeding%20Study\Results\3%20SS%20Visit%20A%2027.9.17,%20Visit%20B%2018.10.17\SS3%20ILab%20results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7\Leanne\Sugar%20Overfeeding%20Study\Results\4%20FN%20Visit%20A%2011.10.17,%20Visit%20B%2030.10.17\FN4%20ILab%20results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7\Leanne\Sugar%20Overfeeding%20Study\Results\5%20PB%20Visit%20A%2002.11.17,%20Visit%20B%2020.11.17\PB5%20ILab%20results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7\Leanne\Sugar%20Overfeeding%20Study\Results\7%20RW%20Visit%20A%2018.1.18,%20Visit%20B%208.2.18\RW7AB%20ILab%20results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7\Leanne\Sugar%20Overfeeding%20Study\Results\8%20GL%20Visit%20A%2015.2.18,%20Visit%20B%201.3.18\GL8AB%20ILab%20results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7\Leanne\Sugar%20Overfeeding%20Study\Results\9%20CW%20Visit%20A%2019.3.18,%20Visit%20B%209.4.18\CW9AB%20ILab%20results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7\Leanne\Sugar%20Overfeeding%20Study\Results\10%20JH%20Visit%20A%2011.4.18,%20Visit%20B%2030.4.18\SOS10AB%20ILab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7\Leanne\Sugar%20Overfeeding%20Study\Results\11%20MB%20Visit%20A%2021.5.18,%20Visit%20B%205.6.18\SOS11AB%20ILab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7\Leanne\Sugar%20Overfeeding%20Study\Results\12%20AO%20Visit%20A%202.7.18,%20Visit%20B%2019.7.18\SOS12AB%20ILab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7\Leanne\Sugar%20Overfeeding%20Study\Results\14%20Visit%20A%209.8.18,%20Visit%20B%2027.08.18\SOS%20ilab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7\Leanne\Sugar%20Overfeeding%20Study\Results\15%20Visit%20A%2024.9.19%20Visit%20B%2015.9.19\15AB%20ILab%20results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7\Leanne\Sugar%20Overfeeding%20Study\Results\16%20visit%20A%206.11.19%20Visit%20B%2027.11.19\16AB%20ILab%20results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7\Leanne\Sugar%20Overfeeding%20Study\Results\17%20visit%20A%2011.11.19%20Visit%20B%202.12.19\17AB%20ILab%20results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7\Leanne\Sugar%20Overfeeding%20Study\Results\18%20Visit%20A%2021.11.19%20Visit%20B%2016.12.19\18AB%20ILab%20results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smash%20antropometric%20data%20master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Colated%20data\collated%20Ilab%20results%20metformin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1Am%20hr%2025-2-16\ilab\s1ABm%20hr%20ILab%20template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1Am%20hr%2025-2-16\ilab\S1AM_HR_VLDL%20calculations%2025%20Feb%2016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Colated%20data\collated%20baseline%20metformin%20final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2Am%20LR%2010-3-16\ILAB\s2ABm%20lr%20ILab%20template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2Am%20LR%2010-3-16\ILAB\S2Am_LR_VLDL%20calculations%2010%20MAR%2016.xlsx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3Am%20JW%2015-3-16\ilab\s3ABm%20jw%20ILab%20template.xlsx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3Am%20JW%2015-3-16\s3ABm%20jw%20ILab%20template.xlsx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3Am%20JW%2015-3-16\S3Am_JW_VLDL%20calculations%2010%20MAR%2016.xlsx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4Am%20CC%2017-3-16\ILAB\s4ABm%20CC%20ILab%20template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4Am%20CC%2017-3-16\ILAB\S4Am_CC_VLDL%20calculations%2010%20MAR%2016.xlsx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5Am%20JH%205-4-16\ilab\s5ABm%20jh%20%20ILab%20template.xlsx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6Am%20PB%2011-4-16\ILAB\s6ABm%20jPB%20%20ILab%20template.xlsx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7Am%20JB%2025-4-16\ILAB\s7ABm%20JB%20%20ILab%20template.xlsx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8Am%20LC%2017-5-16\ilab\s8ABm%20LC%20%20ILab%20template.xlsx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9Am%20PaB%204-7-16\ilab\Copy%20of%20s9ABm%20PaB%20%20ILab%20template.xlsx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9Am%20PaB%204-7-16\ilab\Copy%20of%20S9Am_PaB_VLDL%20calculations%204%20july16.xlsx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10Am%20MaH%2019-8-16\ilab\Copy%20of%20Copy%20of%20s10ABm%20MaH%20ILab%20template.xlsx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1Ad%20KP%2027-4-16\ilab\s1ABd%20kp%20ILab%20template.xlsx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Colated%20data\Copy%20of%20collated%20Ilab%20results%20dapa.xlsx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Colated%20data\Plasma%20and%20VLDL-TG%20tracers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2Ad%20MH%206-5-16\ILAB\s2ABd%20MH%20ILab%20template.xls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3Ad%20GA%2031-5-16\ilab\S3ABD%20ILAB%20PLASMA.xlsx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4Ad%20AB%2016-6-16\ilab\s4ABd%20AB%20ILab%20template.xlsx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5Ad%20MC%2020-6-16\ilab\s5ABd%20MC%20ILab%20template.xlsx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6Ad%20DG%2023-6-16\ilab\s6ABd%20dg%20ILab%20template.xlsx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7AD%20MD%2027-6-16\ilab\Copy%20of%20s7AB%20md%20%20ILab%20template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8AD%20DH%2030-6-16\ilab\Copy%20of%20Copy%20of%20s8AB%20DH%20ILab%20template.xlsx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9Ad%20DM%2014-7-16\ilab\Copy%20of%20Copy%20of%20sm9AB%20dm%20ILab%20template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10Ad%20TW%2029-7-16\ilab\Copy%20of%20Copy%20of%20s10AB%20tw%20ILab%20template.xlsx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1Am%20hr%2025-2-16\ilab\S1BM_HR_VLDL%20calculations%202%20JUNE%2016.xlsx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2Am%20LR%2010-3-16\ILAB\S2Bm_LR_VLDL%20calculations%207%20june%2016.xlsx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3Am%20JW%2015-3-16\S3bm_JW_VLDL%20calculations%2014%20june%2016.xlsx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4Am%20CC%2017-3-16\ILAB\S4Bm_CC_VLDL%20calculations%209%20JUNE%2016.xlsx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6\Leanne\SMASH\results\9Am%20PaB%204-7-16\ilab\Copy%20of%20S9bm_PaB_VLDL%20calculations%2028%20june%2016.xlsx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collated%20antro%20data_Fish%20only.xlsx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Collated%20Results\Collated%20data_placebo%20and%20fish.xlsx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collated%20fasting%20ilab%20fish%20oil%20and%20placebo.xlsx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Collated%20Results\collated%20DNL%20results%20for%20fish%20oil.xlsx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23%20JW%20Visit%20A%2019.8.14%20Visit%20B%2014.10.14\JW%2023B%20chylo,VLDL,%20unbound%20&amp;%20bound%20calculations.xlsx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13\Leanne\Fish%20Oil%20Study\Results\39%20JJC%20Visit%20A%2016.4.15,%20Visit%20B%2016.6.15\JJC39B-chylo,VLDL,%20unbound%20&amp;%20bound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thro data"/>
      <sheetName val="CO2 data_from GEM"/>
      <sheetName val="RER_time0 and 240"/>
      <sheetName val="Glycerol"/>
      <sheetName val="NEFA"/>
      <sheetName val="TAG"/>
      <sheetName val="Glucose"/>
      <sheetName val="Urea"/>
      <sheetName val="Apo B, Cholesterol, HDL, ALT"/>
      <sheetName val="3-OHB"/>
      <sheetName val="PCA-AcAc, 3-OHB"/>
      <sheetName val="Insulin+HOMA"/>
      <sheetName val="Lipoproteins"/>
      <sheetName val="collated data_hepatic_urea"/>
      <sheetName val="Plasma 13C 16.0 TG"/>
      <sheetName val="Plasma 13C 16.0 NEFA"/>
      <sheetName val="chylo 13C 16.0 TG"/>
      <sheetName val="VLDL 13C 16.0 TG"/>
      <sheetName val="unbound 13C 16.0 TG"/>
      <sheetName val="bound 13C 16.0 TG"/>
      <sheetName val="chylo 13C 16.1 TG"/>
      <sheetName val="VLDL 13C 16.1 TG"/>
      <sheetName val="unbound 13C 16.1"/>
      <sheetName val="bound 13C 16.1"/>
      <sheetName val="13C 3OHB"/>
      <sheetName val="Urea 13CO2"/>
      <sheetName val="Breath 13CO2"/>
      <sheetName val="Breath 13CO2 corr by lean mass "/>
      <sheetName val="urea13c02 and periph13co2 corr"/>
      <sheetName val="DNL_160"/>
      <sheetName val="DNL_161"/>
      <sheetName val="all subject by DNL SPSS "/>
      <sheetName val="new data all subj SPSS"/>
      <sheetName val="new data all subj SPSS -sort TG"/>
      <sheetName val="data all subj SPSS sort dnl"/>
      <sheetName val="Sheet4"/>
      <sheetName val="Sheet1"/>
      <sheetName val="Data for SPSS_JULY 2015"/>
      <sheetName val="Data for SPSS_JULY 2015 (2)"/>
      <sheetName val="Dataset_21 Jan"/>
      <sheetName val="Dataset_26 Jan"/>
      <sheetName val="Dataset_5 Feb"/>
      <sheetName val="Sheet3"/>
    </sheetNames>
    <sheetDataSet>
      <sheetData sheetId="0">
        <row r="27">
          <cell r="B27">
            <v>22192</v>
          </cell>
          <cell r="C27">
            <v>31911</v>
          </cell>
          <cell r="D27">
            <v>39409</v>
          </cell>
          <cell r="E27">
            <v>24853</v>
          </cell>
          <cell r="F27">
            <v>20396</v>
          </cell>
          <cell r="G27">
            <v>23153</v>
          </cell>
          <cell r="H27">
            <v>39871</v>
          </cell>
          <cell r="I27">
            <v>34158</v>
          </cell>
          <cell r="J27">
            <v>24585</v>
          </cell>
          <cell r="K27">
            <v>31016</v>
          </cell>
          <cell r="L27">
            <v>23618</v>
          </cell>
          <cell r="M27">
            <v>37872</v>
          </cell>
          <cell r="N27">
            <v>46828</v>
          </cell>
          <cell r="O27">
            <v>25396</v>
          </cell>
          <cell r="P27">
            <v>22191</v>
          </cell>
          <cell r="Q27">
            <v>12859</v>
          </cell>
          <cell r="R27">
            <v>38421</v>
          </cell>
          <cell r="S27">
            <v>34565</v>
          </cell>
          <cell r="T27">
            <v>26793</v>
          </cell>
          <cell r="U27">
            <v>24953</v>
          </cell>
          <cell r="V27">
            <v>25955</v>
          </cell>
          <cell r="W27">
            <v>27035</v>
          </cell>
          <cell r="X27">
            <v>27832</v>
          </cell>
          <cell r="Y27">
            <v>27801</v>
          </cell>
          <cell r="Z27">
            <v>22436</v>
          </cell>
          <cell r="AA27">
            <v>25557</v>
          </cell>
          <cell r="AB27">
            <v>24516</v>
          </cell>
          <cell r="AC27">
            <v>19394.161588927</v>
          </cell>
          <cell r="AD27">
            <v>24484.762136366</v>
          </cell>
          <cell r="AE27">
            <v>34523.314217252999</v>
          </cell>
          <cell r="AF27">
            <v>30657.259995050001</v>
          </cell>
          <cell r="AG27">
            <v>21533.601827184</v>
          </cell>
          <cell r="AH27">
            <v>22676</v>
          </cell>
          <cell r="AI27">
            <v>22342.615031023</v>
          </cell>
          <cell r="AJ27">
            <v>36039.949872571</v>
          </cell>
          <cell r="AK27">
            <v>52650.435560881997</v>
          </cell>
          <cell r="AL27">
            <v>22268.473157756001</v>
          </cell>
          <cell r="AM27">
            <v>21062.678204823998</v>
          </cell>
          <cell r="AN27">
            <v>19578.981572150999</v>
          </cell>
          <cell r="AO27">
            <v>29697</v>
          </cell>
          <cell r="AP27">
            <v>23989.228831755001</v>
          </cell>
          <cell r="AQ27">
            <v>33620.860036359998</v>
          </cell>
          <cell r="AR27">
            <v>31096</v>
          </cell>
          <cell r="AS27">
            <v>37404.261645819999</v>
          </cell>
          <cell r="AT27">
            <v>21220.093620142001</v>
          </cell>
        </row>
        <row r="28">
          <cell r="B28">
            <v>43616</v>
          </cell>
          <cell r="C28">
            <v>48177</v>
          </cell>
          <cell r="D28">
            <v>46815</v>
          </cell>
          <cell r="E28">
            <v>54773</v>
          </cell>
          <cell r="F28">
            <v>57057</v>
          </cell>
          <cell r="G28">
            <v>52363</v>
          </cell>
          <cell r="H28">
            <v>44838</v>
          </cell>
          <cell r="I28">
            <v>60006</v>
          </cell>
          <cell r="J28">
            <v>44890</v>
          </cell>
          <cell r="K28">
            <v>54166</v>
          </cell>
          <cell r="L28">
            <v>56737</v>
          </cell>
          <cell r="M28">
            <v>61797</v>
          </cell>
          <cell r="N28">
            <v>43556</v>
          </cell>
          <cell r="O28">
            <v>39248</v>
          </cell>
          <cell r="P28">
            <v>55044</v>
          </cell>
          <cell r="Q28">
            <v>48841</v>
          </cell>
          <cell r="R28">
            <v>42589</v>
          </cell>
          <cell r="S28">
            <v>39068</v>
          </cell>
          <cell r="T28">
            <v>41973</v>
          </cell>
          <cell r="U28">
            <v>58062</v>
          </cell>
          <cell r="V28">
            <v>56851</v>
          </cell>
          <cell r="W28">
            <v>58103</v>
          </cell>
          <cell r="X28">
            <v>37776</v>
          </cell>
          <cell r="Y28">
            <v>57821</v>
          </cell>
          <cell r="Z28">
            <v>64783</v>
          </cell>
          <cell r="AA28">
            <v>60377</v>
          </cell>
          <cell r="AB28">
            <v>61778</v>
          </cell>
          <cell r="AC28">
            <v>52379.039246018998</v>
          </cell>
          <cell r="AD28">
            <v>61809.836806601998</v>
          </cell>
          <cell r="AE28">
            <v>62520.506490961998</v>
          </cell>
          <cell r="AF28">
            <v>61946.508388278002</v>
          </cell>
          <cell r="AG28">
            <v>54974.172077575</v>
          </cell>
          <cell r="AH28">
            <v>58393</v>
          </cell>
          <cell r="AI28">
            <v>53993.128320848002</v>
          </cell>
          <cell r="AJ28">
            <v>68245.108505305994</v>
          </cell>
          <cell r="AK28">
            <v>58426.35308157</v>
          </cell>
          <cell r="AL28">
            <v>43750.139097555999</v>
          </cell>
          <cell r="AM28">
            <v>67952.615830025999</v>
          </cell>
          <cell r="AN28">
            <v>63481.962302802</v>
          </cell>
          <cell r="AO28">
            <v>65505</v>
          </cell>
          <cell r="AP28">
            <v>62032.984410883</v>
          </cell>
          <cell r="AQ28">
            <v>58896.373600316001</v>
          </cell>
          <cell r="AR28">
            <v>62336</v>
          </cell>
          <cell r="AS28">
            <v>57942.709429862</v>
          </cell>
          <cell r="AT28">
            <v>72470.967732364006</v>
          </cell>
        </row>
      </sheetData>
      <sheetData sheetId="1"/>
      <sheetData sheetId="2"/>
      <sheetData sheetId="3"/>
      <sheetData sheetId="4">
        <row r="3">
          <cell r="B3">
            <v>501.85</v>
          </cell>
          <cell r="C3">
            <v>450.6</v>
          </cell>
          <cell r="D3">
            <v>641.75</v>
          </cell>
          <cell r="E3">
            <v>516.4</v>
          </cell>
          <cell r="F3">
            <v>363.3</v>
          </cell>
          <cell r="G3">
            <v>689.7</v>
          </cell>
          <cell r="H3">
            <v>661.4</v>
          </cell>
          <cell r="I3">
            <v>294.7</v>
          </cell>
          <cell r="J3">
            <v>503.8</v>
          </cell>
          <cell r="K3">
            <v>485.5</v>
          </cell>
          <cell r="L3">
            <v>468.9</v>
          </cell>
          <cell r="M3">
            <v>393.3</v>
          </cell>
          <cell r="N3">
            <v>574</v>
          </cell>
          <cell r="O3">
            <v>410.9</v>
          </cell>
          <cell r="P3">
            <v>414.8</v>
          </cell>
          <cell r="Q3">
            <v>313.10000000000002</v>
          </cell>
          <cell r="R3">
            <v>501.9</v>
          </cell>
          <cell r="S3">
            <v>327.3</v>
          </cell>
          <cell r="T3">
            <v>264.89999999999998</v>
          </cell>
          <cell r="U3">
            <v>427.4</v>
          </cell>
          <cell r="V3">
            <v>533.4</v>
          </cell>
          <cell r="W3">
            <v>354.7</v>
          </cell>
          <cell r="X3">
            <v>532.5</v>
          </cell>
          <cell r="Y3">
            <v>259.7</v>
          </cell>
          <cell r="Z3">
            <v>314.5</v>
          </cell>
          <cell r="AA3">
            <v>377.2</v>
          </cell>
          <cell r="AB3">
            <v>164.6</v>
          </cell>
          <cell r="AC3">
            <v>364.7</v>
          </cell>
          <cell r="AD3">
            <v>421.5</v>
          </cell>
          <cell r="AE3">
            <v>297.7</v>
          </cell>
          <cell r="AF3">
            <v>465</v>
          </cell>
          <cell r="AG3">
            <v>362.8</v>
          </cell>
          <cell r="AH3">
            <v>218.1</v>
          </cell>
          <cell r="AI3">
            <v>301.10000000000002</v>
          </cell>
          <cell r="AJ3">
            <v>389.2</v>
          </cell>
          <cell r="AK3">
            <v>719.7</v>
          </cell>
          <cell r="AL3">
            <v>324.8</v>
          </cell>
          <cell r="AM3">
            <v>171.7</v>
          </cell>
          <cell r="AN3">
            <v>499.4</v>
          </cell>
          <cell r="AO3">
            <v>513</v>
          </cell>
          <cell r="AP3">
            <v>381.2</v>
          </cell>
          <cell r="AQ3">
            <v>469.8</v>
          </cell>
          <cell r="AR3">
            <v>559.6</v>
          </cell>
          <cell r="AS3">
            <v>411.6</v>
          </cell>
          <cell r="AT3">
            <v>259.39999999999998</v>
          </cell>
        </row>
      </sheetData>
      <sheetData sheetId="5">
        <row r="3">
          <cell r="B3">
            <v>401.24999999999994</v>
          </cell>
          <cell r="C3">
            <v>765.35</v>
          </cell>
          <cell r="D3">
            <v>329.05000000000007</v>
          </cell>
          <cell r="E3">
            <v>990.30000000000007</v>
          </cell>
          <cell r="F3">
            <v>1727.3999999999999</v>
          </cell>
          <cell r="G3">
            <v>3932.7</v>
          </cell>
          <cell r="H3">
            <v>1728.3</v>
          </cell>
          <cell r="I3">
            <v>2154.4</v>
          </cell>
          <cell r="J3">
            <v>1097.3000000000002</v>
          </cell>
          <cell r="K3">
            <v>2079.7999999999997</v>
          </cell>
          <cell r="L3">
            <v>1739.3</v>
          </cell>
          <cell r="M3">
            <v>3953.7</v>
          </cell>
          <cell r="N3">
            <v>2132.1</v>
          </cell>
          <cell r="O3">
            <v>490.20000000000005</v>
          </cell>
          <cell r="P3">
            <v>1332.8999999999999</v>
          </cell>
          <cell r="Q3">
            <v>807.7</v>
          </cell>
          <cell r="R3">
            <v>951.5</v>
          </cell>
          <cell r="S3">
            <v>1062.7</v>
          </cell>
          <cell r="T3">
            <v>942.80000000000007</v>
          </cell>
          <cell r="U3">
            <v>3649</v>
          </cell>
          <cell r="V3">
            <v>881.80000000000007</v>
          </cell>
          <cell r="W3">
            <v>2391</v>
          </cell>
          <cell r="X3">
            <v>1048.2</v>
          </cell>
          <cell r="Y3">
            <v>2337.4</v>
          </cell>
          <cell r="Z3">
            <v>1579.5</v>
          </cell>
          <cell r="AA3">
            <v>1815.1000000000001</v>
          </cell>
          <cell r="AB3">
            <v>1926.3</v>
          </cell>
          <cell r="AC3">
            <v>2204</v>
          </cell>
          <cell r="AD3">
            <v>2411.1000000000004</v>
          </cell>
          <cell r="AE3">
            <v>2138.2999999999997</v>
          </cell>
          <cell r="AF3">
            <v>3914.1</v>
          </cell>
          <cell r="AG3">
            <v>1400.8</v>
          </cell>
          <cell r="AH3">
            <v>1904.6</v>
          </cell>
          <cell r="AI3">
            <v>2356.6999999999998</v>
          </cell>
          <cell r="AJ3">
            <v>1976.4</v>
          </cell>
          <cell r="AK3">
            <v>1788.8</v>
          </cell>
          <cell r="AL3">
            <v>1881</v>
          </cell>
          <cell r="AM3">
            <v>1900.5</v>
          </cell>
          <cell r="AN3">
            <v>1666.1</v>
          </cell>
          <cell r="AO3">
            <v>2448.7000000000003</v>
          </cell>
          <cell r="AP3">
            <v>4084.5</v>
          </cell>
          <cell r="AQ3">
            <v>2772.4</v>
          </cell>
          <cell r="AR3">
            <v>2068</v>
          </cell>
          <cell r="AS3">
            <v>1638.1</v>
          </cell>
          <cell r="AT3">
            <v>2138.7000000000003</v>
          </cell>
        </row>
      </sheetData>
      <sheetData sheetId="6">
        <row r="3">
          <cell r="B3">
            <v>5.0250000000000004</v>
          </cell>
          <cell r="C3">
            <v>5.0510000000000002</v>
          </cell>
          <cell r="D3">
            <v>5.0975000000000001</v>
          </cell>
          <cell r="E3">
            <v>5.5039999999999996</v>
          </cell>
          <cell r="F3">
            <v>4.1349999999999998</v>
          </cell>
          <cell r="G3">
            <v>5.0999999999999996</v>
          </cell>
          <cell r="H3">
            <v>5.4260000000000002</v>
          </cell>
          <cell r="I3">
            <v>5.298</v>
          </cell>
          <cell r="J3">
            <v>4.976</v>
          </cell>
          <cell r="K3">
            <v>5.3730000000000002</v>
          </cell>
          <cell r="L3">
            <v>5.3609999999999998</v>
          </cell>
          <cell r="M3">
            <v>6.1520000000000001</v>
          </cell>
          <cell r="N3">
            <v>4.9820000000000002</v>
          </cell>
          <cell r="O3">
            <v>5.0389999999999997</v>
          </cell>
          <cell r="P3">
            <v>5.266</v>
          </cell>
          <cell r="Q3">
            <v>4.7549999999999999</v>
          </cell>
          <cell r="R3">
            <v>4.8529999999999998</v>
          </cell>
          <cell r="S3">
            <v>5.4589999999999996</v>
          </cell>
          <cell r="T3">
            <v>4.8499999999999996</v>
          </cell>
          <cell r="U3">
            <v>5.3559999999999999</v>
          </cell>
          <cell r="V3">
            <v>5.3120000000000003</v>
          </cell>
          <cell r="W3">
            <v>5.8479999999999999</v>
          </cell>
          <cell r="X3">
            <v>4.5970000000000004</v>
          </cell>
          <cell r="Y3">
            <v>4.9690000000000003</v>
          </cell>
          <cell r="Z3">
            <v>5.2539999999999996</v>
          </cell>
          <cell r="AA3">
            <v>5.4779999999999998</v>
          </cell>
          <cell r="AB3">
            <v>5.1020000000000003</v>
          </cell>
          <cell r="AC3">
            <v>4.8650000000000002</v>
          </cell>
          <cell r="AD3">
            <v>6.4039999999999999</v>
          </cell>
          <cell r="AE3">
            <v>5.1719999999999997</v>
          </cell>
          <cell r="AF3">
            <v>5.798</v>
          </cell>
          <cell r="AG3">
            <v>5.0999999999999996</v>
          </cell>
          <cell r="AH3">
            <v>5.6040000000000001</v>
          </cell>
          <cell r="AI3">
            <v>5.8630000000000004</v>
          </cell>
          <cell r="AJ3">
            <v>5.2960000000000003</v>
          </cell>
          <cell r="AK3">
            <v>6.093</v>
          </cell>
          <cell r="AL3">
            <v>5.3689999999999998</v>
          </cell>
          <cell r="AM3">
            <v>4.6879999999999997</v>
          </cell>
          <cell r="AN3">
            <v>5.665</v>
          </cell>
          <cell r="AO3">
            <v>5.4089999999999998</v>
          </cell>
          <cell r="AP3">
            <v>5.4909999999999997</v>
          </cell>
          <cell r="AQ3">
            <v>5.6970000000000001</v>
          </cell>
          <cell r="AR3">
            <v>5.6950000000000003</v>
          </cell>
          <cell r="AS3">
            <v>5.6520000000000001</v>
          </cell>
          <cell r="AT3">
            <v>5.117</v>
          </cell>
        </row>
      </sheetData>
      <sheetData sheetId="7"/>
      <sheetData sheetId="8"/>
      <sheetData sheetId="9">
        <row r="3">
          <cell r="B3">
            <v>82.3</v>
          </cell>
          <cell r="C3">
            <v>76.099999999999994</v>
          </cell>
          <cell r="D3">
            <v>106.8</v>
          </cell>
          <cell r="E3">
            <v>153.9</v>
          </cell>
          <cell r="F3">
            <v>32.200000000000003</v>
          </cell>
          <cell r="G3">
            <v>167.8</v>
          </cell>
          <cell r="H3">
            <v>61</v>
          </cell>
          <cell r="I3">
            <v>29.3</v>
          </cell>
          <cell r="J3">
            <v>50.3</v>
          </cell>
          <cell r="K3">
            <v>69.3</v>
          </cell>
          <cell r="L3">
            <v>78.099999999999994</v>
          </cell>
          <cell r="M3">
            <v>59.4</v>
          </cell>
          <cell r="N3">
            <v>81</v>
          </cell>
          <cell r="O3">
            <v>52.7</v>
          </cell>
          <cell r="P3">
            <v>52.7</v>
          </cell>
          <cell r="Q3">
            <v>43</v>
          </cell>
          <cell r="R3">
            <v>20.6</v>
          </cell>
          <cell r="S3">
            <v>23.5</v>
          </cell>
          <cell r="T3">
            <v>35.9</v>
          </cell>
          <cell r="U3">
            <v>36</v>
          </cell>
          <cell r="V3">
            <v>78.5</v>
          </cell>
          <cell r="W3">
            <v>56.8</v>
          </cell>
          <cell r="X3">
            <v>128.9</v>
          </cell>
          <cell r="Y3">
            <v>36.200000000000003</v>
          </cell>
          <cell r="Z3">
            <v>30.9</v>
          </cell>
          <cell r="AA3">
            <v>34.799999999999997</v>
          </cell>
          <cell r="AB3">
            <v>26.3</v>
          </cell>
          <cell r="AC3">
            <v>38.9</v>
          </cell>
          <cell r="AD3">
            <v>41.5</v>
          </cell>
          <cell r="AE3">
            <v>46</v>
          </cell>
          <cell r="AF3">
            <v>46.9</v>
          </cell>
          <cell r="AG3">
            <v>44.3</v>
          </cell>
          <cell r="AH3">
            <v>20.8</v>
          </cell>
          <cell r="AI3">
            <v>39.1</v>
          </cell>
          <cell r="AJ3">
            <v>64.3</v>
          </cell>
          <cell r="AK3">
            <v>204.1</v>
          </cell>
          <cell r="AL3">
            <v>55.5</v>
          </cell>
          <cell r="AM3">
            <v>32.5</v>
          </cell>
          <cell r="AN3">
            <v>70</v>
          </cell>
          <cell r="AO3">
            <v>46</v>
          </cell>
          <cell r="AP3">
            <v>34.6</v>
          </cell>
          <cell r="AQ3">
            <v>66.3</v>
          </cell>
          <cell r="AR3">
            <v>39</v>
          </cell>
          <cell r="AS3">
            <v>104.2</v>
          </cell>
          <cell r="AT3">
            <v>63.2</v>
          </cell>
        </row>
      </sheetData>
      <sheetData sheetId="10"/>
      <sheetData sheetId="11">
        <row r="3">
          <cell r="B3">
            <v>6.7835000000000001</v>
          </cell>
          <cell r="C3">
            <v>8.6434999999999995</v>
          </cell>
          <cell r="D3">
            <v>12.6325</v>
          </cell>
          <cell r="E3">
            <v>9.6959999999999997</v>
          </cell>
          <cell r="F3">
            <v>10.856000000000002</v>
          </cell>
          <cell r="G3">
            <v>10.4215</v>
          </cell>
          <cell r="H3">
            <v>17.267499999999998</v>
          </cell>
          <cell r="I3">
            <v>25.892499999999998</v>
          </cell>
          <cell r="J3">
            <v>8.3979999999999997</v>
          </cell>
          <cell r="K3">
            <v>13.629000000000001</v>
          </cell>
          <cell r="L3">
            <v>13.0525</v>
          </cell>
          <cell r="M3">
            <v>12.6035</v>
          </cell>
          <cell r="N3">
            <v>23.234999999999999</v>
          </cell>
          <cell r="O3">
            <v>8.339500000000001</v>
          </cell>
          <cell r="P3">
            <v>10.282</v>
          </cell>
          <cell r="Q3">
            <v>7.548</v>
          </cell>
          <cell r="R3">
            <v>7.7580000000000009</v>
          </cell>
          <cell r="S3">
            <v>20.179000000000002</v>
          </cell>
          <cell r="T3">
            <v>8.51</v>
          </cell>
          <cell r="U3">
            <v>8.0175000000000001</v>
          </cell>
          <cell r="V3">
            <v>5.1754999999999995</v>
          </cell>
          <cell r="W3">
            <v>13.4025</v>
          </cell>
          <cell r="X3">
            <v>8.6880000000000006</v>
          </cell>
          <cell r="Y3">
            <v>9.68</v>
          </cell>
          <cell r="Z3">
            <v>13.090499999999999</v>
          </cell>
          <cell r="AA3">
            <v>19.772500000000001</v>
          </cell>
          <cell r="AB3">
            <v>9.2370000000000001</v>
          </cell>
          <cell r="AC3">
            <v>11.297499999999999</v>
          </cell>
          <cell r="AD3">
            <v>14.762499999999999</v>
          </cell>
          <cell r="AE3">
            <v>15.257</v>
          </cell>
          <cell r="AF3">
            <v>17.843499999999999</v>
          </cell>
          <cell r="AG3">
            <v>10.216000000000001</v>
          </cell>
          <cell r="AH3">
            <v>17.465499999999999</v>
          </cell>
          <cell r="AI3">
            <v>13.385999999999999</v>
          </cell>
          <cell r="AJ3">
            <v>8.8659999999999997</v>
          </cell>
          <cell r="AK3">
            <v>20.111000000000001</v>
          </cell>
          <cell r="AL3">
            <v>7.9964999999999993</v>
          </cell>
          <cell r="AM3">
            <v>12.083500000000001</v>
          </cell>
          <cell r="AN3">
            <v>14.282499999999999</v>
          </cell>
          <cell r="AO3">
            <v>10.619</v>
          </cell>
          <cell r="AP3">
            <v>13.5745</v>
          </cell>
          <cell r="AQ3">
            <v>15.769500000000001</v>
          </cell>
          <cell r="AR3">
            <v>16.440999999999999</v>
          </cell>
          <cell r="AS3">
            <v>12.0875</v>
          </cell>
          <cell r="AT3">
            <v>14.140499999999999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5">
          <cell r="B5">
            <v>4.5063964708496593</v>
          </cell>
          <cell r="C5">
            <v>5.4459536719793906</v>
          </cell>
          <cell r="D5">
            <v>6.2290913521526692</v>
          </cell>
          <cell r="E5">
            <v>3.9429750070550211</v>
          </cell>
          <cell r="F5">
            <v>16.447249947212111</v>
          </cell>
          <cell r="G5">
            <v>3.9102222742884405</v>
          </cell>
          <cell r="H5">
            <v>10.806078208402106</v>
          </cell>
          <cell r="I5">
            <v>13.823788083950173</v>
          </cell>
          <cell r="J5">
            <v>2.2781548079505725</v>
          </cell>
          <cell r="K5">
            <v>5.2646002860640904</v>
          </cell>
          <cell r="L5">
            <v>5.6408962598611891</v>
          </cell>
          <cell r="M5">
            <v>4.9394964680335489</v>
          </cell>
          <cell r="N5">
            <v>7.6211072007958025</v>
          </cell>
          <cell r="O5">
            <v>7.561408490311063</v>
          </cell>
          <cell r="P5">
            <v>1.8988804401714372</v>
          </cell>
          <cell r="Q5">
            <v>3.8629911534939811</v>
          </cell>
          <cell r="R5">
            <v>6.4705945653106127</v>
          </cell>
          <cell r="S5">
            <v>24.460940734606055</v>
          </cell>
          <cell r="T5">
            <v>13.564733560280606</v>
          </cell>
          <cell r="U5">
            <v>15.51181939937895</v>
          </cell>
          <cell r="V5">
            <v>3.0114456535073444</v>
          </cell>
          <cell r="W5">
            <v>11.229721680287232</v>
          </cell>
          <cell r="X5">
            <v>5.1042978855916044</v>
          </cell>
          <cell r="Y5">
            <v>10.624493449667041</v>
          </cell>
          <cell r="Z5">
            <v>29.431633750926345</v>
          </cell>
          <cell r="AA5">
            <v>3.8404232782665657</v>
          </cell>
          <cell r="AB5">
            <v>10.048563820347105</v>
          </cell>
          <cell r="AC5">
            <v>5.8665133351554672</v>
          </cell>
          <cell r="AD5">
            <v>13.851241712056389</v>
          </cell>
          <cell r="AE5">
            <v>12.784634185371713</v>
          </cell>
          <cell r="AF5">
            <v>10.653186464508865</v>
          </cell>
          <cell r="AG5">
            <v>11.574391529586288</v>
          </cell>
          <cell r="AH5">
            <v>18.691324817188438</v>
          </cell>
          <cell r="AI5">
            <v>5.6913027958844946</v>
          </cell>
          <cell r="AJ5">
            <v>6.6305614763792668</v>
          </cell>
          <cell r="AK5">
            <v>8.3091128816447632</v>
          </cell>
          <cell r="AL5">
            <v>8.8789607287229337</v>
          </cell>
          <cell r="AM5">
            <v>5.5825567288415385</v>
          </cell>
          <cell r="AN5">
            <v>7.988338328367969</v>
          </cell>
          <cell r="AO5">
            <v>5.1193307099529992</v>
          </cell>
          <cell r="AP5">
            <v>19.245080469266266</v>
          </cell>
          <cell r="AQ5">
            <v>34.296880411390909</v>
          </cell>
          <cell r="AR5">
            <v>7.535185568459994</v>
          </cell>
          <cell r="AS5">
            <v>5.7307271711598871</v>
          </cell>
          <cell r="AT5">
            <v>11.938570347184735</v>
          </cell>
        </row>
        <row r="56">
          <cell r="AK56">
            <v>37.135487736884272</v>
          </cell>
          <cell r="AL56">
            <v>33.421303462632835</v>
          </cell>
          <cell r="AM56">
            <v>23.805861878688237</v>
          </cell>
          <cell r="AN56">
            <v>41.709612108507606</v>
          </cell>
          <cell r="AO56">
            <v>30.098922776657034</v>
          </cell>
          <cell r="AP56">
            <v>75.377175496344307</v>
          </cell>
          <cell r="AQ56">
            <v>203.24158981343135</v>
          </cell>
          <cell r="AR56">
            <v>31.129932442858465</v>
          </cell>
          <cell r="AS56">
            <v>22.255794336620468</v>
          </cell>
          <cell r="AT56">
            <v>59.346684565316458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H3">
            <v>3.7549999999999999</v>
          </cell>
          <cell r="L3">
            <v>1.4249999999999998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2 Background"/>
      <sheetName val="Template"/>
      <sheetName val="LH1"/>
      <sheetName val="KP2"/>
      <sheetName val="LS3"/>
      <sheetName val="MW4"/>
      <sheetName val="RS5"/>
      <sheetName val="ML6"/>
      <sheetName val="NT7"/>
      <sheetName val="DA8"/>
      <sheetName val="AB9"/>
      <sheetName val="PT10"/>
      <sheetName val="RF11"/>
      <sheetName val="DD12"/>
      <sheetName val="LJ13"/>
      <sheetName val="MR14"/>
      <sheetName val="MJ15"/>
      <sheetName val="MS16"/>
      <sheetName val="WE17"/>
      <sheetName val="NC18"/>
      <sheetName val="RA19"/>
      <sheetName val="CS20"/>
      <sheetName val="PW21"/>
      <sheetName val="GJ23"/>
      <sheetName val="TA24"/>
      <sheetName val="Collated DNL data"/>
      <sheetName val="Collated DNL_161 data"/>
    </sheetNames>
    <sheetDataSet>
      <sheetData sheetId="0"/>
      <sheetData sheetId="1"/>
      <sheetData sheetId="2">
        <row r="3">
          <cell r="B3">
            <v>3.5473636372196238E-3</v>
          </cell>
        </row>
      </sheetData>
      <sheetData sheetId="3">
        <row r="3">
          <cell r="B3">
            <v>3.7909455610147845E-3</v>
          </cell>
        </row>
      </sheetData>
      <sheetData sheetId="4">
        <row r="3">
          <cell r="B3">
            <v>3.8576577249906513E-3</v>
          </cell>
        </row>
      </sheetData>
      <sheetData sheetId="5">
        <row r="3">
          <cell r="B3">
            <v>3.1925766448501198E-3</v>
          </cell>
        </row>
      </sheetData>
      <sheetData sheetId="6">
        <row r="3">
          <cell r="B3">
            <v>2.9766437924845183E-3</v>
          </cell>
        </row>
      </sheetData>
      <sheetData sheetId="7">
        <row r="3">
          <cell r="B3">
            <v>3.4605689735661528E-3</v>
          </cell>
        </row>
      </sheetData>
      <sheetData sheetId="8">
        <row r="3">
          <cell r="B3">
            <v>3.9641362346790054E-3</v>
          </cell>
        </row>
      </sheetData>
      <sheetData sheetId="9">
        <row r="3">
          <cell r="B3">
            <v>3.5731095020398295E-3</v>
          </cell>
        </row>
      </sheetData>
      <sheetData sheetId="10">
        <row r="3">
          <cell r="B3">
            <v>3.1987231274064232E-3</v>
          </cell>
        </row>
      </sheetData>
      <sheetData sheetId="11">
        <row r="3">
          <cell r="B3">
            <v>3.4976697148440443E-3</v>
          </cell>
        </row>
      </sheetData>
      <sheetData sheetId="12">
        <row r="3">
          <cell r="B3">
            <v>2.9335604276105112E-3</v>
          </cell>
        </row>
      </sheetData>
      <sheetData sheetId="13">
        <row r="3">
          <cell r="B3">
            <v>3.4728975507916982E-3</v>
          </cell>
        </row>
      </sheetData>
      <sheetData sheetId="14">
        <row r="3">
          <cell r="B3">
            <v>4.4730059723960235E-3</v>
          </cell>
        </row>
      </sheetData>
      <sheetData sheetId="15">
        <row r="3">
          <cell r="B3">
            <v>3.6510770372452264E-3</v>
          </cell>
        </row>
      </sheetData>
      <sheetData sheetId="16">
        <row r="3">
          <cell r="B3">
            <v>3.3365763146757316E-3</v>
          </cell>
        </row>
      </sheetData>
      <sheetData sheetId="17">
        <row r="3">
          <cell r="B3">
            <v>2.8542974440535305E-3</v>
          </cell>
        </row>
      </sheetData>
      <sheetData sheetId="18">
        <row r="3">
          <cell r="B3">
            <v>4.0870958072882577E-3</v>
          </cell>
        </row>
      </sheetData>
      <sheetData sheetId="19">
        <row r="3">
          <cell r="B3">
            <v>3.5015461486800044E-3</v>
          </cell>
        </row>
      </sheetData>
      <sheetData sheetId="20">
        <row r="3">
          <cell r="B3">
            <v>3.5719926620945107E-3</v>
          </cell>
        </row>
      </sheetData>
      <sheetData sheetId="21">
        <row r="3">
          <cell r="B3">
            <v>3.0347358969704617E-3</v>
          </cell>
        </row>
      </sheetData>
      <sheetData sheetId="22">
        <row r="3">
          <cell r="B3">
            <v>3.1911728267612688E-3</v>
          </cell>
        </row>
      </sheetData>
      <sheetData sheetId="23">
        <row r="3">
          <cell r="B3">
            <v>3.3822381724105807E-3</v>
          </cell>
        </row>
      </sheetData>
      <sheetData sheetId="24">
        <row r="3">
          <cell r="B3">
            <v>4.1042070851027594E-3</v>
          </cell>
        </row>
      </sheetData>
      <sheetData sheetId="25"/>
      <sheetData sheetId="2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PLES"/>
      <sheetName val="Reruns"/>
      <sheetName val="Backgrounds"/>
      <sheetName val="STANDARDS"/>
    </sheetNames>
    <sheetDataSet>
      <sheetData sheetId="0" refreshError="1">
        <row r="3">
          <cell r="L3">
            <v>21.867846637950304</v>
          </cell>
        </row>
        <row r="4">
          <cell r="L4">
            <v>60.503513405998447</v>
          </cell>
        </row>
        <row r="5">
          <cell r="L5">
            <v>27.400279508188973</v>
          </cell>
        </row>
        <row r="6">
          <cell r="L6">
            <v>45.096384416273651</v>
          </cell>
        </row>
        <row r="7">
          <cell r="L7">
            <v>50.969100088514196</v>
          </cell>
        </row>
        <row r="8">
          <cell r="L8">
            <v>34.231632719000451</v>
          </cell>
        </row>
        <row r="9">
          <cell r="L9">
            <v>16.7425721248065</v>
          </cell>
        </row>
        <row r="10">
          <cell r="L10">
            <v>20.205244855939437</v>
          </cell>
        </row>
        <row r="11">
          <cell r="L11">
            <v>9.9173476520120936</v>
          </cell>
        </row>
        <row r="12">
          <cell r="L12">
            <v>39.520173004241485</v>
          </cell>
        </row>
        <row r="13">
          <cell r="L13">
            <v>33.536539689585531</v>
          </cell>
        </row>
        <row r="14">
          <cell r="L14">
            <v>20.499287081508957</v>
          </cell>
        </row>
        <row r="15">
          <cell r="L15">
            <v>48.06904347492133</v>
          </cell>
        </row>
        <row r="16">
          <cell r="L16">
            <v>62.097269863075574</v>
          </cell>
        </row>
        <row r="17">
          <cell r="L17">
            <v>33.971234064737253</v>
          </cell>
        </row>
        <row r="18">
          <cell r="L18">
            <v>25.945808385439438</v>
          </cell>
        </row>
        <row r="19">
          <cell r="L19">
            <v>49.61186457566393</v>
          </cell>
        </row>
        <row r="20">
          <cell r="L20">
            <v>66.125111122083808</v>
          </cell>
        </row>
        <row r="21">
          <cell r="L21">
            <v>20.787096350522916</v>
          </cell>
        </row>
        <row r="22">
          <cell r="L22">
            <v>34.269657711868597</v>
          </cell>
        </row>
        <row r="23">
          <cell r="L23">
            <v>31.018093873300582</v>
          </cell>
        </row>
        <row r="24">
          <cell r="L24">
            <v>11.486768072295387</v>
          </cell>
        </row>
        <row r="25">
          <cell r="L25">
            <v>22.313585695633837</v>
          </cell>
        </row>
        <row r="26">
          <cell r="L26">
            <v>9.3453372234787757</v>
          </cell>
        </row>
        <row r="27">
          <cell r="L27">
            <v>15.452422744157248</v>
          </cell>
        </row>
        <row r="28">
          <cell r="L28">
            <v>19.847583277295865</v>
          </cell>
        </row>
        <row r="29">
          <cell r="L29">
            <v>59.717984556117507</v>
          </cell>
        </row>
        <row r="30">
          <cell r="L30">
            <v>46.002866972534925</v>
          </cell>
        </row>
        <row r="31">
          <cell r="L31">
            <v>37.48508346708784</v>
          </cell>
        </row>
        <row r="32">
          <cell r="L32">
            <v>38.826755464470445</v>
          </cell>
        </row>
        <row r="33">
          <cell r="L33">
            <v>51.586455054375627</v>
          </cell>
        </row>
        <row r="34">
          <cell r="L34">
            <v>30.313087475784648</v>
          </cell>
        </row>
        <row r="35">
          <cell r="L35">
            <v>27.650864034437824</v>
          </cell>
        </row>
        <row r="36">
          <cell r="L36">
            <v>23.069957058018666</v>
          </cell>
        </row>
        <row r="37">
          <cell r="L37">
            <v>29.950862917735467</v>
          </cell>
        </row>
        <row r="38">
          <cell r="L38">
            <v>33.748037937492029</v>
          </cell>
        </row>
        <row r="39">
          <cell r="L39">
            <v>22.143936430773085</v>
          </cell>
        </row>
        <row r="40">
          <cell r="L40">
            <v>5.1547763079577109</v>
          </cell>
        </row>
        <row r="41">
          <cell r="L41">
            <v>13.745488070476716</v>
          </cell>
        </row>
        <row r="42">
          <cell r="L42">
            <v>27.341035206591147</v>
          </cell>
        </row>
        <row r="43">
          <cell r="L43">
            <v>25.462464244794482</v>
          </cell>
        </row>
        <row r="44">
          <cell r="L44">
            <v>13.927896702918819</v>
          </cell>
        </row>
        <row r="45">
          <cell r="L45">
            <v>50.762733581584683</v>
          </cell>
        </row>
        <row r="46">
          <cell r="L46">
            <v>27.059676430844554</v>
          </cell>
        </row>
        <row r="47">
          <cell r="L47">
            <v>24.736674126970019</v>
          </cell>
        </row>
        <row r="48">
          <cell r="L48">
            <v>44.754291431720873</v>
          </cell>
        </row>
        <row r="49">
          <cell r="L49">
            <v>20.339859861222127</v>
          </cell>
        </row>
        <row r="50">
          <cell r="L50">
            <v>37.967195062669582</v>
          </cell>
        </row>
        <row r="51">
          <cell r="L51">
            <v>48.20074451215681</v>
          </cell>
        </row>
        <row r="52">
          <cell r="L52">
            <v>26.510622534428052</v>
          </cell>
        </row>
        <row r="53">
          <cell r="L53">
            <v>27.126365299929482</v>
          </cell>
        </row>
        <row r="54">
          <cell r="L54">
            <v>41.685434922937709</v>
          </cell>
        </row>
        <row r="55">
          <cell r="L55">
            <v>42.05978602036339</v>
          </cell>
        </row>
        <row r="56">
          <cell r="L56">
            <v>52.364683755724705</v>
          </cell>
        </row>
        <row r="57">
          <cell r="L57">
            <v>32.584316984851249</v>
          </cell>
        </row>
        <row r="58">
          <cell r="L58">
            <v>58.40136500883132</v>
          </cell>
        </row>
        <row r="59">
          <cell r="L59">
            <v>42.810769593382567</v>
          </cell>
        </row>
        <row r="60">
          <cell r="L60">
            <v>33.338144132366821</v>
          </cell>
        </row>
        <row r="61">
          <cell r="L61">
            <v>65.148735337781744</v>
          </cell>
        </row>
        <row r="62">
          <cell r="L62">
            <v>38.000237093694018</v>
          </cell>
        </row>
        <row r="63">
          <cell r="L63">
            <v>75.74001494755997</v>
          </cell>
        </row>
        <row r="64">
          <cell r="L64">
            <v>68.518289185393272</v>
          </cell>
        </row>
        <row r="65">
          <cell r="L65">
            <v>11.966451886422485</v>
          </cell>
        </row>
        <row r="66">
          <cell r="L66">
            <v>18.92882408492201</v>
          </cell>
        </row>
        <row r="67">
          <cell r="L67">
            <v>12.160992436128595</v>
          </cell>
        </row>
        <row r="68">
          <cell r="L68">
            <v>24.216856965153553</v>
          </cell>
        </row>
        <row r="69">
          <cell r="L69">
            <v>27.39138832238794</v>
          </cell>
        </row>
        <row r="70">
          <cell r="L70">
            <v>27.984098532348213</v>
          </cell>
        </row>
        <row r="71">
          <cell r="L71">
            <v>13.534691800456248</v>
          </cell>
        </row>
        <row r="72">
          <cell r="L72">
            <v>19.217422184087638</v>
          </cell>
        </row>
        <row r="73">
          <cell r="L73">
            <v>39.680192189081623</v>
          </cell>
        </row>
        <row r="74">
          <cell r="L74">
            <v>33.458451621686692</v>
          </cell>
        </row>
        <row r="75">
          <cell r="L75">
            <v>43.836178163957435</v>
          </cell>
        </row>
        <row r="76">
          <cell r="L76">
            <v>32.432041610314002</v>
          </cell>
        </row>
        <row r="77">
          <cell r="L77">
            <v>21.967988113980073</v>
          </cell>
        </row>
        <row r="78">
          <cell r="L78">
            <v>25.606308828315001</v>
          </cell>
        </row>
        <row r="79">
          <cell r="L79">
            <v>20.812138232902424</v>
          </cell>
        </row>
        <row r="80">
          <cell r="L80">
            <v>30.440330838334482</v>
          </cell>
        </row>
        <row r="81">
          <cell r="L81">
            <v>26.944716715967353</v>
          </cell>
        </row>
        <row r="82">
          <cell r="L82">
            <v>15.505886101396364</v>
          </cell>
        </row>
        <row r="83">
          <cell r="L83">
            <v>21.038628746232828</v>
          </cell>
        </row>
        <row r="84">
          <cell r="L84">
            <v>28.40231017733959</v>
          </cell>
        </row>
        <row r="85">
          <cell r="L85">
            <v>24.218899714112677</v>
          </cell>
        </row>
        <row r="86">
          <cell r="L86">
            <v>23.440321279090277</v>
          </cell>
        </row>
        <row r="87">
          <cell r="L87">
            <v>25.932182542195743</v>
          </cell>
        </row>
        <row r="88">
          <cell r="L88">
            <v>24.485365749362551</v>
          </cell>
        </row>
        <row r="89">
          <cell r="L89">
            <v>25.157208438597156</v>
          </cell>
        </row>
        <row r="90">
          <cell r="L90">
            <v>19.950006915235068</v>
          </cell>
        </row>
        <row r="91">
          <cell r="L91">
            <v>32.183317781046782</v>
          </cell>
        </row>
        <row r="92">
          <cell r="L92">
            <v>29.118303620112258</v>
          </cell>
        </row>
        <row r="93">
          <cell r="L93">
            <v>19.584621087780832</v>
          </cell>
        </row>
        <row r="94">
          <cell r="L94">
            <v>27.183083736844573</v>
          </cell>
        </row>
        <row r="95">
          <cell r="L95">
            <v>36.520778827828202</v>
          </cell>
        </row>
        <row r="96">
          <cell r="L96">
            <v>20.422277337116533</v>
          </cell>
        </row>
        <row r="97">
          <cell r="L97">
            <v>15.231876070260814</v>
          </cell>
        </row>
        <row r="98">
          <cell r="L98">
            <v>42.765305950779137</v>
          </cell>
        </row>
        <row r="99">
          <cell r="L99">
            <v>19.896570716096569</v>
          </cell>
        </row>
        <row r="100">
          <cell r="L100">
            <v>36.850048307202407</v>
          </cell>
        </row>
        <row r="101">
          <cell r="L101">
            <v>13.729696346697537</v>
          </cell>
        </row>
        <row r="102">
          <cell r="L102">
            <v>23.044277600323564</v>
          </cell>
        </row>
        <row r="103">
          <cell r="L103">
            <v>17.691956315113192</v>
          </cell>
        </row>
        <row r="104">
          <cell r="L104">
            <v>27.947320387818447</v>
          </cell>
        </row>
        <row r="105">
          <cell r="L105">
            <v>18.232156528689224</v>
          </cell>
        </row>
        <row r="106">
          <cell r="L106">
            <v>28.527042801843994</v>
          </cell>
        </row>
        <row r="107">
          <cell r="L107">
            <v>25.543030106050189</v>
          </cell>
        </row>
        <row r="108">
          <cell r="L108">
            <v>18.29235587562453</v>
          </cell>
        </row>
        <row r="109">
          <cell r="L109">
            <v>13.063752224378716</v>
          </cell>
        </row>
        <row r="110">
          <cell r="L110">
            <v>23.427910260990448</v>
          </cell>
        </row>
        <row r="111">
          <cell r="L111">
            <v>18.119124660660272</v>
          </cell>
        </row>
        <row r="112">
          <cell r="L112">
            <v>27.618721471000505</v>
          </cell>
        </row>
        <row r="113">
          <cell r="L113">
            <v>22.112520376957562</v>
          </cell>
        </row>
        <row r="114">
          <cell r="L114">
            <v>13.156735399284189</v>
          </cell>
        </row>
        <row r="115">
          <cell r="L115">
            <v>9.9312198666720022</v>
          </cell>
        </row>
        <row r="116">
          <cell r="L116">
            <v>26.047019318455611</v>
          </cell>
        </row>
        <row r="117">
          <cell r="L117">
            <v>22.096778741320261</v>
          </cell>
        </row>
        <row r="118">
          <cell r="L118">
            <v>32.205762588276841</v>
          </cell>
        </row>
        <row r="119">
          <cell r="L119">
            <v>26.077636893130641</v>
          </cell>
        </row>
        <row r="120">
          <cell r="L120">
            <v>29.06265780313106</v>
          </cell>
        </row>
        <row r="121">
          <cell r="L121">
            <v>35.437698108410522</v>
          </cell>
        </row>
        <row r="122">
          <cell r="L122">
            <v>23.758868012873059</v>
          </cell>
        </row>
        <row r="123">
          <cell r="L123">
            <v>31.564431044212494</v>
          </cell>
        </row>
        <row r="124">
          <cell r="L124">
            <v>32.218441646856824</v>
          </cell>
        </row>
        <row r="125">
          <cell r="L125">
            <v>21.477653012421836</v>
          </cell>
        </row>
        <row r="126">
          <cell r="L126">
            <v>29.935354871070409</v>
          </cell>
        </row>
        <row r="127">
          <cell r="L127">
            <v>25.892951523919113</v>
          </cell>
        </row>
        <row r="128">
          <cell r="L128">
            <v>27.934284081983797</v>
          </cell>
        </row>
        <row r="129">
          <cell r="L129">
            <v>45.70171428688316</v>
          </cell>
        </row>
        <row r="130">
          <cell r="L130">
            <v>38.626569044700737</v>
          </cell>
        </row>
        <row r="131">
          <cell r="L131">
            <v>16.714927077494707</v>
          </cell>
        </row>
        <row r="132">
          <cell r="L132">
            <v>46.221187599452115</v>
          </cell>
        </row>
        <row r="133">
          <cell r="L133">
            <v>37.331653119280176</v>
          </cell>
        </row>
        <row r="134">
          <cell r="L134">
            <v>20.945898664007775</v>
          </cell>
        </row>
        <row r="135">
          <cell r="L135">
            <v>31.896797339417347</v>
          </cell>
        </row>
        <row r="136">
          <cell r="L136">
            <v>40.088278340402425</v>
          </cell>
        </row>
        <row r="137">
          <cell r="L137">
            <v>46.990335755845585</v>
          </cell>
        </row>
        <row r="138">
          <cell r="L138">
            <v>35.792663828664189</v>
          </cell>
        </row>
        <row r="139">
          <cell r="L139">
            <v>42.128389189114209</v>
          </cell>
        </row>
        <row r="140">
          <cell r="L140">
            <v>28.911203864225786</v>
          </cell>
        </row>
        <row r="141">
          <cell r="L141">
            <v>32.509878266296724</v>
          </cell>
        </row>
        <row r="142">
          <cell r="L142">
            <v>82.952475339100602</v>
          </cell>
        </row>
        <row r="143">
          <cell r="L143">
            <v>34.187578291370905</v>
          </cell>
        </row>
        <row r="144">
          <cell r="L144">
            <v>20.24976413059267</v>
          </cell>
        </row>
        <row r="145">
          <cell r="L145">
            <v>26.678638608087724</v>
          </cell>
        </row>
        <row r="147">
          <cell r="L147">
            <v>28.50227298687107</v>
          </cell>
        </row>
        <row r="149">
          <cell r="L149">
            <v>30.81701515280082</v>
          </cell>
        </row>
        <row r="150">
          <cell r="L150">
            <v>36.197557641726057</v>
          </cell>
        </row>
        <row r="151">
          <cell r="L151">
            <v>26.878103810454508</v>
          </cell>
        </row>
        <row r="152">
          <cell r="L152">
            <v>45.333481631365849</v>
          </cell>
        </row>
        <row r="153">
          <cell r="L153">
            <v>21.760920218443836</v>
          </cell>
        </row>
        <row r="154">
          <cell r="L154">
            <v>19.270223840475886</v>
          </cell>
        </row>
        <row r="155">
          <cell r="L155">
            <v>33.253834408927347</v>
          </cell>
        </row>
        <row r="156">
          <cell r="L156">
            <v>17.745680188455175</v>
          </cell>
        </row>
        <row r="157">
          <cell r="L157">
            <v>38.290511535539906</v>
          </cell>
        </row>
        <row r="158">
          <cell r="L158">
            <v>49.083056155175953</v>
          </cell>
        </row>
        <row r="159">
          <cell r="L159">
            <v>29.630553602106076</v>
          </cell>
        </row>
        <row r="160">
          <cell r="L160">
            <v>35.919803318302321</v>
          </cell>
        </row>
        <row r="161">
          <cell r="L161">
            <v>31.892251312519456</v>
          </cell>
        </row>
        <row r="162">
          <cell r="L162">
            <v>44.05480751254607</v>
          </cell>
        </row>
        <row r="163">
          <cell r="L163">
            <v>38.84942031725592</v>
          </cell>
        </row>
        <row r="164">
          <cell r="L164">
            <v>42.268335464711157</v>
          </cell>
        </row>
        <row r="165">
          <cell r="L165">
            <v>26.781032403832729</v>
          </cell>
        </row>
        <row r="166">
          <cell r="L166">
            <v>27.101801700900463</v>
          </cell>
        </row>
        <row r="167">
          <cell r="L167">
            <v>41.758048946792989</v>
          </cell>
        </row>
        <row r="168">
          <cell r="L168">
            <v>10.930152720975839</v>
          </cell>
        </row>
        <row r="169">
          <cell r="L169">
            <v>29.027374867948247</v>
          </cell>
        </row>
        <row r="170">
          <cell r="L170">
            <v>30.083570755873868</v>
          </cell>
        </row>
        <row r="171">
          <cell r="L171">
            <v>36.861948566093766</v>
          </cell>
        </row>
        <row r="172">
          <cell r="L172">
            <v>23.101111002962487</v>
          </cell>
        </row>
        <row r="173">
          <cell r="L173">
            <v>19.764717014830165</v>
          </cell>
        </row>
        <row r="174">
          <cell r="L174">
            <v>18.352016614072884</v>
          </cell>
        </row>
        <row r="175">
          <cell r="L175">
            <v>25.421238350426762</v>
          </cell>
        </row>
        <row r="176">
          <cell r="L176">
            <v>30.372525199466278</v>
          </cell>
        </row>
        <row r="187">
          <cell r="L187">
            <v>29.112466812544234</v>
          </cell>
        </row>
        <row r="188">
          <cell r="L188">
            <v>23.795564009124099</v>
          </cell>
        </row>
        <row r="189">
          <cell r="L189">
            <v>22.647435037354942</v>
          </cell>
        </row>
        <row r="190">
          <cell r="L190">
            <v>35.51695420095097</v>
          </cell>
        </row>
        <row r="191">
          <cell r="L191">
            <v>24.782888608208612</v>
          </cell>
        </row>
        <row r="192">
          <cell r="L192">
            <v>31.237413835772792</v>
          </cell>
        </row>
        <row r="193">
          <cell r="L193">
            <v>25.929037228973616</v>
          </cell>
        </row>
        <row r="194">
          <cell r="L194">
            <v>29.821796022571199</v>
          </cell>
        </row>
        <row r="195">
          <cell r="L195">
            <v>23.076667338539032</v>
          </cell>
        </row>
        <row r="196">
          <cell r="L196">
            <v>28.402271478557061</v>
          </cell>
        </row>
        <row r="197">
          <cell r="L197">
            <v>20.810478944074156</v>
          </cell>
        </row>
        <row r="198">
          <cell r="L198">
            <v>26.026352756870995</v>
          </cell>
        </row>
        <row r="199">
          <cell r="L199">
            <v>27.322832693623329</v>
          </cell>
        </row>
        <row r="200">
          <cell r="L200">
            <v>34.483981786925398</v>
          </cell>
        </row>
        <row r="201">
          <cell r="L201">
            <v>25.230018513577413</v>
          </cell>
        </row>
        <row r="202">
          <cell r="L202">
            <v>24.713457119045458</v>
          </cell>
        </row>
        <row r="203">
          <cell r="L203">
            <v>15.211630511138255</v>
          </cell>
        </row>
        <row r="204">
          <cell r="L204">
            <v>21.825290896466036</v>
          </cell>
        </row>
        <row r="205">
          <cell r="L205">
            <v>14.578926059947294</v>
          </cell>
        </row>
        <row r="206">
          <cell r="L206">
            <v>23.028571851214753</v>
          </cell>
        </row>
        <row r="207">
          <cell r="L207">
            <v>18.085316268452157</v>
          </cell>
        </row>
        <row r="208">
          <cell r="L208">
            <v>32.583646858531083</v>
          </cell>
        </row>
        <row r="209">
          <cell r="L209">
            <v>25.179658281493499</v>
          </cell>
        </row>
        <row r="210">
          <cell r="L210">
            <v>33.273696214541019</v>
          </cell>
        </row>
        <row r="211">
          <cell r="L211">
            <v>11.066271533623913</v>
          </cell>
        </row>
        <row r="212">
          <cell r="L212">
            <v>28.47231614593111</v>
          </cell>
        </row>
        <row r="213">
          <cell r="L213">
            <v>30.559298323277932</v>
          </cell>
        </row>
        <row r="214">
          <cell r="L214">
            <v>14.121463743751816</v>
          </cell>
        </row>
        <row r="215">
          <cell r="L215">
            <v>27.81419311193924</v>
          </cell>
        </row>
        <row r="216">
          <cell r="L216">
            <v>17.605710601332795</v>
          </cell>
        </row>
        <row r="217">
          <cell r="L217">
            <v>20.928371359511125</v>
          </cell>
        </row>
        <row r="218">
          <cell r="L218">
            <v>22.214098379672869</v>
          </cell>
        </row>
        <row r="219">
          <cell r="L219">
            <v>37.02439825292975</v>
          </cell>
        </row>
        <row r="220">
          <cell r="L220">
            <v>36.70695227731801</v>
          </cell>
        </row>
        <row r="221">
          <cell r="L221">
            <v>41.16770139491107</v>
          </cell>
        </row>
        <row r="222">
          <cell r="L222">
            <v>48.194221288724151</v>
          </cell>
        </row>
        <row r="223">
          <cell r="L223">
            <v>20.232268972960942</v>
          </cell>
        </row>
        <row r="224">
          <cell r="L224">
            <v>13.908288329793134</v>
          </cell>
        </row>
        <row r="225">
          <cell r="L225">
            <v>30.900074852703955</v>
          </cell>
        </row>
        <row r="226">
          <cell r="L226">
            <v>17.635351490006613</v>
          </cell>
        </row>
        <row r="227">
          <cell r="L227">
            <v>23.129628606630103</v>
          </cell>
        </row>
        <row r="228">
          <cell r="L228">
            <v>8.9482057554008527</v>
          </cell>
        </row>
        <row r="229">
          <cell r="L229">
            <v>27.681685673671097</v>
          </cell>
        </row>
        <row r="230">
          <cell r="L230">
            <v>25.713592044153412</v>
          </cell>
        </row>
        <row r="231">
          <cell r="L231">
            <v>30.274599702199751</v>
          </cell>
        </row>
        <row r="232">
          <cell r="L232">
            <v>24.915666441315267</v>
          </cell>
        </row>
        <row r="233">
          <cell r="L233">
            <v>18.061697524720447</v>
          </cell>
        </row>
        <row r="234">
          <cell r="L234">
            <v>24.552553840431351</v>
          </cell>
        </row>
        <row r="235">
          <cell r="L235">
            <v>28.591858761792992</v>
          </cell>
        </row>
        <row r="236">
          <cell r="L236">
            <v>23.029154535227185</v>
          </cell>
        </row>
        <row r="237">
          <cell r="L237">
            <v>29.461788621306805</v>
          </cell>
        </row>
        <row r="238">
          <cell r="L238">
            <v>29.533094124647423</v>
          </cell>
        </row>
        <row r="239">
          <cell r="L239">
            <v>23.487683473091366</v>
          </cell>
        </row>
        <row r="240">
          <cell r="L240">
            <v>24.717424485795167</v>
          </cell>
        </row>
        <row r="241">
          <cell r="L241">
            <v>16.086414074136709</v>
          </cell>
        </row>
        <row r="242">
          <cell r="L242">
            <v>17.164176777349216</v>
          </cell>
        </row>
        <row r="243">
          <cell r="L243">
            <v>36.859689901046202</v>
          </cell>
        </row>
        <row r="244">
          <cell r="L244">
            <v>25.654003967705062</v>
          </cell>
        </row>
        <row r="245">
          <cell r="L245">
            <v>16.54043276443204</v>
          </cell>
        </row>
        <row r="246">
          <cell r="L246">
            <v>32.488771999192686</v>
          </cell>
        </row>
        <row r="247">
          <cell r="L247">
            <v>34.464231805192455</v>
          </cell>
        </row>
        <row r="248">
          <cell r="L248">
            <v>33.532529640957691</v>
          </cell>
        </row>
        <row r="249">
          <cell r="L249">
            <v>26.237536712150959</v>
          </cell>
        </row>
        <row r="250">
          <cell r="L250">
            <v>18.238708517028204</v>
          </cell>
        </row>
        <row r="251">
          <cell r="L251">
            <v>39.40980605079659</v>
          </cell>
        </row>
        <row r="252">
          <cell r="L252">
            <v>38.841542295060158</v>
          </cell>
        </row>
        <row r="253">
          <cell r="L253">
            <v>29.461486048467812</v>
          </cell>
        </row>
        <row r="254">
          <cell r="L254">
            <v>22.888621551444331</v>
          </cell>
        </row>
        <row r="255">
          <cell r="L255">
            <v>22.445805973665454</v>
          </cell>
        </row>
        <row r="256">
          <cell r="L256">
            <v>25.131105337022465</v>
          </cell>
        </row>
        <row r="257">
          <cell r="L257">
            <v>29.572001908902291</v>
          </cell>
        </row>
        <row r="258">
          <cell r="L258">
            <v>15.408334732480199</v>
          </cell>
        </row>
        <row r="259">
          <cell r="L259">
            <v>26.548360750548632</v>
          </cell>
        </row>
        <row r="260">
          <cell r="L260">
            <v>24.985600512308487</v>
          </cell>
        </row>
        <row r="261">
          <cell r="L261">
            <v>21.674945483699886</v>
          </cell>
        </row>
        <row r="262">
          <cell r="L262">
            <v>28.815633440821859</v>
          </cell>
        </row>
        <row r="263">
          <cell r="L263">
            <v>14.504820670826982</v>
          </cell>
        </row>
        <row r="264">
          <cell r="L264">
            <v>38.703037900249235</v>
          </cell>
        </row>
        <row r="265">
          <cell r="L265">
            <v>24.190846533975698</v>
          </cell>
        </row>
        <row r="266">
          <cell r="L266">
            <v>27.494890881075801</v>
          </cell>
        </row>
        <row r="267">
          <cell r="L267">
            <v>11.337841484684898</v>
          </cell>
        </row>
        <row r="268">
          <cell r="L268">
            <v>19.502109837585849</v>
          </cell>
        </row>
        <row r="269">
          <cell r="L269">
            <v>14.538813113519891</v>
          </cell>
        </row>
        <row r="270">
          <cell r="L270">
            <v>20.25070731606122</v>
          </cell>
        </row>
        <row r="271">
          <cell r="L271">
            <v>45.720575388202725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H2">
            <v>4.5750000000000002</v>
          </cell>
          <cell r="L2">
            <v>1.2850000000000001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H2">
            <v>4.4000000000000004</v>
          </cell>
          <cell r="L2">
            <v>1.5550000000000002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5.63</v>
          </cell>
          <cell r="J2">
            <v>0.67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>
            <v>5.0199999999999996</v>
          </cell>
          <cell r="F2">
            <v>1.07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5.54</v>
          </cell>
          <cell r="J2">
            <v>1.08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5.51</v>
          </cell>
          <cell r="J2">
            <v>1.22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7.12</v>
          </cell>
          <cell r="J2">
            <v>1.08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6.04</v>
          </cell>
          <cell r="J2">
            <v>1.27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5.83</v>
          </cell>
          <cell r="J2">
            <v>0.9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 (2)"/>
      <sheetName val="Ranbut-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F2">
            <v>5.1100000000000003</v>
          </cell>
          <cell r="J2">
            <v>1.28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5.31</v>
          </cell>
          <cell r="J2">
            <v>1.1000000000000001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6.45</v>
          </cell>
          <cell r="J2">
            <v>1.28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5.84</v>
          </cell>
          <cell r="J2">
            <v>1.95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6.11</v>
          </cell>
          <cell r="J2">
            <v>1.04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4.91</v>
          </cell>
          <cell r="J2">
            <v>1.33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5.25</v>
          </cell>
          <cell r="J2">
            <v>1.62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4.41</v>
          </cell>
          <cell r="J2">
            <v>1.17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5.09</v>
          </cell>
          <cell r="J2">
            <v>1.21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5.58</v>
          </cell>
          <cell r="J2">
            <v>0.91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5.4</v>
          </cell>
          <cell r="J2">
            <v>1.55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4.55</v>
          </cell>
          <cell r="J2">
            <v>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5.46</v>
          </cell>
          <cell r="J2">
            <v>1.57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F4">
            <v>5.2</v>
          </cell>
          <cell r="M4">
            <v>0.87</v>
          </cell>
        </row>
      </sheetData>
      <sheetData sheetId="1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sma H2O"/>
      <sheetName val="bound ttr 16"/>
      <sheetName val="bound ttr 16 minus background"/>
      <sheetName val="16 DNL"/>
      <sheetName val="bound ttr 161 minus background"/>
      <sheetName val="161 DNL"/>
    </sheetNames>
    <sheetDataSet>
      <sheetData sheetId="0">
        <row r="4">
          <cell r="B4">
            <v>3.1375758138001883E-3</v>
          </cell>
          <cell r="D4">
            <v>2.9475372060982158E-3</v>
          </cell>
          <cell r="E4">
            <v>2.4605799535627158E-3</v>
          </cell>
          <cell r="F4">
            <v>2.9643782090723117E-3</v>
          </cell>
          <cell r="G4">
            <v>3.5153016715580134E-3</v>
          </cell>
          <cell r="H4">
            <v>3.032054282562595E-3</v>
          </cell>
          <cell r="I4">
            <v>3.3210374945373262E-3</v>
          </cell>
          <cell r="J4">
            <v>3.2265105003723687E-3</v>
          </cell>
          <cell r="K4">
            <v>3.069720843640435E-3</v>
          </cell>
          <cell r="L4">
            <v>3.0252370623537273E-3</v>
          </cell>
          <cell r="M4">
            <v>3.1243115406888889E-3</v>
          </cell>
          <cell r="N4">
            <v>3.2221535264160168E-3</v>
          </cell>
          <cell r="O4">
            <v>3.9242687151871429E-3</v>
          </cell>
          <cell r="P4">
            <v>3.2160094714065563E-3</v>
          </cell>
          <cell r="Q4">
            <v>2.8375269572662376E-3</v>
          </cell>
          <cell r="R4">
            <v>3.0088575975497633E-3</v>
          </cell>
          <cell r="S4">
            <v>3.1389021086097512E-3</v>
          </cell>
          <cell r="T4">
            <v>2.9471485337249116E-3</v>
          </cell>
          <cell r="U4">
            <v>1.9887722941756896E-3</v>
          </cell>
          <cell r="V4">
            <v>3.2017153059658945E-3</v>
          </cell>
          <cell r="W4">
            <v>1.9304021209642773E-3</v>
          </cell>
          <cell r="X4">
            <v>2.169393146972255E-3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F4">
            <v>6.48</v>
          </cell>
          <cell r="M4">
            <v>1.54</v>
          </cell>
        </row>
      </sheetData>
      <sheetData sheetId="1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5.89</v>
          </cell>
          <cell r="M6">
            <v>1.31</v>
          </cell>
        </row>
      </sheetData>
      <sheetData sheetId="10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4.2300000000000004</v>
          </cell>
          <cell r="M6">
            <v>0.86</v>
          </cell>
        </row>
      </sheetData>
      <sheetData sheetId="1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5.03</v>
          </cell>
          <cell r="M6">
            <v>1.02</v>
          </cell>
        </row>
      </sheetData>
      <sheetData sheetId="1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7.61</v>
          </cell>
          <cell r="M6">
            <v>1.18</v>
          </cell>
        </row>
      </sheetData>
      <sheetData sheetId="10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4.3499999999999996</v>
          </cell>
          <cell r="M6">
            <v>0.9</v>
          </cell>
        </row>
      </sheetData>
      <sheetData sheetId="10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5.47</v>
          </cell>
          <cell r="M6">
            <v>0.88</v>
          </cell>
        </row>
      </sheetData>
      <sheetData sheetId="10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6.64</v>
          </cell>
          <cell r="M6">
            <v>1.23</v>
          </cell>
        </row>
      </sheetData>
      <sheetData sheetId="1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5.57</v>
          </cell>
          <cell r="M6">
            <v>1.03</v>
          </cell>
        </row>
      </sheetData>
      <sheetData sheetId="1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>
        <row r="25">
          <cell r="F25">
            <v>6.0030000000000001</v>
          </cell>
        </row>
      </sheetData>
      <sheetData sheetId="1">
        <row r="24">
          <cell r="F24">
            <v>442.2</v>
          </cell>
        </row>
      </sheetData>
      <sheetData sheetId="2"/>
      <sheetData sheetId="3">
        <row r="25">
          <cell r="F25">
            <v>5609.2</v>
          </cell>
        </row>
      </sheetData>
      <sheetData sheetId="4"/>
      <sheetData sheetId="5">
        <row r="24">
          <cell r="F24">
            <v>167.5</v>
          </cell>
        </row>
      </sheetData>
      <sheetData sheetId="6"/>
      <sheetData sheetId="7"/>
      <sheetData sheetId="8"/>
      <sheetData sheetId="9">
        <row r="6">
          <cell r="F6">
            <v>5.78</v>
          </cell>
          <cell r="M6">
            <v>0.83</v>
          </cell>
        </row>
        <row r="12">
          <cell r="F12">
            <v>6.69</v>
          </cell>
          <cell r="M12">
            <v>0.8</v>
          </cell>
        </row>
      </sheetData>
      <sheetData sheetId="10">
        <row r="41">
          <cell r="I41">
            <v>15.375999999999999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5.7</v>
          </cell>
          <cell r="M6">
            <v>0.87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5.53</v>
          </cell>
          <cell r="M6">
            <v>0.99</v>
          </cell>
        </row>
      </sheetData>
      <sheetData sheetId="10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6.96</v>
          </cell>
          <cell r="M6">
            <v>1.03</v>
          </cell>
        </row>
      </sheetData>
      <sheetData sheetId="10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3.29</v>
          </cell>
          <cell r="M6">
            <v>0.68</v>
          </cell>
        </row>
      </sheetData>
      <sheetData sheetId="10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5.29</v>
          </cell>
          <cell r="M6">
            <v>0.97</v>
          </cell>
        </row>
      </sheetData>
      <sheetData sheetId="10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5.57</v>
          </cell>
          <cell r="M6">
            <v>1.08</v>
          </cell>
        </row>
      </sheetData>
      <sheetData sheetId="10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6.26</v>
          </cell>
          <cell r="M6">
            <v>1.04</v>
          </cell>
        </row>
      </sheetData>
      <sheetData sheetId="10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5.27</v>
          </cell>
          <cell r="M6">
            <v>0.85</v>
          </cell>
        </row>
      </sheetData>
      <sheetData sheetId="10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6">
          <cell r="F6">
            <v>4.88</v>
          </cell>
          <cell r="M6">
            <v>0.99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5.68</v>
          </cell>
          <cell r="M6">
            <v>0.94</v>
          </cell>
        </row>
      </sheetData>
      <sheetData sheetId="10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5.31</v>
          </cell>
          <cell r="M6">
            <v>1.03</v>
          </cell>
        </row>
      </sheetData>
      <sheetData sheetId="10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tropometrics"/>
      <sheetName val="NEFA"/>
      <sheetName val="TAG"/>
      <sheetName val="Glucose"/>
      <sheetName val="Chol, HDL"/>
      <sheetName val="Insulin"/>
    </sheetNames>
    <sheetDataSet>
      <sheetData sheetId="0">
        <row r="16">
          <cell r="B16">
            <v>22786</v>
          </cell>
          <cell r="D16">
            <v>31362</v>
          </cell>
          <cell r="F16">
            <v>32646</v>
          </cell>
          <cell r="G16">
            <v>28857</v>
          </cell>
          <cell r="H16">
            <v>47058</v>
          </cell>
          <cell r="I16">
            <v>13919</v>
          </cell>
          <cell r="J16">
            <v>26475</v>
          </cell>
          <cell r="K16">
            <v>41503</v>
          </cell>
          <cell r="L16">
            <v>24940</v>
          </cell>
          <cell r="M16">
            <v>39359</v>
          </cell>
          <cell r="N16">
            <v>26542</v>
          </cell>
          <cell r="O16">
            <v>34553</v>
          </cell>
          <cell r="P16">
            <v>37166</v>
          </cell>
          <cell r="Q16">
            <v>36040</v>
          </cell>
        </row>
        <row r="17">
          <cell r="B17">
            <v>43669</v>
          </cell>
          <cell r="D17">
            <v>40457</v>
          </cell>
          <cell r="F17">
            <v>42894</v>
          </cell>
          <cell r="G17">
            <v>58016</v>
          </cell>
          <cell r="H17">
            <v>40991</v>
          </cell>
          <cell r="I17">
            <v>61993</v>
          </cell>
          <cell r="J17">
            <v>55044</v>
          </cell>
          <cell r="K17">
            <v>40240</v>
          </cell>
          <cell r="L17">
            <v>65043</v>
          </cell>
          <cell r="M17">
            <v>65864</v>
          </cell>
          <cell r="N17">
            <v>65166</v>
          </cell>
          <cell r="O17">
            <v>60103</v>
          </cell>
          <cell r="P17">
            <v>51202</v>
          </cell>
          <cell r="Q17">
            <v>51876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tropometrics"/>
      <sheetName val="study days subjects' wt &amp; wc"/>
      <sheetName val="chylomicrons"/>
      <sheetName val="VLDL"/>
      <sheetName val="Bound"/>
      <sheetName val="unbound"/>
      <sheetName val="Urea"/>
      <sheetName val="Glycerol"/>
      <sheetName val="NEFA"/>
      <sheetName val="TAG"/>
      <sheetName val="Glucose"/>
      <sheetName val="HOMA-IR"/>
      <sheetName val="3OHB"/>
      <sheetName val="Chol, HDL"/>
      <sheetName val="ApoB"/>
      <sheetName val="Insulin"/>
      <sheetName val="13C_chylo_GLUCOSE"/>
      <sheetName val="13C_VLDL_GLUCOSE"/>
      <sheetName val="13C_Bound_GLUCOSE"/>
      <sheetName val="13C_chylo_Fructose"/>
      <sheetName val="13C_VLDL_Fructose"/>
      <sheetName val="13C_Bound_Fructose"/>
      <sheetName val="RQ and VCO2"/>
      <sheetName val="DNL"/>
      <sheetName val="13CO2_Glucose"/>
      <sheetName val="13CO2_Fructose"/>
      <sheetName val="13C_NEFA_Glucose"/>
      <sheetName val="13C_NEFA_Fructose"/>
      <sheetName val="13C_TAG_Glucose"/>
      <sheetName val="13C_TAG_Fructose"/>
      <sheetName val="13C_3OHB_Glucose"/>
      <sheetName val="13C_3OHB_Fructose"/>
      <sheetName val="Sheet1"/>
      <sheetName val="Sheet2"/>
      <sheetName val="Sheet3"/>
    </sheetNames>
    <sheetDataSet>
      <sheetData sheetId="0">
        <row r="16">
          <cell r="C16">
            <v>26562</v>
          </cell>
          <cell r="E16">
            <v>20753</v>
          </cell>
        </row>
        <row r="17">
          <cell r="C17">
            <v>61220</v>
          </cell>
          <cell r="E17">
            <v>46542</v>
          </cell>
        </row>
        <row r="27">
          <cell r="C27">
            <v>963</v>
          </cell>
          <cell r="E27">
            <v>241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B7">
            <v>831.5</v>
          </cell>
          <cell r="C7">
            <v>332.75</v>
          </cell>
          <cell r="D7">
            <v>606.29999999999995</v>
          </cell>
          <cell r="E7">
            <v>455.8</v>
          </cell>
          <cell r="F7">
            <v>496.6</v>
          </cell>
          <cell r="G7">
            <v>485.2</v>
          </cell>
          <cell r="H7">
            <v>1009.5</v>
          </cell>
          <cell r="I7">
            <v>286.89999999999998</v>
          </cell>
          <cell r="J7">
            <v>289.89999999999998</v>
          </cell>
          <cell r="K7">
            <v>389.4</v>
          </cell>
          <cell r="L7">
            <v>193.3</v>
          </cell>
          <cell r="M7">
            <v>349.6</v>
          </cell>
          <cell r="N7">
            <v>413.65</v>
          </cell>
          <cell r="O7">
            <v>709.4</v>
          </cell>
          <cell r="P7">
            <v>246.3</v>
          </cell>
          <cell r="Q7">
            <v>253.3</v>
          </cell>
        </row>
        <row r="24">
          <cell r="B24">
            <v>709.8</v>
          </cell>
          <cell r="C24">
            <v>345.95</v>
          </cell>
          <cell r="D24">
            <v>614.29999999999995</v>
          </cell>
          <cell r="E24">
            <v>546.70000000000005</v>
          </cell>
          <cell r="F24">
            <v>427.8</v>
          </cell>
          <cell r="G24">
            <v>351.1</v>
          </cell>
          <cell r="H24">
            <v>685.1</v>
          </cell>
          <cell r="I24">
            <v>342.8</v>
          </cell>
          <cell r="J24">
            <v>516.29999999999995</v>
          </cell>
          <cell r="K24">
            <v>350.3</v>
          </cell>
          <cell r="L24">
            <v>485.6</v>
          </cell>
          <cell r="M24">
            <v>541.20000000000005</v>
          </cell>
          <cell r="N24">
            <v>443.4</v>
          </cell>
          <cell r="O24">
            <v>303</v>
          </cell>
          <cell r="P24">
            <v>256.45000000000005</v>
          </cell>
          <cell r="Q24">
            <v>198.5</v>
          </cell>
        </row>
      </sheetData>
      <sheetData sheetId="9">
        <row r="7">
          <cell r="B7">
            <v>412.8</v>
          </cell>
          <cell r="C7">
            <v>776.40000000000009</v>
          </cell>
          <cell r="D7">
            <v>992.8</v>
          </cell>
          <cell r="E7">
            <v>784.5</v>
          </cell>
          <cell r="F7">
            <v>1050.9000000000001</v>
          </cell>
          <cell r="G7">
            <v>2049.7999999999997</v>
          </cell>
          <cell r="H7">
            <v>1313</v>
          </cell>
          <cell r="I7">
            <v>2430.6999999999998</v>
          </cell>
          <cell r="J7">
            <v>709.5</v>
          </cell>
          <cell r="K7">
            <v>803.30000000000007</v>
          </cell>
          <cell r="L7">
            <v>697.6</v>
          </cell>
          <cell r="M7">
            <v>1719.3</v>
          </cell>
          <cell r="N7">
            <v>457.40000000000003</v>
          </cell>
          <cell r="O7">
            <v>838.3</v>
          </cell>
          <cell r="P7">
            <v>1043.3</v>
          </cell>
          <cell r="Q7">
            <v>509.69999999999993</v>
          </cell>
        </row>
        <row r="24">
          <cell r="B24">
            <v>427.4</v>
          </cell>
          <cell r="C24">
            <v>772.80000000000007</v>
          </cell>
          <cell r="D24">
            <v>1150.3</v>
          </cell>
          <cell r="E24">
            <v>926.5</v>
          </cell>
          <cell r="F24">
            <v>1341.2</v>
          </cell>
          <cell r="G24">
            <v>1381.5</v>
          </cell>
          <cell r="H24">
            <v>1742.2</v>
          </cell>
          <cell r="I24">
            <v>1002.5999999999999</v>
          </cell>
          <cell r="J24">
            <v>1075.1999999999998</v>
          </cell>
          <cell r="K24">
            <v>1162.6000000000001</v>
          </cell>
          <cell r="L24">
            <v>611.80000000000007</v>
          </cell>
          <cell r="M24">
            <v>1746.6</v>
          </cell>
          <cell r="N24">
            <v>344</v>
          </cell>
          <cell r="O24">
            <v>1721.6</v>
          </cell>
          <cell r="P24">
            <v>809.3</v>
          </cell>
          <cell r="Q24">
            <v>421</v>
          </cell>
        </row>
      </sheetData>
      <sheetData sheetId="10">
        <row r="7">
          <cell r="B7">
            <v>4.1159999999999997</v>
          </cell>
          <cell r="C7">
            <v>4.617</v>
          </cell>
          <cell r="D7">
            <v>5.024</v>
          </cell>
          <cell r="E7">
            <v>5.2560000000000002</v>
          </cell>
          <cell r="F7">
            <v>4.5750000000000002</v>
          </cell>
          <cell r="G7">
            <v>6.5730000000000004</v>
          </cell>
          <cell r="H7">
            <v>6.133</v>
          </cell>
          <cell r="I7">
            <v>6.4429999999999996</v>
          </cell>
          <cell r="J7">
            <v>5.4790000000000001</v>
          </cell>
          <cell r="K7">
            <v>5.0940000000000003</v>
          </cell>
          <cell r="L7">
            <v>5.1150000000000002</v>
          </cell>
          <cell r="M7">
            <v>5.9420000000000002</v>
          </cell>
          <cell r="N7">
            <v>5.0110000000000001</v>
          </cell>
          <cell r="O7">
            <v>5.133</v>
          </cell>
          <cell r="P7">
            <v>4.7080000000000002</v>
          </cell>
          <cell r="Q7">
            <v>5.2759999999999998</v>
          </cell>
        </row>
        <row r="24">
          <cell r="B24">
            <v>4.8230000000000004</v>
          </cell>
          <cell r="C24">
            <v>4.7929999999999993</v>
          </cell>
          <cell r="D24">
            <v>5.3529999999999998</v>
          </cell>
          <cell r="E24">
            <v>5.3540000000000001</v>
          </cell>
          <cell r="F24">
            <v>3.726</v>
          </cell>
          <cell r="G24">
            <v>5.0599999999999996</v>
          </cell>
          <cell r="H24">
            <v>5.7439999999999998</v>
          </cell>
          <cell r="I24">
            <v>5.9880000000000004</v>
          </cell>
          <cell r="J24">
            <v>5.3410000000000002</v>
          </cell>
          <cell r="K24">
            <v>5.62</v>
          </cell>
          <cell r="L24">
            <v>5.0220000000000002</v>
          </cell>
          <cell r="M24">
            <v>5.5190000000000001</v>
          </cell>
          <cell r="N24">
            <v>5.2489999999999997</v>
          </cell>
          <cell r="O24">
            <v>5.0789999999999997</v>
          </cell>
          <cell r="P24">
            <v>4.6310000000000002</v>
          </cell>
          <cell r="Q24">
            <v>5.8920000000000003</v>
          </cell>
        </row>
      </sheetData>
      <sheetData sheetId="11"/>
      <sheetData sheetId="12">
        <row r="7">
          <cell r="B7">
            <v>148.4</v>
          </cell>
          <cell r="C7">
            <v>60.7</v>
          </cell>
          <cell r="D7">
            <v>123.9</v>
          </cell>
          <cell r="E7">
            <v>225.3</v>
          </cell>
          <cell r="F7">
            <v>65.099999999999994</v>
          </cell>
          <cell r="G7">
            <v>42.7</v>
          </cell>
          <cell r="H7">
            <v>175.2</v>
          </cell>
          <cell r="I7">
            <v>20.7</v>
          </cell>
          <cell r="J7">
            <v>29.4</v>
          </cell>
          <cell r="K7">
            <v>85.4</v>
          </cell>
          <cell r="L7">
            <v>37.1</v>
          </cell>
          <cell r="M7">
            <v>61.8</v>
          </cell>
          <cell r="N7">
            <v>104.7</v>
          </cell>
          <cell r="O7">
            <v>560.29999999999995</v>
          </cell>
          <cell r="P7">
            <v>25.5</v>
          </cell>
          <cell r="Q7">
            <v>49.2</v>
          </cell>
        </row>
        <row r="24">
          <cell r="B24">
            <v>190.6</v>
          </cell>
          <cell r="C24">
            <v>63.1</v>
          </cell>
          <cell r="D24">
            <v>38.4</v>
          </cell>
          <cell r="E24">
            <v>162.6</v>
          </cell>
          <cell r="F24">
            <v>27.4</v>
          </cell>
          <cell r="G24">
            <v>53.6</v>
          </cell>
          <cell r="H24">
            <v>45.6</v>
          </cell>
          <cell r="I24">
            <v>38.9</v>
          </cell>
          <cell r="J24">
            <v>89.1</v>
          </cell>
          <cell r="K24">
            <v>32.200000000000003</v>
          </cell>
          <cell r="L24">
            <v>323.2</v>
          </cell>
          <cell r="M24">
            <v>80.099999999999994</v>
          </cell>
          <cell r="N24">
            <v>103.1</v>
          </cell>
          <cell r="O24">
            <v>35.9</v>
          </cell>
          <cell r="P24">
            <v>28.2</v>
          </cell>
          <cell r="Q24">
            <v>62.9</v>
          </cell>
        </row>
      </sheetData>
      <sheetData sheetId="13">
        <row r="7">
          <cell r="B7">
            <v>3.22</v>
          </cell>
          <cell r="C7">
            <v>5.63</v>
          </cell>
          <cell r="D7">
            <v>5.18</v>
          </cell>
          <cell r="E7">
            <v>6.53</v>
          </cell>
          <cell r="F7">
            <v>4.78</v>
          </cell>
          <cell r="G7">
            <v>5.09</v>
          </cell>
          <cell r="H7">
            <v>5.07</v>
          </cell>
          <cell r="I7">
            <v>4.4000000000000004</v>
          </cell>
          <cell r="J7">
            <v>4.24</v>
          </cell>
          <cell r="K7">
            <v>4.4800000000000004</v>
          </cell>
          <cell r="L7">
            <v>4.43</v>
          </cell>
          <cell r="M7">
            <v>4.68</v>
          </cell>
          <cell r="N7">
            <v>3.47</v>
          </cell>
          <cell r="O7">
            <v>4.8600000000000003</v>
          </cell>
          <cell r="P7">
            <v>5.3</v>
          </cell>
          <cell r="Q7">
            <v>3.73</v>
          </cell>
        </row>
        <row r="14">
          <cell r="B14">
            <v>3.88</v>
          </cell>
          <cell r="C14">
            <v>6.16</v>
          </cell>
          <cell r="D14">
            <v>5.26</v>
          </cell>
          <cell r="E14">
            <v>7.23</v>
          </cell>
          <cell r="F14">
            <v>4.49</v>
          </cell>
          <cell r="G14">
            <v>4.34</v>
          </cell>
          <cell r="H14">
            <v>4.9000000000000004</v>
          </cell>
          <cell r="I14">
            <v>4.84</v>
          </cell>
          <cell r="J14">
            <v>4.76</v>
          </cell>
          <cell r="K14">
            <v>4.83</v>
          </cell>
          <cell r="L14">
            <v>3.9</v>
          </cell>
          <cell r="M14">
            <v>4.9800000000000004</v>
          </cell>
          <cell r="N14">
            <v>3.96</v>
          </cell>
          <cell r="O14">
            <v>5.54</v>
          </cell>
          <cell r="P14">
            <v>5.22</v>
          </cell>
          <cell r="Q14">
            <v>4.57</v>
          </cell>
        </row>
        <row r="24">
          <cell r="B24">
            <v>1.08</v>
          </cell>
          <cell r="C24">
            <v>1.1399999999999999</v>
          </cell>
          <cell r="D24">
            <v>1.33</v>
          </cell>
          <cell r="E24">
            <v>2.46</v>
          </cell>
          <cell r="F24">
            <v>1.54</v>
          </cell>
          <cell r="G24">
            <v>0.99</v>
          </cell>
          <cell r="H24">
            <v>1.1599999999999999</v>
          </cell>
          <cell r="I24">
            <v>1.51</v>
          </cell>
          <cell r="J24">
            <v>1.52</v>
          </cell>
          <cell r="K24">
            <v>1.38</v>
          </cell>
          <cell r="L24">
            <v>1.51</v>
          </cell>
          <cell r="M24">
            <v>0.79</v>
          </cell>
          <cell r="N24">
            <v>1.42</v>
          </cell>
          <cell r="O24">
            <v>0.82</v>
          </cell>
          <cell r="P24">
            <v>1.74</v>
          </cell>
          <cell r="Q24">
            <v>1.1399999999999999</v>
          </cell>
        </row>
        <row r="31">
          <cell r="B31">
            <v>1.33</v>
          </cell>
          <cell r="C31">
            <v>1.48</v>
          </cell>
          <cell r="D31">
            <v>1.41</v>
          </cell>
          <cell r="E31">
            <v>2.59</v>
          </cell>
          <cell r="F31">
            <v>1.37</v>
          </cell>
          <cell r="G31">
            <v>0.84</v>
          </cell>
          <cell r="H31">
            <v>1.22</v>
          </cell>
          <cell r="I31">
            <v>1.52</v>
          </cell>
          <cell r="J31">
            <v>1.67</v>
          </cell>
          <cell r="K31">
            <v>1.47</v>
          </cell>
          <cell r="L31">
            <v>1.47</v>
          </cell>
          <cell r="M31">
            <v>0.83</v>
          </cell>
          <cell r="N31">
            <v>1.51</v>
          </cell>
          <cell r="O31">
            <v>0.95</v>
          </cell>
          <cell r="P31">
            <v>1.9</v>
          </cell>
          <cell r="Q31">
            <v>1.39</v>
          </cell>
        </row>
      </sheetData>
      <sheetData sheetId="14"/>
      <sheetData sheetId="15">
        <row r="7">
          <cell r="B7">
            <v>9.4074999999999989</v>
          </cell>
          <cell r="C7">
            <v>9.3230000000000004</v>
          </cell>
          <cell r="D7">
            <v>7.0269999999999992</v>
          </cell>
          <cell r="E7">
            <v>5.9429999999999996</v>
          </cell>
          <cell r="F7">
            <v>11.121</v>
          </cell>
          <cell r="G7">
            <v>13.2</v>
          </cell>
          <cell r="H7">
            <v>12.861499999999999</v>
          </cell>
          <cell r="I7">
            <v>12.301449999999999</v>
          </cell>
          <cell r="J7">
            <v>9.4811550000000011</v>
          </cell>
          <cell r="K7">
            <v>6.0645000000000007</v>
          </cell>
          <cell r="L7">
            <v>9.7899999999999991</v>
          </cell>
          <cell r="M7">
            <v>17.535499999999999</v>
          </cell>
          <cell r="N7">
            <v>11.103999999999999</v>
          </cell>
          <cell r="O7">
            <v>13.468</v>
          </cell>
          <cell r="P7">
            <v>3.8155000000000001</v>
          </cell>
          <cell r="Q7">
            <v>9.129999999999999</v>
          </cell>
        </row>
        <row r="24">
          <cell r="B24">
            <v>5.9160000000000004</v>
          </cell>
          <cell r="C24">
            <v>6.6615000000000002</v>
          </cell>
          <cell r="D24">
            <v>9.8264999999999993</v>
          </cell>
          <cell r="E24">
            <v>6.4414999999999996</v>
          </cell>
          <cell r="F24">
            <v>11.669</v>
          </cell>
          <cell r="G24">
            <v>11.829000000000001</v>
          </cell>
          <cell r="H24">
            <v>9.275500000000001</v>
          </cell>
          <cell r="I24">
            <v>7.859</v>
          </cell>
          <cell r="J24">
            <v>11.93</v>
          </cell>
          <cell r="K24">
            <v>7.3994999999999997</v>
          </cell>
          <cell r="L24">
            <v>7.3740000000000006</v>
          </cell>
          <cell r="M24">
            <v>16.375999999999998</v>
          </cell>
          <cell r="N24">
            <v>12.629999999999999</v>
          </cell>
          <cell r="O24">
            <v>17.885999999999999</v>
          </cell>
          <cell r="P24">
            <v>4.1260000000000003</v>
          </cell>
          <cell r="Q24">
            <v>11.452999999999999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>
        <row r="5">
          <cell r="B5">
            <v>3.641818846151358E-3</v>
          </cell>
          <cell r="C5">
            <v>3.1680534294100818E-3</v>
          </cell>
          <cell r="D5">
            <v>3.9215550652339269E-3</v>
          </cell>
          <cell r="E5">
            <v>3.2602981086078172E-3</v>
          </cell>
          <cell r="F5">
            <v>3.6394114864659027E-3</v>
          </cell>
          <cell r="G5">
            <v>3.2179982411617084E-3</v>
          </cell>
          <cell r="H5">
            <v>4.8423174135940137E-3</v>
          </cell>
          <cell r="I5">
            <v>2.8252012905524804E-3</v>
          </cell>
          <cell r="J5">
            <v>3.3054765626769648E-3</v>
          </cell>
          <cell r="K5">
            <v>3.8661780808910478E-3</v>
          </cell>
          <cell r="L5">
            <v>3.021503609406671E-3</v>
          </cell>
          <cell r="M5">
            <v>4.1591927021674777E-3</v>
          </cell>
          <cell r="N5">
            <v>3.6092110245629066E-3</v>
          </cell>
          <cell r="O5">
            <v>3.199142600361755E-3</v>
          </cell>
          <cell r="P5">
            <v>3.7540923216455866E-3</v>
          </cell>
          <cell r="Q5">
            <v>4.1343521598448101E-3</v>
          </cell>
        </row>
        <row r="15">
          <cell r="B15">
            <v>3.6832350750748231E-3</v>
          </cell>
          <cell r="C15">
            <v>3.4640908523478429E-3</v>
          </cell>
          <cell r="D15">
            <v>3.6028606389225154E-3</v>
          </cell>
          <cell r="E15">
            <v>2.9256601710788738E-3</v>
          </cell>
          <cell r="F15">
            <v>4.0430925777200375E-3</v>
          </cell>
          <cell r="G15">
            <v>3.4459117322292445E-3</v>
          </cell>
          <cell r="H15">
            <v>4.5269837777763911E-3</v>
          </cell>
          <cell r="I15">
            <v>2.6568142895340902E-3</v>
          </cell>
          <cell r="J15">
            <v>3.3267505621265309E-3</v>
          </cell>
          <cell r="K15">
            <v>4.4170328814567457E-3</v>
          </cell>
          <cell r="L15">
            <v>3.1477397821848326E-3</v>
          </cell>
          <cell r="M15">
            <v>3.4224498609581235E-3</v>
          </cell>
          <cell r="N15">
            <v>3.1122012604482743E-3</v>
          </cell>
          <cell r="O15">
            <v>3.5890662645323484E-3</v>
          </cell>
          <cell r="P15">
            <v>4.0434672806234596E-3</v>
          </cell>
          <cell r="Q15">
            <v>3.6600622916999675E-3</v>
          </cell>
        </row>
        <row r="49">
          <cell r="B49">
            <v>3.236568791701957</v>
          </cell>
          <cell r="C49">
            <v>0.8428041219089778</v>
          </cell>
          <cell r="D49">
            <v>3.6018471297859795</v>
          </cell>
          <cell r="E49">
            <v>1.7162251570701008</v>
          </cell>
          <cell r="F49">
            <v>4.1766700483134178</v>
          </cell>
          <cell r="G49">
            <v>9.5855878132243841</v>
          </cell>
          <cell r="H49">
            <v>4.0537304310686855</v>
          </cell>
          <cell r="I49">
            <v>9.4744925314641577</v>
          </cell>
          <cell r="J49">
            <v>6.7925885724785671</v>
          </cell>
          <cell r="K49">
            <v>6.037962938000744</v>
          </cell>
          <cell r="L49">
            <v>3.7413301809285961</v>
          </cell>
          <cell r="M49">
            <v>4.2250197275868837</v>
          </cell>
          <cell r="N49">
            <v>6.091725567836086</v>
          </cell>
          <cell r="O49">
            <v>8.3267778061570846E-2</v>
          </cell>
          <cell r="P49">
            <v>1.2587592224328135</v>
          </cell>
          <cell r="Q49">
            <v>4.038360353064169</v>
          </cell>
        </row>
        <row r="61">
          <cell r="B61">
            <v>3.3176892002971381</v>
          </cell>
          <cell r="C61">
            <v>3.5432059578462161</v>
          </cell>
          <cell r="D61">
            <v>8.8918959137957145</v>
          </cell>
          <cell r="E61">
            <v>2.9048000362203967</v>
          </cell>
          <cell r="F61">
            <v>14.312133029078494</v>
          </cell>
          <cell r="G61">
            <v>11.803633769643886</v>
          </cell>
          <cell r="H61">
            <v>6.1905188873314945</v>
          </cell>
          <cell r="I61">
            <v>0.61249864453176983</v>
          </cell>
          <cell r="J61">
            <v>1.9982679696571963</v>
          </cell>
          <cell r="K61">
            <v>16.579737173006624</v>
          </cell>
          <cell r="L61">
            <v>2.1819004383647793</v>
          </cell>
          <cell r="M61">
            <v>0.67089116810074223</v>
          </cell>
          <cell r="N61">
            <v>7.0645569608434879</v>
          </cell>
          <cell r="O61">
            <v>12.013570439313739</v>
          </cell>
          <cell r="P61">
            <v>3.6357709506040696</v>
          </cell>
          <cell r="Q61">
            <v>4.1472820830562762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3">
          <cell r="E3">
            <v>47</v>
          </cell>
        </row>
        <row r="4">
          <cell r="E4">
            <v>51</v>
          </cell>
        </row>
        <row r="5">
          <cell r="E5">
            <v>45</v>
          </cell>
        </row>
        <row r="6">
          <cell r="E6">
            <v>54</v>
          </cell>
        </row>
        <row r="7">
          <cell r="E7">
            <v>45</v>
          </cell>
        </row>
        <row r="9">
          <cell r="E9">
            <v>42</v>
          </cell>
        </row>
        <row r="10">
          <cell r="E10">
            <v>52</v>
          </cell>
        </row>
        <row r="11">
          <cell r="E11">
            <v>52</v>
          </cell>
        </row>
        <row r="13">
          <cell r="E13">
            <v>51</v>
          </cell>
        </row>
        <row r="14">
          <cell r="E14">
            <v>47</v>
          </cell>
        </row>
        <row r="15">
          <cell r="E15">
            <v>50</v>
          </cell>
        </row>
        <row r="16">
          <cell r="E16">
            <v>52</v>
          </cell>
        </row>
        <row r="17">
          <cell r="E17">
            <v>48</v>
          </cell>
        </row>
        <row r="18">
          <cell r="E18">
            <v>52</v>
          </cell>
        </row>
      </sheetData>
      <sheetData sheetId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troscopy"/>
      <sheetName val="Iron correction"/>
      <sheetName val="Perspectum"/>
      <sheetName val="corrected"/>
    </sheetNames>
    <sheetDataSet>
      <sheetData sheetId="0">
        <row r="3">
          <cell r="R3">
            <v>86.5</v>
          </cell>
          <cell r="T3">
            <v>82.9</v>
          </cell>
          <cell r="X3">
            <v>96</v>
          </cell>
          <cell r="Z3">
            <v>93</v>
          </cell>
        </row>
        <row r="4">
          <cell r="R4">
            <v>82.2</v>
          </cell>
          <cell r="T4">
            <v>81.5</v>
          </cell>
          <cell r="X4">
            <v>93</v>
          </cell>
          <cell r="Z4">
            <v>97</v>
          </cell>
        </row>
        <row r="5">
          <cell r="R5">
            <v>85.6</v>
          </cell>
          <cell r="T5">
            <v>86</v>
          </cell>
          <cell r="X5">
            <v>99</v>
          </cell>
          <cell r="Z5">
            <v>94</v>
          </cell>
        </row>
        <row r="6">
          <cell r="R6">
            <v>84.3</v>
          </cell>
          <cell r="T6">
            <v>83.9</v>
          </cell>
          <cell r="X6">
            <v>95</v>
          </cell>
          <cell r="Z6">
            <v>94</v>
          </cell>
        </row>
        <row r="7">
          <cell r="R7">
            <v>84.6</v>
          </cell>
          <cell r="T7">
            <v>85.5</v>
          </cell>
          <cell r="X7">
            <v>98</v>
          </cell>
          <cell r="Z7">
            <v>100</v>
          </cell>
        </row>
        <row r="8">
          <cell r="R8">
            <v>125</v>
          </cell>
          <cell r="T8">
            <v>119.5</v>
          </cell>
          <cell r="X8">
            <v>120</v>
          </cell>
          <cell r="Z8">
            <v>120</v>
          </cell>
        </row>
        <row r="9">
          <cell r="R9">
            <v>88.8</v>
          </cell>
          <cell r="T9">
            <v>85.1</v>
          </cell>
          <cell r="X9">
            <v>101</v>
          </cell>
          <cell r="Z9">
            <v>98</v>
          </cell>
        </row>
        <row r="10">
          <cell r="R10">
            <v>98.4</v>
          </cell>
          <cell r="T10">
            <v>98.5</v>
          </cell>
          <cell r="X10">
            <v>99</v>
          </cell>
          <cell r="Z10">
            <v>103</v>
          </cell>
        </row>
        <row r="11">
          <cell r="R11">
            <v>89.9</v>
          </cell>
          <cell r="T11">
            <v>89</v>
          </cell>
          <cell r="X11">
            <v>90</v>
          </cell>
          <cell r="Z11">
            <v>90</v>
          </cell>
        </row>
        <row r="12">
          <cell r="R12">
            <v>81.900000000000006</v>
          </cell>
          <cell r="T12">
            <v>81.900000000000006</v>
          </cell>
          <cell r="X12">
            <v>89</v>
          </cell>
          <cell r="Z12">
            <v>90</v>
          </cell>
        </row>
        <row r="13">
          <cell r="R13">
            <v>85.4</v>
          </cell>
          <cell r="T13">
            <v>86.7</v>
          </cell>
          <cell r="X13">
            <v>99</v>
          </cell>
          <cell r="Z13">
            <v>100</v>
          </cell>
        </row>
        <row r="14">
          <cell r="R14">
            <v>80.5</v>
          </cell>
          <cell r="T14">
            <v>81.3</v>
          </cell>
          <cell r="X14">
            <v>95</v>
          </cell>
          <cell r="Z14">
            <v>96</v>
          </cell>
        </row>
        <row r="15">
          <cell r="R15">
            <v>90.5</v>
          </cell>
          <cell r="T15">
            <v>90.2</v>
          </cell>
          <cell r="X15">
            <v>102</v>
          </cell>
          <cell r="Z15">
            <v>103</v>
          </cell>
        </row>
        <row r="16">
          <cell r="R16">
            <v>91.6</v>
          </cell>
          <cell r="T16">
            <v>90.6</v>
          </cell>
          <cell r="X16">
            <v>100</v>
          </cell>
          <cell r="Z16">
            <v>93</v>
          </cell>
        </row>
        <row r="17">
          <cell r="R17">
            <v>94.8</v>
          </cell>
          <cell r="T17">
            <v>94.1</v>
          </cell>
          <cell r="X17">
            <v>97</v>
          </cell>
          <cell r="Z17">
            <v>103</v>
          </cell>
        </row>
        <row r="18">
          <cell r="R18">
            <v>103.5</v>
          </cell>
          <cell r="T18">
            <v>105.6</v>
          </cell>
          <cell r="X18">
            <v>115</v>
          </cell>
          <cell r="Z18">
            <v>116</v>
          </cell>
        </row>
        <row r="30">
          <cell r="M30">
            <v>2.9</v>
          </cell>
          <cell r="P30">
            <v>2.1811234178911532</v>
          </cell>
        </row>
        <row r="37">
          <cell r="M37">
            <v>11.84</v>
          </cell>
          <cell r="P37">
            <v>15.08</v>
          </cell>
        </row>
      </sheetData>
      <sheetData sheetId="1">
        <row r="6">
          <cell r="E6">
            <v>4.0730853302973777</v>
          </cell>
          <cell r="G6">
            <v>3.8046373807330043</v>
          </cell>
          <cell r="I6">
            <v>2.6537032643241947</v>
          </cell>
          <cell r="K6">
            <v>2.9770545473118433</v>
          </cell>
          <cell r="M6">
            <v>4.0718718875617537</v>
          </cell>
          <cell r="O6">
            <v>5.7499158307662155</v>
          </cell>
          <cell r="U6">
            <v>1.7456075416963792</v>
          </cell>
          <cell r="W6">
            <v>1.4022266748710785</v>
          </cell>
          <cell r="Y6">
            <v>7.9457743259079798</v>
          </cell>
          <cell r="AA6">
            <v>13.124417338586936</v>
          </cell>
          <cell r="AC6">
            <v>2.3182079796592325</v>
          </cell>
          <cell r="AE6">
            <v>2.963864308107202</v>
          </cell>
          <cell r="AG6">
            <v>5.8192850943265135</v>
          </cell>
          <cell r="AI6">
            <v>5.7091163400290332</v>
          </cell>
          <cell r="AK6">
            <v>3.7354659485507957</v>
          </cell>
          <cell r="AM6">
            <v>6.0837983371519497</v>
          </cell>
          <cell r="AO6">
            <v>2.1106468364316351</v>
          </cell>
          <cell r="AQ6">
            <v>2.7465055548735471</v>
          </cell>
          <cell r="AW6">
            <v>7.8900576899891686</v>
          </cell>
          <cell r="AY6">
            <v>10.173899645492964</v>
          </cell>
          <cell r="BA6">
            <v>2.2282993513143681</v>
          </cell>
          <cell r="BC6">
            <v>1.4857794366321171</v>
          </cell>
          <cell r="BE6">
            <v>5.6479514186004307</v>
          </cell>
          <cell r="BG6">
            <v>6.4943075976990841</v>
          </cell>
          <cell r="BI6">
            <v>2.3461073137739321</v>
          </cell>
          <cell r="BK6">
            <v>2.1302448069998774</v>
          </cell>
          <cell r="BM6">
            <v>15.352254471362672</v>
          </cell>
          <cell r="BO6">
            <v>20.691255855441721</v>
          </cell>
        </row>
      </sheetData>
      <sheetData sheetId="2"/>
      <sheetData sheetId="3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XA data"/>
      <sheetName val="Composition Data"/>
      <sheetName val="Densitometry Data"/>
      <sheetName val="Sheet2"/>
    </sheetNames>
    <sheetDataSet>
      <sheetData sheetId="0">
        <row r="2">
          <cell r="V2">
            <v>25991.017201742001</v>
          </cell>
          <cell r="W2">
            <v>55705.698003252</v>
          </cell>
        </row>
        <row r="3">
          <cell r="V3">
            <v>25124.477111156</v>
          </cell>
          <cell r="W3">
            <v>56015.022693207997</v>
          </cell>
        </row>
        <row r="4">
          <cell r="V4">
            <v>27003.843303416001</v>
          </cell>
          <cell r="W4">
            <v>51370.858312762</v>
          </cell>
        </row>
        <row r="5">
          <cell r="V5">
            <v>27429.635495487</v>
          </cell>
          <cell r="W5">
            <v>51674.712023699998</v>
          </cell>
        </row>
        <row r="6">
          <cell r="V6">
            <v>28016.089218207999</v>
          </cell>
          <cell r="W6">
            <v>55196.952154780003</v>
          </cell>
        </row>
        <row r="7">
          <cell r="V7">
            <v>25996.226592562001</v>
          </cell>
          <cell r="W7">
            <v>54320.71260318</v>
          </cell>
        </row>
        <row r="8">
          <cell r="V8">
            <v>19398.088824220999</v>
          </cell>
          <cell r="W8">
            <v>61419.967793347998</v>
          </cell>
        </row>
        <row r="9">
          <cell r="V9">
            <v>18918.490355458998</v>
          </cell>
          <cell r="W9">
            <v>59958.387606333003</v>
          </cell>
        </row>
        <row r="10">
          <cell r="V10">
            <v>22481.545315570002</v>
          </cell>
          <cell r="W10">
            <v>57502.797555167999</v>
          </cell>
        </row>
        <row r="11">
          <cell r="V11">
            <v>24720.223027921002</v>
          </cell>
          <cell r="W11">
            <v>57168.963020251998</v>
          </cell>
        </row>
        <row r="12">
          <cell r="V12">
            <v>43932.922846991001</v>
          </cell>
          <cell r="W12">
            <v>69249.307380961007</v>
          </cell>
        </row>
        <row r="13">
          <cell r="V13">
            <v>45827.744041407997</v>
          </cell>
          <cell r="W13">
            <v>70613.034052357005</v>
          </cell>
        </row>
        <row r="14">
          <cell r="V14">
            <v>26535.360723999998</v>
          </cell>
          <cell r="W14">
            <v>55367.638722408999</v>
          </cell>
        </row>
        <row r="15">
          <cell r="V15">
            <v>27122.535571974</v>
          </cell>
          <cell r="W15">
            <v>58819.619228697004</v>
          </cell>
        </row>
        <row r="16">
          <cell r="V16">
            <v>33838.009153519</v>
          </cell>
          <cell r="W16">
            <v>59571.918808467999</v>
          </cell>
        </row>
        <row r="17">
          <cell r="V17">
            <v>35477.834408089999</v>
          </cell>
          <cell r="W17">
            <v>57500.175750510003</v>
          </cell>
        </row>
        <row r="18">
          <cell r="V18">
            <v>17280.37193428</v>
          </cell>
          <cell r="W18">
            <v>67117.106273989993</v>
          </cell>
        </row>
        <row r="19">
          <cell r="V19">
            <v>16877.364593019</v>
          </cell>
          <cell r="W19">
            <v>67270.597052234996</v>
          </cell>
        </row>
        <row r="20">
          <cell r="W20">
            <v>43337.223338306998</v>
          </cell>
        </row>
        <row r="21">
          <cell r="V21">
            <v>16459.856744096</v>
          </cell>
          <cell r="W21">
            <v>60665.195623387997</v>
          </cell>
        </row>
        <row r="22">
          <cell r="V22">
            <v>15415.510163584</v>
          </cell>
          <cell r="W22">
            <v>61205.207879586997</v>
          </cell>
        </row>
        <row r="23">
          <cell r="V23">
            <v>27821.548618183999</v>
          </cell>
          <cell r="W23">
            <v>55976.907984226003</v>
          </cell>
        </row>
        <row r="24">
          <cell r="V24">
            <v>25852.959409444</v>
          </cell>
          <cell r="W24">
            <v>56320.562356927003</v>
          </cell>
        </row>
        <row r="25">
          <cell r="V25">
            <v>21047.432104103998</v>
          </cell>
          <cell r="W25">
            <v>54937.307497041998</v>
          </cell>
        </row>
        <row r="26">
          <cell r="V26">
            <v>23143.81812055</v>
          </cell>
          <cell r="W26">
            <v>62927.453943665998</v>
          </cell>
        </row>
        <row r="27">
          <cell r="V27">
            <v>25231.491732339</v>
          </cell>
          <cell r="W27">
            <v>62056.393597454</v>
          </cell>
        </row>
        <row r="28">
          <cell r="V28">
            <v>21141.459804912</v>
          </cell>
        </row>
        <row r="29">
          <cell r="W29">
            <v>54772.561258226</v>
          </cell>
        </row>
        <row r="30">
          <cell r="V30">
            <v>28232.215788938</v>
          </cell>
        </row>
        <row r="31">
          <cell r="V31">
            <v>27174.647194678</v>
          </cell>
          <cell r="W31">
            <v>59511.998090612004</v>
          </cell>
        </row>
        <row r="32">
          <cell r="V32">
            <v>28598.365706001001</v>
          </cell>
          <cell r="W32">
            <v>60330.613035581999</v>
          </cell>
        </row>
        <row r="33">
          <cell r="V33">
            <v>38926.902857317997</v>
          </cell>
          <cell r="W33">
            <v>58757.664284883998</v>
          </cell>
          <cell r="AB33">
            <v>3538.0239034348001</v>
          </cell>
        </row>
        <row r="34">
          <cell r="V34">
            <v>41109.980105142997</v>
          </cell>
          <cell r="W34">
            <v>59241.261705131001</v>
          </cell>
          <cell r="AB34">
            <v>3687.4330870609001</v>
          </cell>
        </row>
      </sheetData>
      <sheetData sheetId="1"/>
      <sheetData sheetId="2"/>
      <sheetData sheetId="3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rted by insulin"/>
      <sheetName val="Participant characteristics"/>
      <sheetName val="males"/>
      <sheetName val="females"/>
      <sheetName val="FA composition"/>
      <sheetName val="Isotopic data"/>
      <sheetName val="Ratios (2)"/>
      <sheetName val="Ratios"/>
    </sheetNames>
    <sheetDataSet>
      <sheetData sheetId="0" refreshError="1"/>
      <sheetData sheetId="1" refreshError="1">
        <row r="2">
          <cell r="J2">
            <v>1028.7129862175</v>
          </cell>
        </row>
        <row r="3">
          <cell r="J3">
            <v>1948.347616952</v>
          </cell>
        </row>
        <row r="4">
          <cell r="J4">
            <v>1953.8512979425</v>
          </cell>
        </row>
        <row r="5">
          <cell r="J5">
            <v>1803.1418875371</v>
          </cell>
        </row>
        <row r="6">
          <cell r="J6">
            <v>1576.0967219571</v>
          </cell>
        </row>
        <row r="7">
          <cell r="J7">
            <v>1164.7254552828001</v>
          </cell>
        </row>
        <row r="8">
          <cell r="J8">
            <v>1080.7376797958</v>
          </cell>
        </row>
        <row r="9">
          <cell r="J9">
            <v>660.58208521271001</v>
          </cell>
        </row>
        <row r="10">
          <cell r="J10">
            <v>722.87870517461999</v>
          </cell>
        </row>
        <row r="11">
          <cell r="J11">
            <v>1442.7246107341</v>
          </cell>
        </row>
        <row r="12">
          <cell r="J12">
            <v>1789.9336073305001</v>
          </cell>
        </row>
        <row r="13">
          <cell r="J13">
            <v>1387.2678713354001</v>
          </cell>
        </row>
        <row r="14">
          <cell r="J14">
            <v>1708.4662876783</v>
          </cell>
        </row>
        <row r="15">
          <cell r="J15">
            <v>1808.8071539031</v>
          </cell>
        </row>
        <row r="16">
          <cell r="J16">
            <v>1802.0558290081001</v>
          </cell>
        </row>
        <row r="17">
          <cell r="J17">
            <v>601.87904753877001</v>
          </cell>
        </row>
        <row r="18">
          <cell r="J18">
            <v>660.87214604594999</v>
          </cell>
        </row>
        <row r="19">
          <cell r="J19">
            <v>1996.6504112527</v>
          </cell>
        </row>
        <row r="20">
          <cell r="J20">
            <v>934.3524325441</v>
          </cell>
        </row>
        <row r="21">
          <cell r="J21">
            <v>680.67042496121996</v>
          </cell>
        </row>
        <row r="22">
          <cell r="J22">
            <v>1980.0113785724</v>
          </cell>
        </row>
        <row r="23">
          <cell r="J23">
            <v>1753.8372768398001</v>
          </cell>
        </row>
        <row r="24">
          <cell r="J24">
            <v>958.14586638581</v>
          </cell>
        </row>
        <row r="25">
          <cell r="J25">
            <v>958.14586638581</v>
          </cell>
        </row>
        <row r="26">
          <cell r="J26">
            <v>1643.1254481286001</v>
          </cell>
        </row>
        <row r="27">
          <cell r="J27">
            <v>1868.4301533257001</v>
          </cell>
        </row>
        <row r="28">
          <cell r="J28">
            <v>1069.9785422709001</v>
          </cell>
        </row>
        <row r="29">
          <cell r="J29">
            <v>1552.809327788</v>
          </cell>
        </row>
        <row r="30">
          <cell r="J30">
            <v>982.37294237794003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"/>
      <sheetName val="NEFA"/>
      <sheetName val="Ins"/>
      <sheetName val="Gly"/>
      <sheetName val="TAG"/>
      <sheetName val="3OHB"/>
      <sheetName val="Urea"/>
      <sheetName val="Cholesterol"/>
      <sheetName val="ALT"/>
      <sheetName val="ApoB"/>
      <sheetName val="HOMA"/>
    </sheetNames>
    <sheetDataSet>
      <sheetData sheetId="0">
        <row r="6">
          <cell r="C6">
            <v>4.97</v>
          </cell>
          <cell r="D6">
            <v>5.22</v>
          </cell>
          <cell r="E6">
            <v>5.6189999999999998</v>
          </cell>
          <cell r="F6">
            <v>6.03</v>
          </cell>
          <cell r="G6">
            <v>5.3760000000000003</v>
          </cell>
          <cell r="H6">
            <v>5.7160000000000002</v>
          </cell>
          <cell r="I6">
            <v>6.1040000000000001</v>
          </cell>
          <cell r="J6">
            <v>4.8280000000000003</v>
          </cell>
          <cell r="K6">
            <v>5.883</v>
          </cell>
          <cell r="L6">
            <v>5.1470000000000002</v>
          </cell>
          <cell r="N6">
            <v>6.0910000000000002</v>
          </cell>
          <cell r="O6">
            <v>6.0380000000000003</v>
          </cell>
          <cell r="P6">
            <v>4.625</v>
          </cell>
          <cell r="Q6">
            <v>5.3120000000000003</v>
          </cell>
          <cell r="R6">
            <v>5.2249999999999996</v>
          </cell>
        </row>
        <row r="22">
          <cell r="C22">
            <v>5</v>
          </cell>
          <cell r="D22">
            <v>5.093</v>
          </cell>
          <cell r="E22">
            <v>5.42</v>
          </cell>
          <cell r="F22">
            <v>5.4290000000000003</v>
          </cell>
          <cell r="G22">
            <v>5.2779999999999996</v>
          </cell>
          <cell r="H22">
            <v>5.3659999999999997</v>
          </cell>
          <cell r="I22">
            <v>5.86</v>
          </cell>
          <cell r="J22">
            <v>4.9950000000000001</v>
          </cell>
          <cell r="K22">
            <v>5.2770000000000001</v>
          </cell>
          <cell r="L22">
            <v>4.9489999999999998</v>
          </cell>
          <cell r="N22">
            <v>6.4089999999999998</v>
          </cell>
          <cell r="O22">
            <v>5.6159999999999997</v>
          </cell>
          <cell r="P22">
            <v>5.1559999999999997</v>
          </cell>
          <cell r="Q22">
            <v>4.7210000000000001</v>
          </cell>
          <cell r="R22">
            <v>4.53</v>
          </cell>
        </row>
      </sheetData>
      <sheetData sheetId="1">
        <row r="6">
          <cell r="C6">
            <v>582.29999999999995</v>
          </cell>
          <cell r="D6">
            <v>422.1</v>
          </cell>
          <cell r="E6">
            <v>684.7</v>
          </cell>
          <cell r="F6">
            <v>194.8</v>
          </cell>
          <cell r="G6">
            <v>273.7</v>
          </cell>
          <cell r="H6">
            <v>261.65600000000001</v>
          </cell>
          <cell r="I6">
            <v>359.041</v>
          </cell>
          <cell r="J6">
            <v>313.88600000000002</v>
          </cell>
          <cell r="K6">
            <v>309.14999999999998</v>
          </cell>
          <cell r="L6">
            <v>376.48099999999999</v>
          </cell>
          <cell r="M6">
            <v>500.4</v>
          </cell>
          <cell r="N6">
            <v>384.2</v>
          </cell>
          <cell r="O6">
            <v>256.10000000000002</v>
          </cell>
          <cell r="P6">
            <v>411.4</v>
          </cell>
          <cell r="Q6">
            <v>355.9</v>
          </cell>
          <cell r="R6">
            <v>363.4</v>
          </cell>
        </row>
        <row r="22">
          <cell r="C22">
            <v>562.70000000000005</v>
          </cell>
          <cell r="D22">
            <v>287.3</v>
          </cell>
          <cell r="E22">
            <v>457.1</v>
          </cell>
          <cell r="F22">
            <v>256.10000000000002</v>
          </cell>
          <cell r="G22">
            <v>273.7</v>
          </cell>
          <cell r="H22">
            <v>289.54199999999997</v>
          </cell>
          <cell r="I22">
            <v>442.26600000000002</v>
          </cell>
          <cell r="J22">
            <v>559.31100000000004</v>
          </cell>
          <cell r="K22">
            <v>340.36599999999999</v>
          </cell>
          <cell r="L22">
            <v>191.7</v>
          </cell>
          <cell r="M22">
            <v>395.3</v>
          </cell>
          <cell r="N22">
            <v>558.29999999999995</v>
          </cell>
          <cell r="O22">
            <v>336.7</v>
          </cell>
          <cell r="P22">
            <v>381.1</v>
          </cell>
          <cell r="Q22">
            <v>186.2</v>
          </cell>
          <cell r="R22">
            <v>359</v>
          </cell>
        </row>
      </sheetData>
      <sheetData sheetId="2">
        <row r="6">
          <cell r="C6">
            <v>6.5540000000000003</v>
          </cell>
          <cell r="D6">
            <v>11.1015</v>
          </cell>
          <cell r="E6">
            <v>5.2690000000000001</v>
          </cell>
          <cell r="F6">
            <v>6.218</v>
          </cell>
          <cell r="G6">
            <v>6.5354999999999999</v>
          </cell>
          <cell r="H6">
            <v>21.677</v>
          </cell>
          <cell r="I6">
            <v>13.263</v>
          </cell>
          <cell r="J6">
            <v>6.5775000000000006</v>
          </cell>
          <cell r="K6">
            <v>8.3849999999999998</v>
          </cell>
          <cell r="L6">
            <v>6.8875000000000002</v>
          </cell>
          <cell r="M6">
            <v>2.056</v>
          </cell>
          <cell r="N6">
            <v>9.6980000000000004</v>
          </cell>
          <cell r="O6">
            <v>13.8085</v>
          </cell>
          <cell r="P6">
            <v>7.3784999999999998</v>
          </cell>
          <cell r="Q6">
            <v>5.7319999999999993</v>
          </cell>
          <cell r="R6">
            <v>15.454499999999999</v>
          </cell>
        </row>
        <row r="21">
          <cell r="C21">
            <v>7.8274999999999997</v>
          </cell>
          <cell r="D21">
            <v>8.4634999999999998</v>
          </cell>
          <cell r="E21">
            <v>9.532</v>
          </cell>
          <cell r="F21">
            <v>5.6615000000000002</v>
          </cell>
          <cell r="G21">
            <v>6.3849999999999998</v>
          </cell>
          <cell r="H21">
            <v>12.813000000000001</v>
          </cell>
          <cell r="I21">
            <v>11.144500000000001</v>
          </cell>
          <cell r="J21">
            <v>6.3599999999999994</v>
          </cell>
          <cell r="K21">
            <v>6.9860000000000007</v>
          </cell>
          <cell r="L21">
            <v>8.1575000000000006</v>
          </cell>
          <cell r="M21">
            <v>6.7490000000000006</v>
          </cell>
          <cell r="N21">
            <v>6.5035000000000007</v>
          </cell>
          <cell r="O21">
            <v>11.428000000000001</v>
          </cell>
          <cell r="P21">
            <v>7.3784999999999998</v>
          </cell>
          <cell r="Q21">
            <v>7.4910000000000005</v>
          </cell>
          <cell r="R21">
            <v>12.751999999999999</v>
          </cell>
        </row>
      </sheetData>
      <sheetData sheetId="3"/>
      <sheetData sheetId="4">
        <row r="6">
          <cell r="N6">
            <v>1527.9</v>
          </cell>
        </row>
      </sheetData>
      <sheetData sheetId="5">
        <row r="6">
          <cell r="C6">
            <v>79.5</v>
          </cell>
          <cell r="D6">
            <v>111</v>
          </cell>
          <cell r="E6">
            <v>63</v>
          </cell>
          <cell r="F6">
            <v>27.7</v>
          </cell>
          <cell r="G6">
            <v>28.3</v>
          </cell>
          <cell r="H6">
            <v>34.6</v>
          </cell>
          <cell r="I6">
            <v>37.200000000000003</v>
          </cell>
          <cell r="J6">
            <v>35.9</v>
          </cell>
          <cell r="K6">
            <v>38.1</v>
          </cell>
          <cell r="L6">
            <v>56.887999999999998</v>
          </cell>
          <cell r="M6">
            <v>75.599999999999994</v>
          </cell>
          <cell r="N6">
            <v>30.3</v>
          </cell>
          <cell r="O6">
            <v>26.3</v>
          </cell>
          <cell r="P6">
            <v>26.4</v>
          </cell>
          <cell r="Q6">
            <v>29.4</v>
          </cell>
          <cell r="R6">
            <v>24</v>
          </cell>
        </row>
        <row r="22">
          <cell r="C22">
            <v>106.7</v>
          </cell>
          <cell r="D22">
            <v>26.9</v>
          </cell>
          <cell r="E22">
            <v>40.6</v>
          </cell>
          <cell r="F22">
            <v>26.6</v>
          </cell>
          <cell r="G22">
            <v>49</v>
          </cell>
          <cell r="H22">
            <v>25.7</v>
          </cell>
          <cell r="I22">
            <v>34.6</v>
          </cell>
          <cell r="J22">
            <v>91.5</v>
          </cell>
          <cell r="K22">
            <v>40.6</v>
          </cell>
          <cell r="L22">
            <v>18.276</v>
          </cell>
          <cell r="M22">
            <v>73</v>
          </cell>
          <cell r="N22">
            <v>75</v>
          </cell>
          <cell r="O22">
            <v>26.2</v>
          </cell>
          <cell r="P22">
            <v>21.9</v>
          </cell>
          <cell r="Q22">
            <v>17.2</v>
          </cell>
          <cell r="R22">
            <v>22.8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"/>
      <sheetName val="NEFA"/>
      <sheetName val="Ins"/>
      <sheetName val="Gly"/>
      <sheetName val="TAG"/>
      <sheetName val="3OHB"/>
      <sheetName val="Urea"/>
      <sheetName val="Cholesterol"/>
      <sheetName val="ALT"/>
      <sheetName val="ApoB"/>
      <sheetName val="HOMA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C7">
            <v>3.85</v>
          </cell>
          <cell r="D7">
            <v>5.42</v>
          </cell>
          <cell r="E7">
            <v>5.04</v>
          </cell>
          <cell r="F7">
            <v>4.9000000000000004</v>
          </cell>
          <cell r="G7">
            <v>4.54</v>
          </cell>
          <cell r="H7">
            <v>3.87</v>
          </cell>
          <cell r="I7">
            <v>4.67</v>
          </cell>
          <cell r="J7">
            <v>6.67</v>
          </cell>
          <cell r="K7">
            <v>4.03</v>
          </cell>
          <cell r="L7">
            <v>4.72</v>
          </cell>
          <cell r="M7">
            <v>5.05</v>
          </cell>
          <cell r="N7">
            <v>3.83</v>
          </cell>
          <cell r="O7">
            <v>4.78</v>
          </cell>
          <cell r="P7">
            <v>3.79</v>
          </cell>
          <cell r="Q7">
            <v>4.32</v>
          </cell>
          <cell r="R7">
            <v>4.1900000000000004</v>
          </cell>
        </row>
        <row r="15">
          <cell r="C15">
            <v>4.0199999999999996</v>
          </cell>
          <cell r="D15">
            <v>5.21</v>
          </cell>
          <cell r="E15">
            <v>4.8</v>
          </cell>
          <cell r="F15">
            <v>4.0199999999999996</v>
          </cell>
          <cell r="G15">
            <v>4.91</v>
          </cell>
          <cell r="H15">
            <v>4.0599999999999996</v>
          </cell>
          <cell r="I15">
            <v>4.72</v>
          </cell>
          <cell r="J15">
            <v>6.22</v>
          </cell>
          <cell r="K15">
            <v>3.73</v>
          </cell>
          <cell r="L15">
            <v>4.74</v>
          </cell>
          <cell r="M15">
            <v>3.77</v>
          </cell>
          <cell r="N15">
            <v>4.05</v>
          </cell>
          <cell r="O15">
            <v>4.0999999999999996</v>
          </cell>
          <cell r="P15">
            <v>3.71</v>
          </cell>
          <cell r="Q15">
            <v>3.31</v>
          </cell>
          <cell r="R15">
            <v>3.87</v>
          </cell>
        </row>
        <row r="24">
          <cell r="C24">
            <v>1.21</v>
          </cell>
          <cell r="D24">
            <v>1.26</v>
          </cell>
          <cell r="E24">
            <v>1.45</v>
          </cell>
          <cell r="F24">
            <v>1.1399999999999999</v>
          </cell>
          <cell r="G24">
            <v>1.74</v>
          </cell>
          <cell r="H24">
            <v>1.33</v>
          </cell>
          <cell r="I24">
            <v>1.4</v>
          </cell>
          <cell r="J24">
            <v>1.52</v>
          </cell>
          <cell r="K24">
            <v>0.87</v>
          </cell>
          <cell r="L24">
            <v>1.24</v>
          </cell>
          <cell r="M24">
            <v>1.22</v>
          </cell>
          <cell r="N24">
            <v>0.89</v>
          </cell>
          <cell r="O24">
            <v>1.1100000000000001</v>
          </cell>
          <cell r="P24">
            <v>0.82</v>
          </cell>
          <cell r="Q24">
            <v>0.81</v>
          </cell>
          <cell r="R24">
            <v>0.77</v>
          </cell>
        </row>
        <row r="32">
          <cell r="C32">
            <v>0.97</v>
          </cell>
          <cell r="D32">
            <v>0.99</v>
          </cell>
          <cell r="E32">
            <v>1.1399999999999999</v>
          </cell>
          <cell r="F32">
            <v>0.9</v>
          </cell>
          <cell r="G32">
            <v>1.45</v>
          </cell>
          <cell r="H32">
            <v>1.1599999999999999</v>
          </cell>
          <cell r="I32">
            <v>1.26</v>
          </cell>
          <cell r="J32">
            <v>1.37</v>
          </cell>
          <cell r="K32">
            <v>0.8</v>
          </cell>
          <cell r="L32">
            <v>1.0900000000000001</v>
          </cell>
          <cell r="M32">
            <v>1.01</v>
          </cell>
          <cell r="N32">
            <v>1.02</v>
          </cell>
          <cell r="O32">
            <v>0.85</v>
          </cell>
          <cell r="P32">
            <v>0.72</v>
          </cell>
          <cell r="Q32">
            <v>0.67</v>
          </cell>
          <cell r="R32">
            <v>0.68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sma H2O"/>
      <sheetName val="sf20-400 ttr 16-background"/>
      <sheetName val="16 DNL 20-400"/>
      <sheetName val="Bound TTR minus background"/>
      <sheetName val="16 DNL Bound"/>
    </sheetNames>
    <sheetDataSet>
      <sheetData sheetId="0">
        <row r="4">
          <cell r="B4">
            <v>2.503733973112909E-3</v>
          </cell>
          <cell r="C4">
            <v>3.929927581996724E-3</v>
          </cell>
          <cell r="D4">
            <v>3.9933320889271665E-3</v>
          </cell>
          <cell r="E4">
            <v>3.4760303300833718E-3</v>
          </cell>
          <cell r="F4">
            <v>3.6517655472245768E-3</v>
          </cell>
          <cell r="G4">
            <v>4.3806606256945107E-3</v>
          </cell>
          <cell r="H4">
            <v>3.648316431566781E-3</v>
          </cell>
          <cell r="I4">
            <v>4.1877805904774806E-3</v>
          </cell>
          <cell r="J4">
            <v>3.3542100664012038E-3</v>
          </cell>
          <cell r="K4">
            <v>3.6242849103011801E-3</v>
          </cell>
          <cell r="L4">
            <v>3.5767405922941661E-3</v>
          </cell>
          <cell r="M4">
            <v>3.231763803790992E-3</v>
          </cell>
          <cell r="N4">
            <v>3.2417759491745243E-3</v>
          </cell>
          <cell r="O4">
            <v>3.0725823368983243E-3</v>
          </cell>
          <cell r="P4">
            <v>3.2314888403463466E-3</v>
          </cell>
          <cell r="Q4">
            <v>4.3984078956598423E-3</v>
          </cell>
        </row>
        <row r="13">
          <cell r="B13">
            <v>2.5496822911872333E-3</v>
          </cell>
          <cell r="C13">
            <v>3.9961898078031298E-3</v>
          </cell>
          <cell r="D13">
            <v>3.9127939618400854E-3</v>
          </cell>
          <cell r="E13">
            <v>3.3573511889425298E-3</v>
          </cell>
          <cell r="F13">
            <v>3.4923738940805483E-3</v>
          </cell>
          <cell r="G13">
            <v>4.7088853028743665E-3</v>
          </cell>
          <cell r="H13">
            <v>3.7427497332805136E-3</v>
          </cell>
          <cell r="I13">
            <v>4.081655129419875E-3</v>
          </cell>
          <cell r="J13">
            <v>3.2280132311838495E-3</v>
          </cell>
          <cell r="K13">
            <v>3.2625387578907429E-3</v>
          </cell>
          <cell r="L13">
            <v>3.5945397333543398E-3</v>
          </cell>
          <cell r="M13">
            <v>3.1081410459913687E-3</v>
          </cell>
          <cell r="N13">
            <v>2.8742163249293688E-3</v>
          </cell>
          <cell r="O13">
            <v>3.3281768058524832E-3</v>
          </cell>
          <cell r="P13">
            <v>3.2925069115230764E-3</v>
          </cell>
          <cell r="Q13">
            <v>4.2224720694895735E-3</v>
          </cell>
        </row>
      </sheetData>
      <sheetData sheetId="1"/>
      <sheetData sheetId="2">
        <row r="4">
          <cell r="B4">
            <v>6.5077489795418</v>
          </cell>
          <cell r="C4">
            <v>0.7720459907617796</v>
          </cell>
          <cell r="D4">
            <v>0.66394245111992045</v>
          </cell>
          <cell r="E4">
            <v>0.47557371301506612</v>
          </cell>
          <cell r="F4">
            <v>7.566147566543151</v>
          </cell>
          <cell r="H4">
            <v>5.3695681947842848</v>
          </cell>
          <cell r="I4">
            <v>1.6941938523828228</v>
          </cell>
          <cell r="J4">
            <v>9.4069506298581729</v>
          </cell>
          <cell r="K4">
            <v>1.5923501359849002</v>
          </cell>
          <cell r="L4">
            <v>3.9142528056106149</v>
          </cell>
          <cell r="M4">
            <v>8.0493189755567425</v>
          </cell>
          <cell r="N4">
            <v>5.5563109555892867</v>
          </cell>
          <cell r="O4">
            <v>15.382164761086953</v>
          </cell>
          <cell r="P4">
            <v>0.74140655130449951</v>
          </cell>
        </row>
        <row r="14">
          <cell r="B14">
            <v>0.98744399946304362</v>
          </cell>
          <cell r="C14">
            <v>6.6968473688921826</v>
          </cell>
          <cell r="D14">
            <v>4.3394837035248521</v>
          </cell>
          <cell r="E14">
            <v>3.3564097417710133</v>
          </cell>
          <cell r="F14">
            <v>4.2862894265698532</v>
          </cell>
          <cell r="H14">
            <v>5.3949222932373342</v>
          </cell>
          <cell r="I14">
            <v>2.5021454195388309</v>
          </cell>
          <cell r="J14">
            <v>7.5229836503120335</v>
          </cell>
          <cell r="K14">
            <v>16.347803296417133</v>
          </cell>
          <cell r="L14">
            <v>6.4611654228796169</v>
          </cell>
          <cell r="M14">
            <v>1.9348157069555061</v>
          </cell>
          <cell r="N14">
            <v>5.6090200617632213</v>
          </cell>
          <cell r="O14">
            <v>9.7562254563401041</v>
          </cell>
          <cell r="P14">
            <v>6.5297702813806922</v>
          </cell>
          <cell r="Q14">
            <v>7.7720914983028688</v>
          </cell>
        </row>
      </sheetData>
      <sheetData sheetId="3"/>
      <sheetData sheetId="4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entrations"/>
      <sheetName val="2"/>
    </sheetNames>
    <sheetDataSet>
      <sheetData sheetId="0">
        <row r="22">
          <cell r="D22">
            <v>55.756788235250518</v>
          </cell>
          <cell r="E22">
            <v>231.07128334704922</v>
          </cell>
          <cell r="F22">
            <v>560.35609960999977</v>
          </cell>
          <cell r="G22">
            <v>167.66015460855883</v>
          </cell>
          <cell r="H22">
            <v>59.514709701018056</v>
          </cell>
          <cell r="J22">
            <v>281.82277701995457</v>
          </cell>
          <cell r="K22">
            <v>209.44179827239259</v>
          </cell>
          <cell r="L22">
            <v>404.14051850894424</v>
          </cell>
          <cell r="M22">
            <v>136.0481483855776</v>
          </cell>
          <cell r="N22">
            <v>75.744109090909092</v>
          </cell>
          <cell r="O22">
            <v>126.46432188321359</v>
          </cell>
          <cell r="P22">
            <v>89.378649576781399</v>
          </cell>
          <cell r="R22">
            <v>88.091556867087945</v>
          </cell>
          <cell r="Z22">
            <v>1089.1734150000002</v>
          </cell>
          <cell r="AA22">
            <v>163.53596132120245</v>
          </cell>
          <cell r="AB22">
            <v>518.76080809613711</v>
          </cell>
          <cell r="AC22">
            <v>112.39981089341194</v>
          </cell>
          <cell r="AD22">
            <v>170.2267779968515</v>
          </cell>
          <cell r="AF22">
            <v>314.47970260347086</v>
          </cell>
          <cell r="AG22">
            <v>202.54918447702241</v>
          </cell>
          <cell r="AH22">
            <v>549.94791960830275</v>
          </cell>
          <cell r="AI22">
            <v>103.94065667435733</v>
          </cell>
          <cell r="AJ22">
            <v>450.96148988223081</v>
          </cell>
          <cell r="AK22">
            <v>339.46551162121835</v>
          </cell>
          <cell r="AL22">
            <v>207.1310046330486</v>
          </cell>
          <cell r="AN22">
            <v>100.54925756249999</v>
          </cell>
        </row>
      </sheetData>
      <sheetData sheetId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Lactate"/>
      <sheetName val="Ranbut 3-OHB"/>
      <sheetName val="Apo B, HDL, iChol, ALT, wCRP"/>
      <sheetName val="Insulin"/>
    </sheetNames>
    <sheetDataSet>
      <sheetData sheetId="0">
        <row r="5">
          <cell r="C5">
            <v>5.54</v>
          </cell>
        </row>
        <row r="20">
          <cell r="C20">
            <v>4.8529999999999998</v>
          </cell>
        </row>
      </sheetData>
      <sheetData sheetId="1"/>
      <sheetData sheetId="2"/>
      <sheetData sheetId="3">
        <row r="5">
          <cell r="C5">
            <v>962.8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rted by insulin"/>
      <sheetName val="Participant characteristics"/>
      <sheetName val="males"/>
      <sheetName val="females"/>
      <sheetName val="FA composition"/>
      <sheetName val="Isotopic data"/>
      <sheetName val="Ratios (2)"/>
      <sheetName val="Ratios"/>
    </sheetNames>
    <sheetDataSet>
      <sheetData sheetId="0"/>
      <sheetData sheetId="1">
        <row r="31">
          <cell r="J31">
            <v>1199.4689381808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llated DNL studies"/>
      <sheetName val="Sheet1"/>
    </sheetNames>
    <sheetDataSet>
      <sheetData sheetId="0" refreshError="1">
        <row r="137">
          <cell r="BF137">
            <v>5.4795258174234043</v>
          </cell>
        </row>
      </sheetData>
      <sheetData sheetId="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acteristics"/>
      <sheetName val="Anthro, DXA, Liver fat"/>
      <sheetName val="FAT and CHO oxidation rates"/>
      <sheetName val="GEM CO2, RQ"/>
      <sheetName val="Glycerol"/>
      <sheetName val="NEFA"/>
      <sheetName val="TAG"/>
      <sheetName val="Glucose"/>
      <sheetName val="Lactate"/>
      <sheetName val="Urea"/>
      <sheetName val="Insulin+HOMA"/>
      <sheetName val="3-OHB"/>
      <sheetName val="FGF21"/>
      <sheetName val="Apo B, Cholesterol, HDL, ALT"/>
      <sheetName val="Lipoproteins"/>
      <sheetName val="plasma TG_13C_Visit A"/>
      <sheetName val="plasma TG_13C_Visit B"/>
      <sheetName val="plasma TG_D2infus_Visit A"/>
      <sheetName val="plasma TG_D2infus_Visit B"/>
      <sheetName val="plasma NEFA_13C_Visit A"/>
      <sheetName val="plasma NEFA_13C_Visit B"/>
      <sheetName val="plasma NEFA_D2infus_Visit A "/>
      <sheetName val="plasma NEFA_D2infus_Visit B"/>
      <sheetName val="VLDL D2 16.0 TG Visit A"/>
      <sheetName val="VLDL D2 16.0 TG Visit B "/>
      <sheetName val="Bound D2 16.0 TG Visit A"/>
      <sheetName val="Bound D2 16.0 TG Visit B"/>
      <sheetName val="Chylo_13C_Visit A"/>
      <sheetName val="Chylo_13C_Visit B"/>
      <sheetName val="VLDL 13C 16.0 TG Visit A"/>
      <sheetName val="VLDL 13C 16.0 TG Visit B"/>
      <sheetName val="Bound 13C 16.0 TG Visit A"/>
      <sheetName val="Bound 13C 16.0 TG Visit B"/>
      <sheetName val="Breath 13CO2 Visit A"/>
      <sheetName val="Breath 13CO2 Visit B"/>
      <sheetName val="DNL_Bounds Visit A"/>
      <sheetName val="DNL_Bounds Visit B"/>
    </sheetNames>
    <sheetDataSet>
      <sheetData sheetId="0" refreshError="1">
        <row r="8">
          <cell r="B8">
            <v>53</v>
          </cell>
          <cell r="C8">
            <v>47</v>
          </cell>
          <cell r="D8">
            <v>51</v>
          </cell>
          <cell r="E8">
            <v>48</v>
          </cell>
          <cell r="F8">
            <v>51</v>
          </cell>
          <cell r="H8">
            <v>49</v>
          </cell>
          <cell r="I8">
            <v>47</v>
          </cell>
          <cell r="J8">
            <v>45</v>
          </cell>
          <cell r="K8">
            <v>50</v>
          </cell>
          <cell r="L8">
            <v>51</v>
          </cell>
          <cell r="M8">
            <v>39</v>
          </cell>
          <cell r="N8">
            <v>50</v>
          </cell>
          <cell r="O8">
            <v>52</v>
          </cell>
          <cell r="P8">
            <v>53</v>
          </cell>
          <cell r="Q8">
            <v>45</v>
          </cell>
          <cell r="R8">
            <v>45</v>
          </cell>
        </row>
      </sheetData>
      <sheetData sheetId="1" refreshError="1">
        <row r="5">
          <cell r="B5">
            <v>75.8</v>
          </cell>
          <cell r="C5">
            <v>76.2</v>
          </cell>
          <cell r="D5">
            <v>94.2</v>
          </cell>
          <cell r="E5">
            <v>52.9</v>
          </cell>
          <cell r="F5">
            <v>101.1</v>
          </cell>
          <cell r="H5">
            <v>63.5</v>
          </cell>
          <cell r="I5">
            <v>105.7</v>
          </cell>
          <cell r="J5">
            <v>80.2</v>
          </cell>
          <cell r="K5">
            <v>73</v>
          </cell>
          <cell r="L5">
            <v>81.5</v>
          </cell>
          <cell r="M5">
            <v>93.6</v>
          </cell>
          <cell r="N5">
            <v>67.8</v>
          </cell>
          <cell r="O5">
            <v>86.9</v>
          </cell>
          <cell r="P5">
            <v>69.599999999999994</v>
          </cell>
          <cell r="Q5">
            <v>90.4</v>
          </cell>
          <cell r="R5">
            <v>83.2</v>
          </cell>
        </row>
        <row r="6">
          <cell r="B6">
            <v>166</v>
          </cell>
          <cell r="C6">
            <v>180</v>
          </cell>
          <cell r="D6">
            <v>178</v>
          </cell>
          <cell r="E6">
            <v>155</v>
          </cell>
          <cell r="F6">
            <v>172</v>
          </cell>
          <cell r="H6">
            <v>166</v>
          </cell>
          <cell r="I6">
            <v>184</v>
          </cell>
          <cell r="J6">
            <v>180</v>
          </cell>
          <cell r="K6">
            <v>169</v>
          </cell>
          <cell r="L6">
            <v>173</v>
          </cell>
          <cell r="M6">
            <v>182</v>
          </cell>
          <cell r="N6">
            <v>164</v>
          </cell>
          <cell r="O6">
            <v>176</v>
          </cell>
          <cell r="P6">
            <v>179</v>
          </cell>
          <cell r="Q6">
            <v>170</v>
          </cell>
          <cell r="R6">
            <v>181</v>
          </cell>
        </row>
        <row r="8">
          <cell r="B8">
            <v>85</v>
          </cell>
          <cell r="C8">
            <v>85</v>
          </cell>
          <cell r="D8">
            <v>104</v>
          </cell>
          <cell r="E8">
            <v>71</v>
          </cell>
          <cell r="F8">
            <v>110</v>
          </cell>
          <cell r="H8">
            <v>75</v>
          </cell>
          <cell r="I8">
            <v>105</v>
          </cell>
          <cell r="J8">
            <v>90</v>
          </cell>
          <cell r="K8">
            <v>87</v>
          </cell>
          <cell r="L8">
            <v>97</v>
          </cell>
          <cell r="M8">
            <v>95</v>
          </cell>
          <cell r="N8">
            <v>82</v>
          </cell>
          <cell r="O8">
            <v>96</v>
          </cell>
          <cell r="P8">
            <v>71</v>
          </cell>
          <cell r="Q8">
            <v>100</v>
          </cell>
          <cell r="R8">
            <v>89</v>
          </cell>
        </row>
        <row r="19">
          <cell r="B19">
            <v>11757.809644860001</v>
          </cell>
          <cell r="C19">
            <v>11903.336743541</v>
          </cell>
          <cell r="D19">
            <v>32473.931995497001</v>
          </cell>
          <cell r="E19">
            <v>14716.867839397</v>
          </cell>
          <cell r="F19">
            <v>41876.253297304</v>
          </cell>
          <cell r="H19">
            <v>19569.043729361001</v>
          </cell>
          <cell r="I19">
            <v>33884.635297781002</v>
          </cell>
          <cell r="J19">
            <v>21692.878159070999</v>
          </cell>
          <cell r="K19">
            <v>29886.621720990999</v>
          </cell>
          <cell r="L19">
            <v>21381.668348531999</v>
          </cell>
          <cell r="O19">
            <v>20759</v>
          </cell>
          <cell r="R19">
            <v>18049</v>
          </cell>
        </row>
        <row r="20">
          <cell r="B20">
            <v>62617.963468372996</v>
          </cell>
          <cell r="C20">
            <v>60716.528168696001</v>
          </cell>
          <cell r="D20">
            <v>58930.257620119002</v>
          </cell>
          <cell r="E20">
            <v>36187.919547156998</v>
          </cell>
          <cell r="F20">
            <v>55137.732429055002</v>
          </cell>
          <cell r="H20">
            <v>41413.576709948</v>
          </cell>
          <cell r="I20">
            <v>67575.288749337997</v>
          </cell>
          <cell r="J20">
            <v>54920.472689157999</v>
          </cell>
          <cell r="K20">
            <v>40250.981458141003</v>
          </cell>
          <cell r="L20">
            <v>56223.318220931003</v>
          </cell>
          <cell r="O20">
            <v>61988</v>
          </cell>
          <cell r="R20">
            <v>61237</v>
          </cell>
        </row>
        <row r="27">
          <cell r="B27">
            <v>44.081997781406997</v>
          </cell>
          <cell r="C27">
            <v>660.67841184813005</v>
          </cell>
          <cell r="D27">
            <v>2109.1224918564999</v>
          </cell>
          <cell r="E27">
            <v>0.152158584253</v>
          </cell>
          <cell r="F27">
            <v>3347.3785451910999</v>
          </cell>
          <cell r="H27">
            <v>623.77211829369003</v>
          </cell>
          <cell r="I27">
            <v>2099.9199084451998</v>
          </cell>
          <cell r="J27">
            <v>1127.3825293934999</v>
          </cell>
          <cell r="K27">
            <v>441.72048109870002</v>
          </cell>
          <cell r="L27">
            <v>1518.8444895192999</v>
          </cell>
          <cell r="O27">
            <v>1005</v>
          </cell>
          <cell r="R27">
            <v>906</v>
          </cell>
        </row>
        <row r="33">
          <cell r="B33">
            <v>77.2</v>
          </cell>
          <cell r="C33">
            <v>76.599999999999994</v>
          </cell>
          <cell r="D33">
            <v>93.2</v>
          </cell>
          <cell r="E33">
            <v>54.5</v>
          </cell>
          <cell r="F33">
            <v>102</v>
          </cell>
          <cell r="H33">
            <v>63.7</v>
          </cell>
          <cell r="I33">
            <v>107.3</v>
          </cell>
          <cell r="J33">
            <v>81.7</v>
          </cell>
          <cell r="K33">
            <v>74.2</v>
          </cell>
          <cell r="L33">
            <v>81.3</v>
          </cell>
          <cell r="M33">
            <v>92.5</v>
          </cell>
          <cell r="N33">
            <v>67.8</v>
          </cell>
          <cell r="O33">
            <v>88.2</v>
          </cell>
          <cell r="P33">
            <v>68.8</v>
          </cell>
          <cell r="Q33">
            <v>87.9</v>
          </cell>
          <cell r="R33">
            <v>82.7</v>
          </cell>
        </row>
        <row r="36">
          <cell r="B36">
            <v>86</v>
          </cell>
          <cell r="C36">
            <v>84</v>
          </cell>
          <cell r="D36">
            <v>103</v>
          </cell>
          <cell r="E36">
            <v>70</v>
          </cell>
          <cell r="F36">
            <v>111</v>
          </cell>
          <cell r="H36">
            <v>74</v>
          </cell>
          <cell r="I36">
            <v>107</v>
          </cell>
          <cell r="K36">
            <v>87</v>
          </cell>
          <cell r="L36">
            <v>98</v>
          </cell>
          <cell r="M36">
            <v>95</v>
          </cell>
          <cell r="N36">
            <v>84</v>
          </cell>
          <cell r="O36">
            <v>95</v>
          </cell>
          <cell r="P36">
            <v>75</v>
          </cell>
          <cell r="Q36">
            <v>89</v>
          </cell>
          <cell r="R36">
            <v>90</v>
          </cell>
        </row>
        <row r="47">
          <cell r="B47">
            <v>11768.160810453999</v>
          </cell>
          <cell r="C47">
            <v>11281.60185418</v>
          </cell>
          <cell r="D47">
            <v>31600.458702348002</v>
          </cell>
          <cell r="E47">
            <v>15040.542793189001</v>
          </cell>
          <cell r="F47">
            <v>42455.238010679001</v>
          </cell>
          <cell r="H47">
            <v>19881.333785890001</v>
          </cell>
          <cell r="I47">
            <v>33722.398504488003</v>
          </cell>
          <cell r="J47">
            <v>23367.834807620999</v>
          </cell>
          <cell r="K47">
            <v>29755.486082037001</v>
          </cell>
          <cell r="L47">
            <v>20987.190994361001</v>
          </cell>
          <cell r="O47">
            <v>21021</v>
          </cell>
          <cell r="R47">
            <v>17226</v>
          </cell>
        </row>
        <row r="48">
          <cell r="B48">
            <v>61266.338075175001</v>
          </cell>
          <cell r="C48">
            <v>61806.750897696002</v>
          </cell>
          <cell r="D48">
            <v>58284.392326882997</v>
          </cell>
          <cell r="E48">
            <v>36187.919547156998</v>
          </cell>
          <cell r="F48">
            <v>55149.112174645001</v>
          </cell>
          <cell r="H48">
            <v>41161.789583867001</v>
          </cell>
          <cell r="I48">
            <v>68762.354195826003</v>
          </cell>
          <cell r="J48">
            <v>55213.413544169998</v>
          </cell>
          <cell r="K48">
            <v>42098.234487414004</v>
          </cell>
          <cell r="L48">
            <v>56676.304925588003</v>
          </cell>
          <cell r="O48">
            <v>62957</v>
          </cell>
          <cell r="R48">
            <v>61215</v>
          </cell>
        </row>
        <row r="55">
          <cell r="B55">
            <v>160.29951236034</v>
          </cell>
          <cell r="C55">
            <v>585.96722371099997</v>
          </cell>
          <cell r="D55">
            <v>1906.7877035772001</v>
          </cell>
          <cell r="E55">
            <v>74.178363432846993</v>
          </cell>
          <cell r="F55">
            <v>3325.7360139984999</v>
          </cell>
          <cell r="H55">
            <v>596.98182924054004</v>
          </cell>
          <cell r="I55">
            <v>2167.9806801926002</v>
          </cell>
          <cell r="J55">
            <v>1147.5537507935001</v>
          </cell>
          <cell r="K55">
            <v>423.77481483477999</v>
          </cell>
          <cell r="L55">
            <v>1394.2534871477999</v>
          </cell>
          <cell r="O55">
            <v>1061</v>
          </cell>
          <cell r="R55">
            <v>887</v>
          </cell>
        </row>
      </sheetData>
      <sheetData sheetId="2" refreshError="1"/>
      <sheetData sheetId="3" refreshError="1"/>
      <sheetData sheetId="4" refreshError="1"/>
      <sheetData sheetId="5" refreshError="1">
        <row r="7">
          <cell r="B7">
            <v>263.697</v>
          </cell>
          <cell r="C7">
            <v>1054.307</v>
          </cell>
          <cell r="D7">
            <v>325.45499999999998</v>
          </cell>
          <cell r="E7">
            <v>662.00300000000004</v>
          </cell>
          <cell r="F7">
            <v>650.9</v>
          </cell>
          <cell r="H7">
            <v>416.1</v>
          </cell>
          <cell r="I7">
            <v>589.9</v>
          </cell>
          <cell r="J7">
            <v>339.9</v>
          </cell>
          <cell r="K7">
            <v>602.70000000000005</v>
          </cell>
          <cell r="L7">
            <v>419.3</v>
          </cell>
          <cell r="M7">
            <v>481.1</v>
          </cell>
          <cell r="N7">
            <v>369.5</v>
          </cell>
          <cell r="O7">
            <v>469</v>
          </cell>
          <cell r="P7">
            <v>1072.9000000000001</v>
          </cell>
          <cell r="Q7">
            <v>472.7</v>
          </cell>
          <cell r="R7">
            <v>478.7</v>
          </cell>
        </row>
        <row r="23">
          <cell r="B23">
            <v>248.965</v>
          </cell>
          <cell r="C23">
            <v>637.40800000000002</v>
          </cell>
          <cell r="D23">
            <v>485.233</v>
          </cell>
          <cell r="E23">
            <v>464.93599999999998</v>
          </cell>
          <cell r="F23">
            <v>573.9</v>
          </cell>
          <cell r="H23">
            <v>391.9</v>
          </cell>
          <cell r="I23">
            <v>171.8</v>
          </cell>
          <cell r="J23">
            <v>239.3</v>
          </cell>
          <cell r="K23">
            <v>471.75</v>
          </cell>
          <cell r="L23">
            <v>84.6</v>
          </cell>
          <cell r="M23">
            <v>356.8</v>
          </cell>
          <cell r="N23">
            <v>391.1</v>
          </cell>
          <cell r="O23">
            <v>261.10000000000002</v>
          </cell>
          <cell r="P23">
            <v>547.20000000000005</v>
          </cell>
          <cell r="Q23">
            <v>577.6</v>
          </cell>
          <cell r="R23">
            <v>486</v>
          </cell>
        </row>
      </sheetData>
      <sheetData sheetId="6" refreshError="1">
        <row r="7">
          <cell r="B7">
            <v>595.93499999999995</v>
          </cell>
          <cell r="C7">
            <v>1057.212</v>
          </cell>
          <cell r="D7">
            <v>1689.855</v>
          </cell>
          <cell r="E7">
            <v>361.71999999999997</v>
          </cell>
          <cell r="F7">
            <v>1936.6999999999998</v>
          </cell>
          <cell r="H7">
            <v>2034.4999999999998</v>
          </cell>
          <cell r="I7">
            <v>1263.9000000000001</v>
          </cell>
          <cell r="J7">
            <v>1153</v>
          </cell>
          <cell r="K7">
            <v>321.20000000000005</v>
          </cell>
          <cell r="L7">
            <v>459.4</v>
          </cell>
          <cell r="M7">
            <v>707.5</v>
          </cell>
          <cell r="N7">
            <v>602.80000000000007</v>
          </cell>
          <cell r="O7">
            <v>1084.8</v>
          </cell>
          <cell r="P7">
            <v>558</v>
          </cell>
          <cell r="Q7">
            <v>548.70000000000005</v>
          </cell>
          <cell r="R7">
            <v>978.9</v>
          </cell>
        </row>
        <row r="23">
          <cell r="B23">
            <v>533.66</v>
          </cell>
          <cell r="C23">
            <v>1413.1009999999999</v>
          </cell>
          <cell r="D23">
            <v>2602.8939999999998</v>
          </cell>
          <cell r="E23">
            <v>415</v>
          </cell>
          <cell r="F23">
            <v>2262.5</v>
          </cell>
          <cell r="H23">
            <v>1524</v>
          </cell>
          <cell r="I23">
            <v>1728.1000000000001</v>
          </cell>
          <cell r="J23">
            <v>1481.1999999999998</v>
          </cell>
          <cell r="K23">
            <v>1050.4000000000001</v>
          </cell>
          <cell r="L23">
            <v>818.3</v>
          </cell>
          <cell r="M23">
            <v>854</v>
          </cell>
          <cell r="N23">
            <v>587.69999999999993</v>
          </cell>
          <cell r="O23">
            <v>1567.1000000000001</v>
          </cell>
          <cell r="P23">
            <v>644.20000000000005</v>
          </cell>
          <cell r="Q23">
            <v>645.79999999999995</v>
          </cell>
          <cell r="R23">
            <v>938.69999999999993</v>
          </cell>
        </row>
      </sheetData>
      <sheetData sheetId="7" refreshError="1">
        <row r="7">
          <cell r="B7">
            <v>4.8150000000000004</v>
          </cell>
          <cell r="C7">
            <v>5.0540000000000003</v>
          </cell>
          <cell r="D7">
            <v>5.1840000000000002</v>
          </cell>
          <cell r="E7">
            <v>4.6120000000000001</v>
          </cell>
          <cell r="F7">
            <v>5.3849999999999998</v>
          </cell>
          <cell r="H7">
            <v>5.6340000000000003</v>
          </cell>
          <cell r="I7">
            <v>5.7149999999999999</v>
          </cell>
          <cell r="J7">
            <v>4.83</v>
          </cell>
          <cell r="K7">
            <v>3.4239999999999999</v>
          </cell>
          <cell r="L7">
            <v>3.911</v>
          </cell>
          <cell r="M7">
            <v>5.258</v>
          </cell>
          <cell r="N7">
            <v>5.2249999999999996</v>
          </cell>
          <cell r="O7">
            <v>5.5670000000000002</v>
          </cell>
          <cell r="P7">
            <v>4.8959999999999999</v>
          </cell>
          <cell r="Q7">
            <v>5.0739999999999998</v>
          </cell>
          <cell r="R7">
            <v>4.8109999999999999</v>
          </cell>
        </row>
        <row r="23">
          <cell r="B23">
            <v>4.774</v>
          </cell>
          <cell r="C23">
            <v>4.6890000000000001</v>
          </cell>
          <cell r="D23">
            <v>4.9539999999999997</v>
          </cell>
          <cell r="E23">
            <v>5.0579999999999998</v>
          </cell>
          <cell r="F23">
            <v>5.226</v>
          </cell>
          <cell r="H23">
            <v>6.048</v>
          </cell>
          <cell r="I23">
            <v>5.4850000000000003</v>
          </cell>
          <cell r="J23">
            <v>5.1369999999999996</v>
          </cell>
          <cell r="K23">
            <v>4.3040000000000003</v>
          </cell>
          <cell r="L23">
            <v>5.2469999999999999</v>
          </cell>
          <cell r="M23">
            <v>5.1760000000000002</v>
          </cell>
          <cell r="N23">
            <v>5.54</v>
          </cell>
          <cell r="O23">
            <v>5.3440000000000003</v>
          </cell>
          <cell r="P23">
            <v>5.1219999999999999</v>
          </cell>
          <cell r="Q23">
            <v>5.0940000000000003</v>
          </cell>
          <cell r="R23">
            <v>4.8929999999999998</v>
          </cell>
        </row>
      </sheetData>
      <sheetData sheetId="8" refreshError="1"/>
      <sheetData sheetId="9" refreshError="1"/>
      <sheetData sheetId="10" refreshError="1"/>
      <sheetData sheetId="11" refreshError="1">
        <row r="7">
          <cell r="B7">
            <v>44.2</v>
          </cell>
          <cell r="C7">
            <v>83.1</v>
          </cell>
          <cell r="D7">
            <v>20.6</v>
          </cell>
          <cell r="E7">
            <v>280.2</v>
          </cell>
          <cell r="F7">
            <v>228.1</v>
          </cell>
          <cell r="H7">
            <v>31</v>
          </cell>
          <cell r="I7">
            <v>153.1</v>
          </cell>
          <cell r="J7">
            <v>106.7</v>
          </cell>
          <cell r="K7">
            <v>311.5</v>
          </cell>
          <cell r="L7">
            <v>27.3</v>
          </cell>
          <cell r="M7">
            <v>65.099999999999994</v>
          </cell>
          <cell r="N7">
            <v>28</v>
          </cell>
          <cell r="O7">
            <v>84</v>
          </cell>
          <cell r="P7">
            <v>159.9</v>
          </cell>
          <cell r="Q7">
            <v>69.099999999999994</v>
          </cell>
          <cell r="R7">
            <v>40</v>
          </cell>
        </row>
        <row r="25">
          <cell r="B25">
            <v>24.4</v>
          </cell>
          <cell r="C25">
            <v>30.6</v>
          </cell>
          <cell r="D25">
            <v>13.3</v>
          </cell>
          <cell r="E25">
            <v>23.9</v>
          </cell>
          <cell r="F25">
            <v>46.6</v>
          </cell>
          <cell r="H25">
            <v>34.700000000000003</v>
          </cell>
          <cell r="I25">
            <v>25</v>
          </cell>
          <cell r="J25">
            <v>28.9</v>
          </cell>
          <cell r="K25">
            <v>25.6</v>
          </cell>
          <cell r="L25">
            <v>60.2</v>
          </cell>
          <cell r="M25">
            <v>35.5</v>
          </cell>
          <cell r="N25">
            <v>20.6</v>
          </cell>
          <cell r="O25">
            <v>27.3</v>
          </cell>
          <cell r="P25">
            <v>43.7</v>
          </cell>
          <cell r="Q25">
            <v>61.6</v>
          </cell>
          <cell r="R25">
            <v>39.1</v>
          </cell>
        </row>
      </sheetData>
      <sheetData sheetId="12" refreshError="1"/>
      <sheetData sheetId="13" refreshError="1">
        <row r="17">
          <cell r="B17">
            <v>4.82</v>
          </cell>
          <cell r="C17">
            <v>3.82</v>
          </cell>
          <cell r="D17">
            <v>5.03</v>
          </cell>
          <cell r="E17">
            <v>4.53</v>
          </cell>
          <cell r="F17">
            <v>4.13</v>
          </cell>
          <cell r="H17">
            <v>3.96</v>
          </cell>
          <cell r="I17">
            <v>5.34</v>
          </cell>
          <cell r="J17">
            <v>3.95</v>
          </cell>
          <cell r="K17">
            <v>3.26</v>
          </cell>
          <cell r="L17">
            <v>2.8</v>
          </cell>
          <cell r="M17">
            <v>3.05</v>
          </cell>
          <cell r="N17">
            <v>3.41</v>
          </cell>
          <cell r="O17">
            <v>4.6900000000000004</v>
          </cell>
          <cell r="P17">
            <v>4.84</v>
          </cell>
          <cell r="Q17">
            <v>3.64</v>
          </cell>
          <cell r="R17">
            <v>4.4000000000000004</v>
          </cell>
        </row>
        <row r="22">
          <cell r="B22">
            <v>5.22</v>
          </cell>
          <cell r="C22">
            <v>4.1500000000000004</v>
          </cell>
          <cell r="D22">
            <v>5.05</v>
          </cell>
          <cell r="E22">
            <v>3.69</v>
          </cell>
          <cell r="F22">
            <v>4.71</v>
          </cell>
          <cell r="H22">
            <v>4.13</v>
          </cell>
          <cell r="I22">
            <v>5.52</v>
          </cell>
          <cell r="J22">
            <v>4.4400000000000004</v>
          </cell>
          <cell r="K22">
            <v>2.87</v>
          </cell>
          <cell r="L22">
            <v>3.39</v>
          </cell>
          <cell r="M22">
            <v>3.64</v>
          </cell>
          <cell r="N22">
            <v>2.4300000000000002</v>
          </cell>
          <cell r="O22">
            <v>4.66</v>
          </cell>
          <cell r="P22">
            <v>4.78</v>
          </cell>
          <cell r="Q22">
            <v>3.33</v>
          </cell>
          <cell r="R22">
            <v>4.8499999999999996</v>
          </cell>
        </row>
        <row r="27">
          <cell r="B27">
            <v>1.62</v>
          </cell>
          <cell r="C27">
            <v>1.34</v>
          </cell>
          <cell r="D27">
            <v>1.32</v>
          </cell>
          <cell r="E27">
            <v>2.2400000000000002</v>
          </cell>
          <cell r="F27">
            <v>0.87</v>
          </cell>
          <cell r="H27">
            <v>0.91</v>
          </cell>
          <cell r="I27">
            <v>0.88</v>
          </cell>
          <cell r="J27">
            <v>0.73</v>
          </cell>
          <cell r="K27">
            <v>0.86</v>
          </cell>
          <cell r="L27">
            <v>0.62</v>
          </cell>
          <cell r="M27">
            <v>0.6</v>
          </cell>
          <cell r="N27">
            <v>0.95</v>
          </cell>
          <cell r="O27">
            <v>1.01</v>
          </cell>
          <cell r="P27">
            <v>1.57</v>
          </cell>
          <cell r="Q27">
            <v>0.98</v>
          </cell>
          <cell r="R27">
            <v>1.01</v>
          </cell>
        </row>
        <row r="32">
          <cell r="B32">
            <v>1.46</v>
          </cell>
          <cell r="C32">
            <v>1.1299999999999999</v>
          </cell>
          <cell r="D32">
            <v>1.25</v>
          </cell>
          <cell r="E32">
            <v>1.79</v>
          </cell>
          <cell r="F32">
            <v>0.88</v>
          </cell>
          <cell r="H32">
            <v>1.04</v>
          </cell>
          <cell r="I32">
            <v>0.86</v>
          </cell>
          <cell r="J32">
            <v>0.82</v>
          </cell>
          <cell r="K32">
            <v>0.64</v>
          </cell>
          <cell r="L32">
            <v>0.75</v>
          </cell>
          <cell r="M32">
            <v>0.79</v>
          </cell>
          <cell r="N32">
            <v>0.83</v>
          </cell>
          <cell r="O32">
            <v>1</v>
          </cell>
          <cell r="P32">
            <v>1.38</v>
          </cell>
          <cell r="Q32">
            <v>0.85</v>
          </cell>
          <cell r="R32">
            <v>1.04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16">
          <cell r="B16">
            <v>3.5590794305319804E-3</v>
          </cell>
          <cell r="C16">
            <v>3.1536991666440755E-3</v>
          </cell>
          <cell r="D16">
            <v>4.0512145442337978E-3</v>
          </cell>
          <cell r="E16">
            <v>4.5286009601113661E-3</v>
          </cell>
          <cell r="F16">
            <v>4.6447236832245324E-3</v>
          </cell>
          <cell r="H16">
            <v>5.6078369066862093E-3</v>
          </cell>
          <cell r="I16">
            <v>4.7159381146575606E-3</v>
          </cell>
          <cell r="J16">
            <v>3.1165525573768667E-3</v>
          </cell>
          <cell r="K16">
            <v>4.074478159026753E-3</v>
          </cell>
          <cell r="L16">
            <v>3.081966072222264E-3</v>
          </cell>
          <cell r="M16">
            <v>2.93360483517848E-3</v>
          </cell>
          <cell r="N16">
            <v>3.6856125558538313E-3</v>
          </cell>
          <cell r="O16">
            <v>3.1276630428931163E-3</v>
          </cell>
          <cell r="P16">
            <v>2.9791065172619165E-3</v>
          </cell>
          <cell r="Q16">
            <v>3.9687963032977152E-3</v>
          </cell>
          <cell r="R16">
            <v>2.9791065172619165E-3</v>
          </cell>
        </row>
        <row r="24">
          <cell r="B24">
            <v>1.2601837306102144</v>
          </cell>
          <cell r="C24">
            <v>3.0448128132182481</v>
          </cell>
          <cell r="D24">
            <v>6.3895985519542373</v>
          </cell>
          <cell r="E24">
            <v>1.0576987156113189</v>
          </cell>
          <cell r="F24">
            <v>4.796355216622195</v>
          </cell>
          <cell r="H24">
            <v>4.8781816561912672</v>
          </cell>
          <cell r="I24">
            <v>3.4602616037070848</v>
          </cell>
          <cell r="J24">
            <v>10.434802176977733</v>
          </cell>
          <cell r="K24">
            <v>5.2686793137225143</v>
          </cell>
          <cell r="L24">
            <v>0.72308076625762097</v>
          </cell>
          <cell r="M24">
            <v>14.644502486562608</v>
          </cell>
          <cell r="N24">
            <v>0.8865191846686129</v>
          </cell>
          <cell r="O24">
            <v>5.5181529443918258</v>
          </cell>
          <cell r="P24">
            <v>0.402655571591372</v>
          </cell>
          <cell r="Q24">
            <v>3.6656896450923617</v>
          </cell>
        </row>
      </sheetData>
      <sheetData sheetId="36" refreshError="1">
        <row r="16">
          <cell r="B16">
            <v>4.0383969416869156E-3</v>
          </cell>
          <cell r="C16">
            <v>3.7061243143809677E-3</v>
          </cell>
          <cell r="D16">
            <v>4.9005788788948007E-3</v>
          </cell>
          <cell r="E16">
            <v>5.4080054807680447E-3</v>
          </cell>
          <cell r="F16">
            <v>6.1552859751944199E-3</v>
          </cell>
          <cell r="H16">
            <v>5.9989440550630747E-3</v>
          </cell>
          <cell r="I16">
            <v>6.5594002416359681E-3</v>
          </cell>
          <cell r="J16">
            <v>3.3549041099210407E-3</v>
          </cell>
          <cell r="K16">
            <v>4.5086275292538589E-3</v>
          </cell>
          <cell r="L16">
            <v>3.7813311489643545E-3</v>
          </cell>
          <cell r="M16">
            <v>3.6365302503970007E-3</v>
          </cell>
          <cell r="N16">
            <v>5.2694259510986498E-3</v>
          </cell>
          <cell r="O16">
            <v>3.8750298762057819E-3</v>
          </cell>
          <cell r="P16">
            <v>3.3104071920638414E-3</v>
          </cell>
          <cell r="Q16">
            <v>4.1832748957112125E-3</v>
          </cell>
          <cell r="R16">
            <v>3.3104071920638414E-3</v>
          </cell>
        </row>
        <row r="24">
          <cell r="B24">
            <v>7.1547175518632473</v>
          </cell>
          <cell r="C24">
            <v>7.2411797115949108</v>
          </cell>
          <cell r="D24">
            <v>11.076131569788005</v>
          </cell>
          <cell r="E24">
            <v>9.7339949800664609</v>
          </cell>
          <cell r="F24">
            <v>12.879656667306886</v>
          </cell>
          <cell r="H24">
            <v>11.434463732810638</v>
          </cell>
          <cell r="I24">
            <v>8.3683259260141689</v>
          </cell>
          <cell r="J24">
            <v>15.703199028596732</v>
          </cell>
          <cell r="K24">
            <v>25.728903168441875</v>
          </cell>
          <cell r="L24">
            <v>13.090464354451955</v>
          </cell>
          <cell r="M24">
            <v>16.931976415477145</v>
          </cell>
          <cell r="N24">
            <v>4.6549014242995828</v>
          </cell>
          <cell r="O24">
            <v>15.15595427029321</v>
          </cell>
          <cell r="P24">
            <v>18.990784678025168</v>
          </cell>
          <cell r="Q24">
            <v>7.6079561609417565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Iron correction"/>
      <sheetName val="IHTG Corrected"/>
      <sheetName val="Summary"/>
      <sheetName val="Spectroscopy Collated data"/>
    </sheetNames>
    <sheetDataSet>
      <sheetData sheetId="0" refreshError="1"/>
      <sheetData sheetId="1" refreshError="1"/>
      <sheetData sheetId="2" refreshError="1">
        <row r="2">
          <cell r="D2">
            <v>1.084542857243836</v>
          </cell>
        </row>
        <row r="3">
          <cell r="D3">
            <v>1.3885395218795316</v>
          </cell>
        </row>
        <row r="4">
          <cell r="D4">
            <v>0.94905089054151737</v>
          </cell>
        </row>
        <row r="5">
          <cell r="D5">
            <v>1.2331769638359893</v>
          </cell>
        </row>
        <row r="6">
          <cell r="D6">
            <v>5.8724242455643303</v>
          </cell>
        </row>
        <row r="7">
          <cell r="D7">
            <v>6.1384262264244587</v>
          </cell>
        </row>
        <row r="8">
          <cell r="D8">
            <v>0.88460371196806031</v>
          </cell>
        </row>
        <row r="9">
          <cell r="D9">
            <v>1.0780861565608957</v>
          </cell>
        </row>
        <row r="10">
          <cell r="D10">
            <v>13.360367421718401</v>
          </cell>
        </row>
        <row r="11">
          <cell r="D11">
            <v>16.841328813142425</v>
          </cell>
        </row>
        <row r="14">
          <cell r="D14">
            <v>1.4468706877171309</v>
          </cell>
        </row>
        <row r="15">
          <cell r="D15">
            <v>1.2461134544600578</v>
          </cell>
        </row>
        <row r="16">
          <cell r="D16">
            <v>4.3729280712400396</v>
          </cell>
        </row>
        <row r="17">
          <cell r="D17">
            <v>5.9814592678801377</v>
          </cell>
        </row>
        <row r="18">
          <cell r="D18">
            <v>1.7130874565484364</v>
          </cell>
        </row>
        <row r="19">
          <cell r="D19">
            <v>3.1685316205237588</v>
          </cell>
        </row>
        <row r="20">
          <cell r="D20">
            <v>2.8518256781942486</v>
          </cell>
        </row>
        <row r="21">
          <cell r="D21">
            <v>3.3537949714354238</v>
          </cell>
        </row>
        <row r="22">
          <cell r="D22">
            <v>6.7552550088048848</v>
          </cell>
        </row>
        <row r="23">
          <cell r="D23">
            <v>8.6872182834664322</v>
          </cell>
        </row>
        <row r="24">
          <cell r="D24"/>
        </row>
        <row r="25">
          <cell r="D25">
            <v>2.3068207019882414</v>
          </cell>
        </row>
        <row r="30">
          <cell r="D30">
            <v>5.0858087726031043</v>
          </cell>
        </row>
        <row r="31">
          <cell r="D31">
            <v>8.3647271517572293</v>
          </cell>
        </row>
        <row r="32">
          <cell r="D32">
            <v>1.1039157831216204</v>
          </cell>
        </row>
        <row r="33">
          <cell r="D33">
            <v>1.1491357557775612</v>
          </cell>
        </row>
        <row r="34">
          <cell r="D34"/>
        </row>
        <row r="35">
          <cell r="D35">
            <v>3.592554108773899</v>
          </cell>
        </row>
        <row r="36">
          <cell r="D36">
            <v>1.1491357557775612</v>
          </cell>
        </row>
        <row r="37">
          <cell r="D37"/>
        </row>
      </sheetData>
      <sheetData sheetId="3" refreshError="1"/>
      <sheetData sheetId="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ulin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HTAG"/>
      <sheetName val="Cardiac-TAG"/>
      <sheetName val="Anthropometric"/>
      <sheetName val="Glucose"/>
      <sheetName val="Insulin"/>
      <sheetName val="HOMA-IR"/>
      <sheetName val="NEFA"/>
      <sheetName val="TAG"/>
      <sheetName val="3OHB"/>
      <sheetName val="13CO2"/>
      <sheetName val="Chylo"/>
      <sheetName val="VLDL"/>
      <sheetName val="Cholesterol"/>
      <sheetName val="Hepatokines"/>
      <sheetName val="Indirect calorimetry"/>
      <sheetName val="VLDL contributions"/>
      <sheetName val="Visualisation"/>
    </sheetNames>
    <sheetDataSet>
      <sheetData sheetId="0" refreshError="1">
        <row r="3">
          <cell r="AQ3">
            <v>175.53442149184397</v>
          </cell>
        </row>
        <row r="13">
          <cell r="AQ13">
            <v>327.76220804687506</v>
          </cell>
        </row>
        <row r="23">
          <cell r="AQ23">
            <v>345.70378355209294</v>
          </cell>
        </row>
        <row r="33">
          <cell r="AQ33">
            <v>363.31560935894413</v>
          </cell>
        </row>
        <row r="43">
          <cell r="AQ43">
            <v>511.45450058244364</v>
          </cell>
        </row>
        <row r="53">
          <cell r="AQ53">
            <v>693.32739632332289</v>
          </cell>
        </row>
        <row r="83">
          <cell r="AQ83">
            <v>630.72301339591638</v>
          </cell>
        </row>
        <row r="93">
          <cell r="AQ93">
            <v>464.13234175992784</v>
          </cell>
        </row>
        <row r="123">
          <cell r="AQ123">
            <v>367.44571939256684</v>
          </cell>
        </row>
        <row r="133">
          <cell r="AQ133">
            <v>546.85929523108848</v>
          </cell>
        </row>
        <row r="143">
          <cell r="AQ143">
            <v>376.38064756596009</v>
          </cell>
        </row>
        <row r="153">
          <cell r="AQ153">
            <v>422.81276771940463</v>
          </cell>
        </row>
        <row r="163">
          <cell r="AQ163">
            <v>271.96287354444547</v>
          </cell>
        </row>
        <row r="173">
          <cell r="AQ173">
            <v>408.80977798871561</v>
          </cell>
        </row>
        <row r="183">
          <cell r="AQ183">
            <v>181.02301933130985</v>
          </cell>
        </row>
        <row r="193">
          <cell r="AQ193">
            <v>304.6473791558866</v>
          </cell>
        </row>
        <row r="203">
          <cell r="AQ203">
            <v>393.91650366178135</v>
          </cell>
        </row>
        <row r="213">
          <cell r="AQ213">
            <v>286.53787567847513</v>
          </cell>
        </row>
        <row r="222">
          <cell r="T222">
            <v>24852.048039926001</v>
          </cell>
          <cell r="U222">
            <v>65431.701525853998</v>
          </cell>
          <cell r="Y222">
            <v>964</v>
          </cell>
        </row>
        <row r="223">
          <cell r="AQ223">
            <v>222.51253348728</v>
          </cell>
        </row>
        <row r="232">
          <cell r="T232">
            <v>24922.507142495</v>
          </cell>
          <cell r="U232">
            <v>63402.705490316999</v>
          </cell>
          <cell r="Y232">
            <v>995</v>
          </cell>
        </row>
        <row r="233">
          <cell r="AQ233">
            <v>243.38989952229602</v>
          </cell>
        </row>
        <row r="242">
          <cell r="T242">
            <v>40691.265298514001</v>
          </cell>
          <cell r="U242">
            <v>2915.8921932241001</v>
          </cell>
        </row>
        <row r="243">
          <cell r="AQ243">
            <v>193.12737844785613</v>
          </cell>
        </row>
        <row r="252">
          <cell r="T252">
            <v>41743.319068154997</v>
          </cell>
          <cell r="U252">
            <v>2885.3341594792</v>
          </cell>
        </row>
        <row r="253">
          <cell r="AQ253">
            <v>105.68744955223434</v>
          </cell>
        </row>
        <row r="263">
          <cell r="AQ263">
            <v>159.79308806044665</v>
          </cell>
        </row>
        <row r="273">
          <cell r="AQ273">
            <v>276.33062435636896</v>
          </cell>
        </row>
        <row r="282">
          <cell r="T282">
            <v>22378.823537112999</v>
          </cell>
          <cell r="U282">
            <v>44287.288047581002</v>
          </cell>
          <cell r="Y282">
            <v>357</v>
          </cell>
        </row>
        <row r="283">
          <cell r="AQ283">
            <v>74.084146115263749</v>
          </cell>
        </row>
        <row r="292">
          <cell r="T292">
            <v>22981.9868494</v>
          </cell>
          <cell r="U292">
            <v>43620.559101480001</v>
          </cell>
          <cell r="Y292">
            <v>358</v>
          </cell>
        </row>
        <row r="293">
          <cell r="AQ293">
            <v>141.92118032027739</v>
          </cell>
        </row>
        <row r="302">
          <cell r="T302">
            <v>37266.947008203002</v>
          </cell>
          <cell r="U302">
            <v>49762.837621191997</v>
          </cell>
          <cell r="Y302">
            <v>630</v>
          </cell>
        </row>
        <row r="303">
          <cell r="AQ303">
            <v>102.69520325992178</v>
          </cell>
        </row>
        <row r="312">
          <cell r="T312">
            <v>35510.432083658001</v>
          </cell>
          <cell r="U312">
            <v>49124.436832302003</v>
          </cell>
          <cell r="Y312">
            <v>537</v>
          </cell>
        </row>
        <row r="313">
          <cell r="AQ313">
            <v>92.989471692936064</v>
          </cell>
        </row>
        <row r="323">
          <cell r="AQ323">
            <v>59.586991801668567</v>
          </cell>
        </row>
        <row r="333">
          <cell r="AQ333">
            <v>239.00212107732014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Lactate"/>
      <sheetName val="Apo B, HDL, Cholesterol, ALT"/>
      <sheetName val="Insul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I3">
            <v>4.4824999999999999</v>
          </cell>
        </row>
        <row r="16">
          <cell r="I16">
            <v>4.9105000000000008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Lactate"/>
      <sheetName val="Apo B, HDL, Cholesterol, ALT"/>
      <sheetName val="Insul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I3">
            <v>7.0425000000000004</v>
          </cell>
        </row>
        <row r="4">
          <cell r="K4">
            <v>6.4525000000000006</v>
          </cell>
        </row>
        <row r="17">
          <cell r="K17">
            <v>6.5569999999999995</v>
          </cell>
        </row>
      </sheetData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Lactate"/>
      <sheetName val="Apo B, HDL, Cholesterol, ALT"/>
      <sheetName val="Insul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I3">
            <v>1.387</v>
          </cell>
        </row>
        <row r="4">
          <cell r="K4">
            <v>1.7887500000000001</v>
          </cell>
        </row>
        <row r="17">
          <cell r="K17">
            <v>1.069</v>
          </cell>
        </row>
      </sheetData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Lactate"/>
      <sheetName val="Apo B, HDL, Cholesterol, ALT"/>
      <sheetName val="Insul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I3">
            <v>23.015999999999998</v>
          </cell>
        </row>
        <row r="4">
          <cell r="K4">
            <v>26.11375</v>
          </cell>
        </row>
        <row r="17">
          <cell r="K17">
            <v>22.372499999999999</v>
          </cell>
        </row>
      </sheetData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Lactate"/>
      <sheetName val="Apo B, HDL, Cholesterol, ALT"/>
      <sheetName val="Insul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I3">
            <v>12.521000000000001</v>
          </cell>
        </row>
        <row r="15">
          <cell r="I15">
            <v>12.301500000000001</v>
          </cell>
        </row>
      </sheetData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Lactate"/>
      <sheetName val="Apo B, HDL, Cholesterol, ALT"/>
      <sheetName val="Insul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I3">
            <v>11.161999999999999</v>
          </cell>
        </row>
        <row r="15">
          <cell r="I15">
            <v>12.977499999999999</v>
          </cell>
        </row>
      </sheetData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Lactate"/>
      <sheetName val="Apo B, HDL, Cholesterol, ALT"/>
      <sheetName val="Insul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I3">
            <v>10.323499999999999</v>
          </cell>
        </row>
        <row r="15">
          <cell r="I15">
            <v>11.9015</v>
          </cell>
        </row>
      </sheetData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Lactate"/>
      <sheetName val="Apo B, HDL, Cholesterol, ALT"/>
      <sheetName val="Insul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I3">
            <v>11.028</v>
          </cell>
        </row>
        <row r="15">
          <cell r="I15">
            <v>13.327999999999999</v>
          </cell>
        </row>
      </sheetData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Lactate"/>
      <sheetName val="Apo B, HDL, Cholesterol, ALT"/>
      <sheetName val="Insul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I3">
            <v>9.4089999999999989</v>
          </cell>
        </row>
        <row r="15">
          <cell r="I15">
            <v>13.55</v>
          </cell>
        </row>
      </sheetData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Lactate"/>
      <sheetName val="Apo B, HDL, Cholesterol, ALT"/>
      <sheetName val="Insul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I3">
            <v>8.5374999999999996</v>
          </cell>
        </row>
        <row r="15">
          <cell r="I15">
            <v>10.016999999999999</v>
          </cell>
        </row>
      </sheetData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Lactate"/>
      <sheetName val="Ranbut 3-OHB"/>
      <sheetName val="Apo B, HDL, iChol, ALT, wCRP"/>
      <sheetName val="Insul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I3">
            <v>6.8419999999999996</v>
          </cell>
        </row>
        <row r="16">
          <cell r="I16">
            <v>4.5514999999999999</v>
          </cell>
        </row>
      </sheetData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Lactate"/>
      <sheetName val="Apo B, HDL, Cholesterol, ALT"/>
      <sheetName val="Insul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D3">
            <v>9.218</v>
          </cell>
          <cell r="I3">
            <v>9.218</v>
          </cell>
        </row>
        <row r="15">
          <cell r="I15">
            <v>13.673</v>
          </cell>
        </row>
      </sheetData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Lactate"/>
      <sheetName val="Apo B, HDL, Cholesterol, ALT"/>
      <sheetName val="Insul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D3">
            <v>3.8319999999999999</v>
          </cell>
          <cell r="I3">
            <v>3.8319999999999999</v>
          </cell>
        </row>
        <row r="15">
          <cell r="I15">
            <v>4.694</v>
          </cell>
        </row>
      </sheetData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Lactate"/>
      <sheetName val="Apo B, HDL, Cholesterol, ALT"/>
      <sheetName val="Insul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D3">
            <v>1.202</v>
          </cell>
          <cell r="I3">
            <v>1.202</v>
          </cell>
        </row>
        <row r="15">
          <cell r="I15">
            <v>3.4420000000000002</v>
          </cell>
        </row>
      </sheetData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Lactate"/>
      <sheetName val="Apo B, HDL, Cholesterol, ALT"/>
      <sheetName val="Insul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D3">
            <v>6.3369999999999997</v>
          </cell>
          <cell r="I3">
            <v>6.3369999999999997</v>
          </cell>
        </row>
        <row r="15">
          <cell r="I15">
            <v>4.7629999999999999</v>
          </cell>
        </row>
      </sheetData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 Sheet"/>
      <sheetName val="Metformin Arm "/>
      <sheetName val="Results"/>
      <sheetName val="Recruitment"/>
      <sheetName val="Dipagloflozin Arm"/>
    </sheetNames>
    <sheetDataSet>
      <sheetData sheetId="0" refreshError="1"/>
      <sheetData sheetId="1" refreshError="1">
        <row r="5">
          <cell r="C5">
            <v>95.7</v>
          </cell>
          <cell r="F5">
            <v>93.5</v>
          </cell>
          <cell r="G5">
            <v>82.2</v>
          </cell>
          <cell r="J5">
            <v>80.7</v>
          </cell>
          <cell r="K5">
            <v>111.3</v>
          </cell>
          <cell r="N5">
            <v>105.9</v>
          </cell>
          <cell r="O5">
            <v>96.7</v>
          </cell>
          <cell r="R5">
            <v>94.2</v>
          </cell>
          <cell r="S5">
            <v>69</v>
          </cell>
          <cell r="V5">
            <v>65.900000000000006</v>
          </cell>
          <cell r="W5">
            <v>125.1</v>
          </cell>
          <cell r="Z5">
            <v>124.5</v>
          </cell>
          <cell r="AA5">
            <v>77.06</v>
          </cell>
          <cell r="AD5">
            <v>78.7</v>
          </cell>
          <cell r="AE5">
            <v>80.599999999999994</v>
          </cell>
          <cell r="AH5">
            <v>74.2</v>
          </cell>
          <cell r="AI5">
            <v>114.9</v>
          </cell>
          <cell r="AL5">
            <v>113.5</v>
          </cell>
          <cell r="AQ5">
            <v>81</v>
          </cell>
          <cell r="AT5">
            <v>79.8</v>
          </cell>
        </row>
        <row r="7">
          <cell r="C7">
            <v>55</v>
          </cell>
          <cell r="G7">
            <v>51</v>
          </cell>
          <cell r="K7">
            <v>50</v>
          </cell>
          <cell r="O7">
            <v>36</v>
          </cell>
          <cell r="S7">
            <v>52</v>
          </cell>
          <cell r="W7">
            <v>36</v>
          </cell>
          <cell r="AA7">
            <v>63</v>
          </cell>
          <cell r="AE7">
            <v>48</v>
          </cell>
          <cell r="AI7">
            <v>45</v>
          </cell>
          <cell r="AQ7">
            <v>46</v>
          </cell>
        </row>
      </sheetData>
      <sheetData sheetId="2" refreshError="1"/>
      <sheetData sheetId="3" refreshError="1"/>
      <sheetData sheetId="4" refreshError="1">
        <row r="5">
          <cell r="C5">
            <v>82.6</v>
          </cell>
          <cell r="F5">
            <v>77.599999999999994</v>
          </cell>
          <cell r="G5">
            <v>114.4</v>
          </cell>
          <cell r="J5">
            <v>99.6</v>
          </cell>
          <cell r="K5">
            <v>91.5</v>
          </cell>
          <cell r="N5">
            <v>87.5</v>
          </cell>
          <cell r="O5">
            <v>120.3</v>
          </cell>
          <cell r="R5">
            <v>115.9</v>
          </cell>
          <cell r="S5">
            <v>92.3</v>
          </cell>
          <cell r="V5">
            <v>92.7</v>
          </cell>
          <cell r="W5">
            <v>77.3</v>
          </cell>
          <cell r="Z5">
            <v>73.099999999999994</v>
          </cell>
          <cell r="AA5">
            <v>93.1</v>
          </cell>
          <cell r="AD5">
            <v>89.9</v>
          </cell>
          <cell r="AE5">
            <v>87.1</v>
          </cell>
          <cell r="AH5">
            <v>81.900000000000006</v>
          </cell>
          <cell r="AI5">
            <v>97.5</v>
          </cell>
          <cell r="AL5">
            <v>99.1</v>
          </cell>
          <cell r="AM5">
            <v>94.95</v>
          </cell>
          <cell r="AP5">
            <v>89.2</v>
          </cell>
        </row>
        <row r="7">
          <cell r="C7">
            <v>55</v>
          </cell>
          <cell r="G7">
            <v>51</v>
          </cell>
          <cell r="K7">
            <v>51</v>
          </cell>
          <cell r="O7">
            <v>50</v>
          </cell>
          <cell r="S7">
            <v>51</v>
          </cell>
          <cell r="W7">
            <v>51</v>
          </cell>
          <cell r="AA7">
            <v>54</v>
          </cell>
          <cell r="AE7">
            <v>50</v>
          </cell>
          <cell r="AI7">
            <v>49</v>
          </cell>
        </row>
      </sheetData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homa"/>
      <sheetName val="NEFA"/>
      <sheetName val="Glycerol"/>
      <sheetName val="TAG"/>
      <sheetName val="Urea"/>
      <sheetName val="Ranbut 3-OHB"/>
      <sheetName val="Apo B"/>
      <sheetName val="Cholesterol"/>
      <sheetName val="Cholesterol HDL"/>
      <sheetName val="Insulin"/>
      <sheetName val="Lipoproteins"/>
      <sheetName val="For SPSS"/>
      <sheetName val="auc spss"/>
    </sheetNames>
    <sheetDataSet>
      <sheetData sheetId="0" refreshError="1">
        <row r="4">
          <cell r="B4">
            <v>5.4029999999999996</v>
          </cell>
          <cell r="C4">
            <v>6.6740000000000004</v>
          </cell>
          <cell r="D4">
            <v>5.8280000000000003</v>
          </cell>
          <cell r="E4">
            <v>5.1849999999999996</v>
          </cell>
          <cell r="F4">
            <v>5.742</v>
          </cell>
          <cell r="G4">
            <v>8.4469999999999992</v>
          </cell>
          <cell r="H4">
            <v>11.159000000000001</v>
          </cell>
          <cell r="I4">
            <v>5.9509999999999996</v>
          </cell>
          <cell r="J4">
            <v>5.4720000000000004</v>
          </cell>
          <cell r="K4">
            <v>4.5209999999999999</v>
          </cell>
        </row>
        <row r="26">
          <cell r="B26">
            <v>4.9619999999999997</v>
          </cell>
          <cell r="C26">
            <v>6.2409999999999997</v>
          </cell>
          <cell r="D26">
            <v>5.6219999999999999</v>
          </cell>
          <cell r="E26">
            <v>5.4349999999999996</v>
          </cell>
          <cell r="F26">
            <v>5.4939999999999998</v>
          </cell>
          <cell r="G26">
            <v>6.7279999999999998</v>
          </cell>
          <cell r="H26">
            <v>10.987</v>
          </cell>
          <cell r="I26">
            <v>5.4009999999999998</v>
          </cell>
          <cell r="J26">
            <v>4.7119999999999997</v>
          </cell>
          <cell r="K26">
            <v>5.1390000000000002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F3">
            <v>411.84099375</v>
          </cell>
          <cell r="G3">
            <v>599.91045374999999</v>
          </cell>
          <cell r="H3">
            <v>748.67915249999999</v>
          </cell>
          <cell r="I3">
            <v>1715.171955</v>
          </cell>
          <cell r="K3">
            <v>635.32403999999997</v>
          </cell>
        </row>
        <row r="34">
          <cell r="F34">
            <v>156.35673</v>
          </cell>
          <cell r="G34">
            <v>206.16755250000003</v>
          </cell>
          <cell r="H34">
            <v>356.79521249999999</v>
          </cell>
          <cell r="I34">
            <v>1433.3728799999997</v>
          </cell>
          <cell r="K34">
            <v>655.73588250000012</v>
          </cell>
        </row>
      </sheetData>
      <sheetData sheetId="12" refreshError="1"/>
      <sheetData sheetId="13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 refreshError="1"/>
      <sheetData sheetId="1" refreshError="1">
        <row r="5">
          <cell r="F5">
            <v>633.4</v>
          </cell>
        </row>
        <row r="24">
          <cell r="F24">
            <v>533.79999999999995</v>
          </cell>
        </row>
      </sheetData>
      <sheetData sheetId="2" refreshError="1"/>
      <sheetData sheetId="3" refreshError="1">
        <row r="6">
          <cell r="I6">
            <v>365</v>
          </cell>
        </row>
        <row r="25">
          <cell r="I25">
            <v>556.90000000000009</v>
          </cell>
        </row>
      </sheetData>
      <sheetData sheetId="4" refreshError="1"/>
      <sheetData sheetId="5" refreshError="1">
        <row r="5">
          <cell r="F5">
            <v>78.099999999999994</v>
          </cell>
        </row>
        <row r="24">
          <cell r="F24">
            <v>40.4</v>
          </cell>
        </row>
      </sheetData>
      <sheetData sheetId="6" refreshError="1">
        <row r="6">
          <cell r="C6">
            <v>4.0199999999999996</v>
          </cell>
          <cell r="J6">
            <v>1.74</v>
          </cell>
        </row>
        <row r="12">
          <cell r="C12">
            <v>4.97</v>
          </cell>
          <cell r="J12">
            <v>2.02</v>
          </cell>
        </row>
      </sheetData>
      <sheetData sheetId="7" refreshError="1">
        <row r="9">
          <cell r="I9">
            <v>18.9145</v>
          </cell>
        </row>
        <row r="41">
          <cell r="I41">
            <v>23.206</v>
          </cell>
        </row>
      </sheetData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s and TAG concs"/>
      <sheetName val="Sheet2"/>
      <sheetName val="Sheet3"/>
    </sheetNames>
    <sheetDataSet>
      <sheetData sheetId="0" refreshError="1">
        <row r="4">
          <cell r="H4">
            <v>98.905829999999995</v>
          </cell>
        </row>
      </sheetData>
      <sheetData sheetId="1" refreshError="1"/>
      <sheetData sheetId="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FA"/>
      <sheetName val="UREA"/>
      <sheetName val="GLYCEROL"/>
      <sheetName val="Apo B"/>
      <sheetName val="vldl"/>
      <sheetName val="TAG"/>
      <sheetName val="3OHB"/>
      <sheetName val="Cholesterol"/>
      <sheetName val="Cholesterol HDL"/>
      <sheetName val="age"/>
      <sheetName val="bmi"/>
      <sheetName val="weight"/>
      <sheetName val="body fat"/>
      <sheetName val="lean mass"/>
      <sheetName val="liver fat"/>
      <sheetName val="alt"/>
      <sheetName val="HBA1C"/>
      <sheetName val="insulin"/>
      <sheetName val="dnl"/>
      <sheetName val="Glucose"/>
      <sheetName val="haoma calc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3">
          <cell r="B3">
            <v>7.4843289396458808</v>
          </cell>
          <cell r="C3">
            <v>3.8944953998748826</v>
          </cell>
          <cell r="D3">
            <v>9.894469660976414</v>
          </cell>
          <cell r="E3">
            <v>6.1899547933444108</v>
          </cell>
          <cell r="F3">
            <v>3.3927485775381636</v>
          </cell>
          <cell r="G3">
            <v>3.430180332615544</v>
          </cell>
          <cell r="H3">
            <v>2.8778302963615112</v>
          </cell>
          <cell r="I3">
            <v>8.3944771776661451</v>
          </cell>
          <cell r="J3">
            <v>6.0386137155219499</v>
          </cell>
          <cell r="K3">
            <v>1.0069448390170579</v>
          </cell>
        </row>
        <row r="5">
          <cell r="B5">
            <v>26.588496680001906</v>
          </cell>
          <cell r="C5">
            <v>12.78233544478598</v>
          </cell>
          <cell r="D5">
            <v>8.0952292240996133</v>
          </cell>
          <cell r="E5">
            <v>5.3791516935311323</v>
          </cell>
          <cell r="F5">
            <v>7.5683617242468513</v>
          </cell>
          <cell r="G5">
            <v>6.0430833255744156</v>
          </cell>
          <cell r="H5">
            <v>6.9301238724860941</v>
          </cell>
          <cell r="I5">
            <v>3.8975860509624973</v>
          </cell>
          <cell r="J5">
            <v>5.0927960309821652</v>
          </cell>
          <cell r="K5">
            <v>2.517465072328509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 refreshError="1"/>
      <sheetData sheetId="1" refreshError="1">
        <row r="5">
          <cell r="F5">
            <v>805.4</v>
          </cell>
        </row>
        <row r="24">
          <cell r="F24">
            <v>622.1</v>
          </cell>
        </row>
      </sheetData>
      <sheetData sheetId="2" refreshError="1"/>
      <sheetData sheetId="3" refreshError="1">
        <row r="6">
          <cell r="I6">
            <v>2069.8000000000002</v>
          </cell>
        </row>
        <row r="25">
          <cell r="I25">
            <v>1434.5</v>
          </cell>
        </row>
      </sheetData>
      <sheetData sheetId="4" refreshError="1"/>
      <sheetData sheetId="5" refreshError="1">
        <row r="5">
          <cell r="F5">
            <v>215.3</v>
          </cell>
        </row>
        <row r="24">
          <cell r="F24">
            <v>76.7</v>
          </cell>
        </row>
      </sheetData>
      <sheetData sheetId="6" refreshError="1">
        <row r="6">
          <cell r="C6">
            <v>4.29</v>
          </cell>
          <cell r="J6">
            <v>0.9</v>
          </cell>
        </row>
        <row r="12">
          <cell r="C12">
            <v>4.13</v>
          </cell>
          <cell r="J12">
            <v>1.1200000000000001</v>
          </cell>
        </row>
      </sheetData>
      <sheetData sheetId="7" refreshError="1">
        <row r="9">
          <cell r="I9">
            <v>41.305</v>
          </cell>
        </row>
        <row r="41">
          <cell r="I41">
            <v>29.346499999999999</v>
          </cell>
        </row>
      </sheetData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s and TAG concs"/>
      <sheetName val="Sheet2"/>
      <sheetName val="Sheet3"/>
    </sheetNames>
    <sheetDataSet>
      <sheetData sheetId="0" refreshError="1">
        <row r="4">
          <cell r="H4">
            <v>1596.9589124999998</v>
          </cell>
        </row>
      </sheetData>
      <sheetData sheetId="1" refreshError="1"/>
      <sheetData sheetId="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9">
          <cell r="I9">
            <v>23.057000000000002</v>
          </cell>
        </row>
        <row r="36">
          <cell r="I36">
            <v>20.452500000000001</v>
          </cell>
        </row>
      </sheetData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 refreshError="1"/>
      <sheetData sheetId="1" refreshError="1">
        <row r="5">
          <cell r="F5">
            <v>697</v>
          </cell>
        </row>
        <row r="24">
          <cell r="F24">
            <v>633.70000000000005</v>
          </cell>
        </row>
      </sheetData>
      <sheetData sheetId="2" refreshError="1"/>
      <sheetData sheetId="3" refreshError="1">
        <row r="6">
          <cell r="I6">
            <v>2342.5</v>
          </cell>
        </row>
        <row r="25">
          <cell r="I25">
            <v>1971.3</v>
          </cell>
        </row>
      </sheetData>
      <sheetData sheetId="4" refreshError="1"/>
      <sheetData sheetId="5" refreshError="1">
        <row r="5">
          <cell r="F5">
            <v>105.6</v>
          </cell>
        </row>
        <row r="24">
          <cell r="F24">
            <v>102.5</v>
          </cell>
        </row>
      </sheetData>
      <sheetData sheetId="6" refreshError="1">
        <row r="6">
          <cell r="C6">
            <v>5.45</v>
          </cell>
          <cell r="J6">
            <v>0.85</v>
          </cell>
        </row>
        <row r="12">
          <cell r="C12">
            <v>4.9800000000000004</v>
          </cell>
          <cell r="J12">
            <v>0.94</v>
          </cell>
        </row>
      </sheetData>
      <sheetData sheetId="7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s and TAG concs"/>
      <sheetName val="Sheet2"/>
      <sheetName val="Sheet3"/>
    </sheetNames>
    <sheetDataSet>
      <sheetData sheetId="0" refreshError="1">
        <row r="4">
          <cell r="H4">
            <v>1297.9474781250003</v>
          </cell>
        </row>
      </sheetData>
      <sheetData sheetId="1" refreshError="1"/>
      <sheetData sheetId="2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 refreshError="1"/>
      <sheetData sheetId="1" refreshError="1">
        <row r="5">
          <cell r="F5">
            <v>639.5</v>
          </cell>
        </row>
        <row r="24">
          <cell r="F24">
            <v>806.5</v>
          </cell>
        </row>
      </sheetData>
      <sheetData sheetId="2" refreshError="1"/>
      <sheetData sheetId="3" refreshError="1">
        <row r="6">
          <cell r="I6">
            <v>1255.5999999999999</v>
          </cell>
        </row>
        <row r="25">
          <cell r="I25">
            <v>805.1</v>
          </cell>
        </row>
      </sheetData>
      <sheetData sheetId="4" refreshError="1"/>
      <sheetData sheetId="5" refreshError="1">
        <row r="5">
          <cell r="F5">
            <v>43.2</v>
          </cell>
        </row>
        <row r="24">
          <cell r="F24">
            <v>114.2</v>
          </cell>
        </row>
      </sheetData>
      <sheetData sheetId="6" refreshError="1">
        <row r="6">
          <cell r="C6">
            <v>3.98</v>
          </cell>
          <cell r="J6">
            <v>0.98</v>
          </cell>
        </row>
        <row r="12">
          <cell r="C12">
            <v>4</v>
          </cell>
          <cell r="J12">
            <v>1.1000000000000001</v>
          </cell>
        </row>
      </sheetData>
      <sheetData sheetId="7" refreshError="1">
        <row r="9">
          <cell r="I9">
            <v>16.584499999999998</v>
          </cell>
        </row>
        <row r="41">
          <cell r="I41">
            <v>14.939500000000001</v>
          </cell>
        </row>
      </sheetData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s and TAG concs"/>
      <sheetName val="Sheet2"/>
      <sheetName val="Sheet3"/>
    </sheetNames>
    <sheetDataSet>
      <sheetData sheetId="0" refreshError="1">
        <row r="4">
          <cell r="H4">
            <v>716.1268275000001</v>
          </cell>
        </row>
      </sheetData>
      <sheetData sheetId="1" refreshError="1"/>
      <sheetData sheetId="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 refreshError="1"/>
      <sheetData sheetId="1" refreshError="1">
        <row r="5">
          <cell r="F5">
            <v>426.1</v>
          </cell>
        </row>
        <row r="24">
          <cell r="F24">
            <v>486.7</v>
          </cell>
        </row>
      </sheetData>
      <sheetData sheetId="2" refreshError="1"/>
      <sheetData sheetId="3" refreshError="1">
        <row r="6">
          <cell r="I6">
            <v>734.59999999999991</v>
          </cell>
        </row>
        <row r="25">
          <cell r="I25">
            <v>565.19999999999993</v>
          </cell>
        </row>
      </sheetData>
      <sheetData sheetId="4" refreshError="1"/>
      <sheetData sheetId="5" refreshError="1">
        <row r="5">
          <cell r="F5">
            <v>139.4</v>
          </cell>
        </row>
        <row r="24">
          <cell r="F24">
            <v>103.8</v>
          </cell>
        </row>
      </sheetData>
      <sheetData sheetId="6" refreshError="1">
        <row r="6">
          <cell r="C6">
            <v>4.2300000000000004</v>
          </cell>
          <cell r="J6">
            <v>1.34</v>
          </cell>
        </row>
        <row r="12">
          <cell r="C12">
            <v>3.58</v>
          </cell>
          <cell r="J12">
            <v>1.26</v>
          </cell>
        </row>
      </sheetData>
      <sheetData sheetId="7" refreshError="1">
        <row r="9">
          <cell r="I9">
            <v>14.666499999999999</v>
          </cell>
        </row>
        <row r="41">
          <cell r="I41">
            <v>13.214500000000001</v>
          </cell>
        </row>
      </sheetData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 refreshError="1"/>
      <sheetData sheetId="1" refreshError="1">
        <row r="5">
          <cell r="F5">
            <v>632.4</v>
          </cell>
        </row>
        <row r="24">
          <cell r="F24">
            <v>672.5</v>
          </cell>
        </row>
      </sheetData>
      <sheetData sheetId="2" refreshError="1"/>
      <sheetData sheetId="3" refreshError="1">
        <row r="6">
          <cell r="I6">
            <v>1047.9000000000001</v>
          </cell>
        </row>
        <row r="25">
          <cell r="I25">
            <v>990.8</v>
          </cell>
        </row>
      </sheetData>
      <sheetData sheetId="4" refreshError="1"/>
      <sheetData sheetId="5" refreshError="1">
        <row r="5">
          <cell r="F5">
            <v>79.400000000000006</v>
          </cell>
        </row>
        <row r="24">
          <cell r="F24">
            <v>113.5</v>
          </cell>
        </row>
      </sheetData>
      <sheetData sheetId="6" refreshError="1">
        <row r="6">
          <cell r="C6">
            <v>4.25</v>
          </cell>
          <cell r="J6">
            <v>1.18</v>
          </cell>
        </row>
        <row r="12">
          <cell r="C12">
            <v>4.18</v>
          </cell>
          <cell r="J12">
            <v>1.17</v>
          </cell>
        </row>
      </sheetData>
      <sheetData sheetId="7" refreshError="1">
        <row r="9">
          <cell r="I9">
            <v>62.718999999999994</v>
          </cell>
        </row>
        <row r="41">
          <cell r="I41">
            <v>41.500500000000002</v>
          </cell>
        </row>
      </sheetData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 refreshError="1"/>
      <sheetData sheetId="1" refreshError="1">
        <row r="5">
          <cell r="F5">
            <v>612.6</v>
          </cell>
        </row>
        <row r="24">
          <cell r="F24">
            <v>754.6</v>
          </cell>
        </row>
      </sheetData>
      <sheetData sheetId="2" refreshError="1"/>
      <sheetData sheetId="3" refreshError="1">
        <row r="6">
          <cell r="I6">
            <v>1270.3</v>
          </cell>
        </row>
        <row r="25">
          <cell r="I25">
            <v>1066.9000000000001</v>
          </cell>
        </row>
      </sheetData>
      <sheetData sheetId="4" refreshError="1"/>
      <sheetData sheetId="5" refreshError="1">
        <row r="5">
          <cell r="F5">
            <v>55.1</v>
          </cell>
        </row>
        <row r="24">
          <cell r="F24">
            <v>67.900000000000006</v>
          </cell>
        </row>
      </sheetData>
      <sheetData sheetId="6" refreshError="1">
        <row r="6">
          <cell r="C6">
            <v>3.54</v>
          </cell>
          <cell r="J6">
            <v>1.24</v>
          </cell>
        </row>
        <row r="12">
          <cell r="C12">
            <v>3.621</v>
          </cell>
          <cell r="J12">
            <v>1.25</v>
          </cell>
        </row>
      </sheetData>
      <sheetData sheetId="7" refreshError="1">
        <row r="9">
          <cell r="I9">
            <v>21.965</v>
          </cell>
        </row>
        <row r="41">
          <cell r="I41">
            <v>22.029499999999999</v>
          </cell>
        </row>
      </sheetData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 refreshError="1"/>
      <sheetData sheetId="1" refreshError="1">
        <row r="5">
          <cell r="C5">
            <v>1042.7</v>
          </cell>
        </row>
        <row r="24">
          <cell r="C24">
            <v>810.4</v>
          </cell>
        </row>
      </sheetData>
      <sheetData sheetId="2" refreshError="1"/>
      <sheetData sheetId="3" refreshError="1">
        <row r="6">
          <cell r="I6">
            <v>2530.5</v>
          </cell>
        </row>
        <row r="25">
          <cell r="I25">
            <v>2009.6000000000001</v>
          </cell>
        </row>
      </sheetData>
      <sheetData sheetId="4" refreshError="1"/>
      <sheetData sheetId="5" refreshError="1">
        <row r="5">
          <cell r="C5">
            <v>119.3</v>
          </cell>
        </row>
        <row r="24">
          <cell r="C24">
            <v>174.3</v>
          </cell>
        </row>
      </sheetData>
      <sheetData sheetId="6" refreshError="1">
        <row r="6">
          <cell r="C6">
            <v>6.07</v>
          </cell>
          <cell r="J6">
            <v>1</v>
          </cell>
        </row>
        <row r="12">
          <cell r="C12">
            <v>5.08</v>
          </cell>
          <cell r="J12">
            <v>0.89</v>
          </cell>
        </row>
      </sheetData>
      <sheetData sheetId="7" refreshError="1">
        <row r="9">
          <cell r="I9">
            <v>17.602499999999999</v>
          </cell>
        </row>
        <row r="41">
          <cell r="I41">
            <v>18.749000000000002</v>
          </cell>
        </row>
      </sheetData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 refreshError="1"/>
      <sheetData sheetId="1" refreshError="1">
        <row r="5">
          <cell r="C5">
            <v>564.1</v>
          </cell>
        </row>
        <row r="24">
          <cell r="C24">
            <v>372.4</v>
          </cell>
        </row>
      </sheetData>
      <sheetData sheetId="2" refreshError="1"/>
      <sheetData sheetId="3" refreshError="1">
        <row r="6">
          <cell r="I6">
            <v>4352.2000000000007</v>
          </cell>
        </row>
        <row r="25">
          <cell r="I25">
            <v>3789.1</v>
          </cell>
        </row>
      </sheetData>
      <sheetData sheetId="4" refreshError="1"/>
      <sheetData sheetId="5" refreshError="1">
        <row r="5">
          <cell r="C5">
            <v>49.6</v>
          </cell>
        </row>
        <row r="24">
          <cell r="C24">
            <v>33.1</v>
          </cell>
        </row>
      </sheetData>
      <sheetData sheetId="6" refreshError="1">
        <row r="6">
          <cell r="C6">
            <v>4.62</v>
          </cell>
          <cell r="J6">
            <v>0.74</v>
          </cell>
        </row>
        <row r="12">
          <cell r="C12">
            <v>3.93</v>
          </cell>
          <cell r="J12">
            <v>0.61</v>
          </cell>
        </row>
      </sheetData>
      <sheetData sheetId="7" refreshError="1">
        <row r="9">
          <cell r="I9">
            <v>21.371500000000001</v>
          </cell>
        </row>
        <row r="41">
          <cell r="I41">
            <v>24.7165</v>
          </cell>
        </row>
      </sheetData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s and TAG concs"/>
      <sheetName val="Sheet2"/>
      <sheetName val="Sheet3"/>
    </sheetNames>
    <sheetDataSet>
      <sheetData sheetId="0" refreshError="1">
        <row r="4">
          <cell r="H4">
            <v>1520.7412050000003</v>
          </cell>
        </row>
      </sheetData>
      <sheetData sheetId="1" refreshError="1"/>
      <sheetData sheetId="2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 refreshError="1"/>
      <sheetData sheetId="1" refreshError="1">
        <row r="5">
          <cell r="C5">
            <v>251.3</v>
          </cell>
        </row>
        <row r="24">
          <cell r="C24">
            <v>347</v>
          </cell>
        </row>
      </sheetData>
      <sheetData sheetId="2" refreshError="1"/>
      <sheetData sheetId="3" refreshError="1">
        <row r="6">
          <cell r="I6">
            <v>765.4</v>
          </cell>
        </row>
        <row r="25">
          <cell r="I25">
            <v>1193.2</v>
          </cell>
        </row>
      </sheetData>
      <sheetData sheetId="4" refreshError="1"/>
      <sheetData sheetId="5" refreshError="1">
        <row r="5">
          <cell r="C5">
            <v>27.4</v>
          </cell>
        </row>
        <row r="24">
          <cell r="C24">
            <v>57.5</v>
          </cell>
        </row>
      </sheetData>
      <sheetData sheetId="6" refreshError="1">
        <row r="6">
          <cell r="C6">
            <v>4.41</v>
          </cell>
          <cell r="J6">
            <v>0.83</v>
          </cell>
        </row>
        <row r="12">
          <cell r="C12">
            <v>5.85</v>
          </cell>
          <cell r="J12">
            <v>1.2</v>
          </cell>
        </row>
      </sheetData>
      <sheetData sheetId="7" refreshError="1">
        <row r="9">
          <cell r="I9">
            <v>27.655000000000001</v>
          </cell>
        </row>
        <row r="41">
          <cell r="I41">
            <v>21.378500000000003</v>
          </cell>
        </row>
      </sheetData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 refreshError="1">
        <row r="6">
          <cell r="C6">
            <v>5.3949999999999996</v>
          </cell>
        </row>
        <row r="25">
          <cell r="C25">
            <v>5.0519999999999996</v>
          </cell>
        </row>
      </sheetData>
      <sheetData sheetId="1" refreshError="1">
        <row r="5">
          <cell r="C5">
            <v>297.8</v>
          </cell>
        </row>
        <row r="24">
          <cell r="C24">
            <v>412.5</v>
          </cell>
        </row>
      </sheetData>
      <sheetData sheetId="2" refreshError="1"/>
      <sheetData sheetId="3" refreshError="1">
        <row r="6">
          <cell r="I6">
            <v>552.9</v>
          </cell>
        </row>
      </sheetData>
      <sheetData sheetId="4" refreshError="1"/>
      <sheetData sheetId="5" refreshError="1">
        <row r="5">
          <cell r="C5">
            <v>43.3</v>
          </cell>
        </row>
        <row r="24">
          <cell r="C24">
            <v>116.2</v>
          </cell>
        </row>
      </sheetData>
      <sheetData sheetId="6" refreshError="1">
        <row r="6">
          <cell r="C6">
            <v>3.59</v>
          </cell>
          <cell r="J6">
            <v>1.24</v>
          </cell>
        </row>
        <row r="12">
          <cell r="C12">
            <v>3.82</v>
          </cell>
          <cell r="J12">
            <v>1.36</v>
          </cell>
        </row>
      </sheetData>
      <sheetData sheetId="7" refreshError="1">
        <row r="9">
          <cell r="I9">
            <v>12.678000000000001</v>
          </cell>
        </row>
        <row r="41">
          <cell r="I41">
            <v>11.449</v>
          </cell>
        </row>
      </sheetData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"/>
      <sheetName val="Cholesterol"/>
      <sheetName val="Cholesterol HDL"/>
      <sheetName val="ALT"/>
      <sheetName val="Insulin"/>
      <sheetName val="Lipoproteins"/>
      <sheetName val="For SP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B3">
            <v>301.959225</v>
          </cell>
          <cell r="C3">
            <v>227.22523124999995</v>
          </cell>
          <cell r="D3">
            <v>582.17155500000001</v>
          </cell>
          <cell r="E3">
            <v>101.67093</v>
          </cell>
          <cell r="F3">
            <v>908.15243999999996</v>
          </cell>
          <cell r="G3">
            <v>101.53542749999998</v>
          </cell>
          <cell r="H3">
            <v>1225.7629837500003</v>
          </cell>
          <cell r="I3">
            <v>378.86593500000004</v>
          </cell>
          <cell r="J3">
            <v>449.95668000000006</v>
          </cell>
          <cell r="K3">
            <v>932.10830999999996</v>
          </cell>
        </row>
        <row r="34">
          <cell r="B34">
            <v>190.35992250000004</v>
          </cell>
          <cell r="C34">
            <v>333.23220000000003</v>
          </cell>
          <cell r="D34">
            <v>515.2410900000001</v>
          </cell>
          <cell r="E34">
            <v>426.50381249999992</v>
          </cell>
          <cell r="F34">
            <v>918.38805374999993</v>
          </cell>
          <cell r="G34">
            <v>414.16085250000009</v>
          </cell>
          <cell r="H34">
            <v>962.02130625000007</v>
          </cell>
          <cell r="I34">
            <v>384.33187500000003</v>
          </cell>
          <cell r="J34">
            <v>767.81031750000011</v>
          </cell>
          <cell r="K34">
            <v>789.1733925000002</v>
          </cell>
        </row>
      </sheetData>
      <sheetData sheetId="12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LDL__13C_data METFORMIN"/>
      <sheetName val="VLDL__13C_data DAPA"/>
      <sheetName val="VLDL__DNL data metformin "/>
      <sheetName val="VLDL__DNL data DAPA"/>
    </sheetNames>
    <sheetDataSet>
      <sheetData sheetId="0" refreshError="1"/>
      <sheetData sheetId="1" refreshError="1"/>
      <sheetData sheetId="2" refreshError="1"/>
      <sheetData sheetId="3" refreshError="1">
        <row r="20">
          <cell r="B20">
            <v>9.9540603575296664</v>
          </cell>
          <cell r="C20">
            <v>3.128087445007488</v>
          </cell>
          <cell r="D20">
            <v>1.7104428361308988</v>
          </cell>
          <cell r="E20">
            <v>8.8956818554210138</v>
          </cell>
          <cell r="F20">
            <v>7.521878102827122</v>
          </cell>
          <cell r="G20">
            <v>1.1761410726545745</v>
          </cell>
          <cell r="H20">
            <v>8.6541355652603063</v>
          </cell>
          <cell r="I20">
            <v>3.0072864798562389</v>
          </cell>
          <cell r="J20">
            <v>2.6268428606502776</v>
          </cell>
          <cell r="K20">
            <v>5.8311732847532793</v>
          </cell>
        </row>
        <row r="50">
          <cell r="B50">
            <v>4.9503789157666986</v>
          </cell>
          <cell r="C50">
            <v>6.2770628868669869</v>
          </cell>
          <cell r="D50">
            <v>2.4475535221113875</v>
          </cell>
          <cell r="E50">
            <v>6.0236836572191645</v>
          </cell>
          <cell r="F50">
            <v>12.675564293824282</v>
          </cell>
          <cell r="G50">
            <v>4.9354184315274434</v>
          </cell>
          <cell r="H50">
            <v>6.6454148728880194</v>
          </cell>
          <cell r="I50">
            <v>11.627677711989266</v>
          </cell>
          <cell r="J50">
            <v>3.2308622312145512</v>
          </cell>
          <cell r="K50">
            <v>3.2939602488675135</v>
          </cell>
        </row>
      </sheetData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 refreshError="1">
        <row r="6">
          <cell r="C6">
            <v>4.8239999999999998</v>
          </cell>
        </row>
        <row r="25">
          <cell r="C25">
            <v>5.6719999999999997</v>
          </cell>
        </row>
      </sheetData>
      <sheetData sheetId="1" refreshError="1">
        <row r="5">
          <cell r="C5">
            <v>558.79999999999995</v>
          </cell>
        </row>
        <row r="24">
          <cell r="C24">
            <v>565.4</v>
          </cell>
        </row>
      </sheetData>
      <sheetData sheetId="2" refreshError="1"/>
      <sheetData sheetId="3" refreshError="1">
        <row r="6">
          <cell r="I6">
            <v>473.2</v>
          </cell>
        </row>
      </sheetData>
      <sheetData sheetId="4" refreshError="1"/>
      <sheetData sheetId="5" refreshError="1">
        <row r="5">
          <cell r="C5">
            <v>487.5</v>
          </cell>
        </row>
        <row r="24">
          <cell r="F24">
            <v>118.9</v>
          </cell>
        </row>
      </sheetData>
      <sheetData sheetId="6" refreshError="1">
        <row r="6">
          <cell r="C6">
            <v>3.77</v>
          </cell>
          <cell r="J6">
            <v>1.1299999999999999</v>
          </cell>
        </row>
        <row r="12">
          <cell r="C12">
            <v>4.4800000000000004</v>
          </cell>
          <cell r="J12">
            <v>1.1399999999999999</v>
          </cell>
        </row>
      </sheetData>
      <sheetData sheetId="7" refreshError="1">
        <row r="9">
          <cell r="I9">
            <v>16.831</v>
          </cell>
        </row>
        <row r="41">
          <cell r="I41">
            <v>18.5825</v>
          </cell>
        </row>
      </sheetData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 refreshError="1">
        <row r="6">
          <cell r="C6">
            <v>5.6989999999999998</v>
          </cell>
        </row>
        <row r="25">
          <cell r="C25">
            <v>5.0629999999999997</v>
          </cell>
        </row>
      </sheetData>
      <sheetData sheetId="1" refreshError="1">
        <row r="5">
          <cell r="C5">
            <v>685.2</v>
          </cell>
        </row>
        <row r="24">
          <cell r="C24">
            <v>716.1</v>
          </cell>
        </row>
      </sheetData>
      <sheetData sheetId="2" refreshError="1"/>
      <sheetData sheetId="3" refreshError="1">
        <row r="6">
          <cell r="I6">
            <v>947.2</v>
          </cell>
        </row>
      </sheetData>
      <sheetData sheetId="4" refreshError="1"/>
      <sheetData sheetId="5" refreshError="1">
        <row r="5">
          <cell r="C5">
            <v>205.7</v>
          </cell>
        </row>
        <row r="24">
          <cell r="C24">
            <v>236.1</v>
          </cell>
        </row>
      </sheetData>
      <sheetData sheetId="6" refreshError="1">
        <row r="6">
          <cell r="C6">
            <v>4.4400000000000004</v>
          </cell>
          <cell r="J6">
            <v>1.04</v>
          </cell>
        </row>
        <row r="12">
          <cell r="C12">
            <v>4.32</v>
          </cell>
          <cell r="J12">
            <v>1.1299999999999999</v>
          </cell>
        </row>
      </sheetData>
      <sheetData sheetId="7" refreshError="1">
        <row r="9">
          <cell r="I9">
            <v>14.0745</v>
          </cell>
        </row>
        <row r="41">
          <cell r="I41">
            <v>10.7865</v>
          </cell>
        </row>
      </sheetData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 refreshError="1">
        <row r="6">
          <cell r="C6">
            <v>5.734</v>
          </cell>
        </row>
        <row r="25">
          <cell r="C25">
            <v>5.6719999999999997</v>
          </cell>
        </row>
      </sheetData>
      <sheetData sheetId="1" refreshError="1">
        <row r="5">
          <cell r="C5">
            <v>429.8</v>
          </cell>
        </row>
        <row r="24">
          <cell r="C24">
            <v>551</v>
          </cell>
        </row>
      </sheetData>
      <sheetData sheetId="2" refreshError="1"/>
      <sheetData sheetId="3" refreshError="1">
        <row r="6">
          <cell r="I6">
            <v>928</v>
          </cell>
        </row>
      </sheetData>
      <sheetData sheetId="4" refreshError="1"/>
      <sheetData sheetId="5" refreshError="1">
        <row r="5">
          <cell r="F5">
            <v>50</v>
          </cell>
        </row>
        <row r="24">
          <cell r="F24">
            <v>125.3</v>
          </cell>
        </row>
      </sheetData>
      <sheetData sheetId="6" refreshError="1">
        <row r="6">
          <cell r="C6">
            <v>4.59</v>
          </cell>
          <cell r="J6">
            <v>0.77</v>
          </cell>
        </row>
        <row r="12">
          <cell r="C12">
            <v>5.31</v>
          </cell>
          <cell r="J12">
            <v>0.79</v>
          </cell>
        </row>
      </sheetData>
      <sheetData sheetId="7" refreshError="1">
        <row r="9">
          <cell r="I9">
            <v>33.664999999999999</v>
          </cell>
        </row>
        <row r="41">
          <cell r="I41">
            <v>34.271500000000003</v>
          </cell>
        </row>
      </sheetData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 refreshError="1">
        <row r="6">
          <cell r="C6">
            <v>5.5990000000000002</v>
          </cell>
        </row>
        <row r="25">
          <cell r="C25">
            <v>5.569</v>
          </cell>
        </row>
      </sheetData>
      <sheetData sheetId="1" refreshError="1">
        <row r="5">
          <cell r="C5">
            <v>1251.7</v>
          </cell>
        </row>
        <row r="24">
          <cell r="C24">
            <v>1166.8</v>
          </cell>
        </row>
      </sheetData>
      <sheetData sheetId="2" refreshError="1"/>
      <sheetData sheetId="3" refreshError="1">
        <row r="6">
          <cell r="I6">
            <v>1530.2</v>
          </cell>
        </row>
      </sheetData>
      <sheetData sheetId="4" refreshError="1"/>
      <sheetData sheetId="5" refreshError="1">
        <row r="5">
          <cell r="C5">
            <v>228.1</v>
          </cell>
        </row>
        <row r="24">
          <cell r="C24">
            <v>147.9</v>
          </cell>
        </row>
      </sheetData>
      <sheetData sheetId="6" refreshError="1">
        <row r="6">
          <cell r="C6">
            <v>4.9000000000000004</v>
          </cell>
          <cell r="J6">
            <v>1.34</v>
          </cell>
        </row>
        <row r="12">
          <cell r="C12">
            <v>4.51</v>
          </cell>
          <cell r="J12">
            <v>1.57</v>
          </cell>
        </row>
      </sheetData>
      <sheetData sheetId="7" refreshError="1">
        <row r="9">
          <cell r="I9">
            <v>28.106999999999999</v>
          </cell>
        </row>
        <row r="41">
          <cell r="I41">
            <v>22.6</v>
          </cell>
        </row>
      </sheetData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 refreshError="1">
        <row r="6">
          <cell r="C6">
            <v>6.5270000000000001</v>
          </cell>
        </row>
        <row r="25">
          <cell r="C25">
            <v>5.3520000000000003</v>
          </cell>
        </row>
      </sheetData>
      <sheetData sheetId="1" refreshError="1">
        <row r="5">
          <cell r="C5">
            <v>688.5</v>
          </cell>
        </row>
        <row r="24">
          <cell r="C24">
            <v>540.20000000000005</v>
          </cell>
        </row>
      </sheetData>
      <sheetData sheetId="2" refreshError="1"/>
      <sheetData sheetId="3" refreshError="1">
        <row r="6">
          <cell r="I6">
            <v>1040.3</v>
          </cell>
        </row>
      </sheetData>
      <sheetData sheetId="4" refreshError="1"/>
      <sheetData sheetId="5" refreshError="1">
        <row r="5">
          <cell r="C5">
            <v>80.3</v>
          </cell>
        </row>
        <row r="24">
          <cell r="C24">
            <v>30</v>
          </cell>
        </row>
      </sheetData>
      <sheetData sheetId="6" refreshError="1">
        <row r="6">
          <cell r="C6">
            <v>4.05</v>
          </cell>
          <cell r="J6">
            <v>1.18</v>
          </cell>
        </row>
        <row r="12">
          <cell r="C12">
            <v>3.33</v>
          </cell>
          <cell r="J12">
            <v>1.06</v>
          </cell>
        </row>
      </sheetData>
      <sheetData sheetId="7" refreshError="1">
        <row r="9">
          <cell r="I9">
            <v>28.107500000000002</v>
          </cell>
        </row>
        <row r="41">
          <cell r="I41">
            <v>24.243000000000002</v>
          </cell>
        </row>
      </sheetData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 refreshError="1">
        <row r="6">
          <cell r="C6">
            <v>5.577</v>
          </cell>
        </row>
        <row r="25">
          <cell r="C25">
            <v>5.617</v>
          </cell>
        </row>
      </sheetData>
      <sheetData sheetId="1" refreshError="1">
        <row r="5">
          <cell r="F5">
            <v>571.5</v>
          </cell>
        </row>
        <row r="24">
          <cell r="F24">
            <v>859.05</v>
          </cell>
        </row>
      </sheetData>
      <sheetData sheetId="2" refreshError="1"/>
      <sheetData sheetId="3" refreshError="1">
        <row r="6">
          <cell r="I6">
            <v>1866.2</v>
          </cell>
        </row>
      </sheetData>
      <sheetData sheetId="4" refreshError="1"/>
      <sheetData sheetId="5" refreshError="1">
        <row r="5">
          <cell r="C5">
            <v>29.5</v>
          </cell>
        </row>
        <row r="24">
          <cell r="F24">
            <v>112.1</v>
          </cell>
        </row>
      </sheetData>
      <sheetData sheetId="6" refreshError="1">
        <row r="6">
          <cell r="C6">
            <v>5.21</v>
          </cell>
          <cell r="J6">
            <v>1.42</v>
          </cell>
        </row>
        <row r="12">
          <cell r="C12">
            <v>4.93</v>
          </cell>
          <cell r="J12">
            <v>1.29</v>
          </cell>
        </row>
      </sheetData>
      <sheetData sheetId="7" refreshError="1">
        <row r="9">
          <cell r="I9">
            <v>23.411999999999999</v>
          </cell>
        </row>
        <row r="41">
          <cell r="I41">
            <v>23.824000000000002</v>
          </cell>
        </row>
      </sheetData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 refreshError="1">
        <row r="6">
          <cell r="C6">
            <v>5.2759999999999998</v>
          </cell>
        </row>
        <row r="25">
          <cell r="C25">
            <v>5.6470000000000002</v>
          </cell>
        </row>
      </sheetData>
      <sheetData sheetId="1" refreshError="1">
        <row r="5">
          <cell r="F5">
            <v>584.1</v>
          </cell>
        </row>
        <row r="24">
          <cell r="F24">
            <v>444.9</v>
          </cell>
        </row>
      </sheetData>
      <sheetData sheetId="2" refreshError="1"/>
      <sheetData sheetId="3" refreshError="1">
        <row r="6">
          <cell r="I6">
            <v>956.19999999999993</v>
          </cell>
        </row>
      </sheetData>
      <sheetData sheetId="4" refreshError="1"/>
      <sheetData sheetId="5" refreshError="1">
        <row r="5">
          <cell r="F5">
            <v>164.1</v>
          </cell>
        </row>
        <row r="24">
          <cell r="F24">
            <v>184.9</v>
          </cell>
        </row>
      </sheetData>
      <sheetData sheetId="6" refreshError="1">
        <row r="6">
          <cell r="C6">
            <v>4.66</v>
          </cell>
          <cell r="J6">
            <v>1.57</v>
          </cell>
        </row>
        <row r="12">
          <cell r="C12">
            <v>4.41</v>
          </cell>
          <cell r="J12">
            <v>1.44</v>
          </cell>
        </row>
      </sheetData>
      <sheetData sheetId="7" refreshError="1">
        <row r="9">
          <cell r="I9">
            <v>13.631499999999999</v>
          </cell>
        </row>
        <row r="41">
          <cell r="I41">
            <v>13.843499999999999</v>
          </cell>
        </row>
      </sheetData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 refreshError="1">
        <row r="6">
          <cell r="C6">
            <v>6.343</v>
          </cell>
        </row>
        <row r="25">
          <cell r="C25">
            <v>5.74</v>
          </cell>
        </row>
      </sheetData>
      <sheetData sheetId="1" refreshError="1">
        <row r="5">
          <cell r="F5">
            <v>590.20000000000005</v>
          </cell>
        </row>
        <row r="24">
          <cell r="F24">
            <v>497.8</v>
          </cell>
        </row>
      </sheetData>
      <sheetData sheetId="2" refreshError="1"/>
      <sheetData sheetId="3" refreshError="1">
        <row r="6">
          <cell r="I6">
            <v>1334.1000000000001</v>
          </cell>
        </row>
      </sheetData>
      <sheetData sheetId="4" refreshError="1"/>
      <sheetData sheetId="5" refreshError="1">
        <row r="5">
          <cell r="F5">
            <v>81.5</v>
          </cell>
        </row>
        <row r="24">
          <cell r="F24">
            <v>124.1</v>
          </cell>
        </row>
      </sheetData>
      <sheetData sheetId="6" refreshError="1">
        <row r="6">
          <cell r="C6">
            <v>6.39</v>
          </cell>
          <cell r="J6">
            <v>1.59</v>
          </cell>
        </row>
        <row r="12">
          <cell r="C12">
            <v>6.53</v>
          </cell>
          <cell r="J12">
            <v>1.69</v>
          </cell>
        </row>
      </sheetData>
      <sheetData sheetId="7" refreshError="1">
        <row r="9">
          <cell r="I9">
            <v>34.166499999999999</v>
          </cell>
        </row>
        <row r="41">
          <cell r="I41">
            <v>25.286000000000001</v>
          </cell>
        </row>
      </sheetData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 refreshError="1">
        <row r="6">
          <cell r="F6">
            <v>6.4080000000000004</v>
          </cell>
        </row>
        <row r="25">
          <cell r="F25">
            <v>4.9390000000000001</v>
          </cell>
        </row>
      </sheetData>
      <sheetData sheetId="1" refreshError="1">
        <row r="5">
          <cell r="F5">
            <v>581.70000000000005</v>
          </cell>
        </row>
        <row r="24">
          <cell r="F24">
            <v>372.9</v>
          </cell>
        </row>
      </sheetData>
      <sheetData sheetId="2" refreshError="1"/>
      <sheetData sheetId="3" refreshError="1">
        <row r="6">
          <cell r="I6">
            <v>1333.7</v>
          </cell>
        </row>
      </sheetData>
      <sheetData sheetId="4" refreshError="1"/>
      <sheetData sheetId="5" refreshError="1">
        <row r="5">
          <cell r="F5">
            <v>40.6</v>
          </cell>
        </row>
        <row r="24">
          <cell r="F24">
            <v>322.2</v>
          </cell>
        </row>
      </sheetData>
      <sheetData sheetId="6" refreshError="1">
        <row r="6">
          <cell r="C6">
            <v>5.01</v>
          </cell>
          <cell r="J6">
            <v>0.7</v>
          </cell>
        </row>
        <row r="12">
          <cell r="C12">
            <v>5</v>
          </cell>
          <cell r="J12">
            <v>0.61</v>
          </cell>
        </row>
      </sheetData>
      <sheetData sheetId="7" refreshError="1">
        <row r="9">
          <cell r="I9">
            <v>32.417499999999997</v>
          </cell>
        </row>
        <row r="41">
          <cell r="I41">
            <v>25.321000000000002</v>
          </cell>
        </row>
      </sheetData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s and TAG concs"/>
      <sheetName val="Sheet2"/>
      <sheetName val="Sheet3"/>
    </sheetNames>
    <sheetDataSet>
      <sheetData sheetId="0" refreshError="1">
        <row r="4">
          <cell r="H4">
            <v>192.74482499999999</v>
          </cell>
        </row>
      </sheetData>
      <sheetData sheetId="1" refreshError="1"/>
      <sheetData sheetId="2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s and TAG concs"/>
      <sheetName val="Sheet2"/>
      <sheetName val="Sheet3"/>
    </sheetNames>
    <sheetDataSet>
      <sheetData sheetId="0" refreshError="1">
        <row r="4">
          <cell r="H4">
            <v>778.70916000000011</v>
          </cell>
        </row>
      </sheetData>
      <sheetData sheetId="1" refreshError="1"/>
      <sheetData sheetId="2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s and TAG concs"/>
      <sheetName val="Sheet2"/>
      <sheetName val="Sheet3"/>
    </sheetNames>
    <sheetDataSet>
      <sheetData sheetId="0" refreshError="1">
        <row r="12">
          <cell r="H12">
            <v>1320.771</v>
          </cell>
        </row>
      </sheetData>
      <sheetData sheetId="1" refreshError="1"/>
      <sheetData sheetId="2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s and TAG concs"/>
      <sheetName val="Sheet2"/>
      <sheetName val="Sheet3"/>
    </sheetNames>
    <sheetDataSet>
      <sheetData sheetId="0" refreshError="1">
        <row r="4">
          <cell r="H4">
            <v>314.8618350000001</v>
          </cell>
        </row>
      </sheetData>
      <sheetData sheetId="1" refreshError="1"/>
      <sheetData sheetId="2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s and TAG concs"/>
      <sheetName val="Sheet2"/>
      <sheetName val="Sheet3"/>
    </sheetNames>
    <sheetDataSet>
      <sheetData sheetId="0" refreshError="1">
        <row r="4">
          <cell r="H4">
            <v>1873.4193900000002</v>
          </cell>
        </row>
      </sheetData>
      <sheetData sheetId="1" refreshError="1"/>
      <sheetData sheetId="2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thro data"/>
      <sheetName val="Antro data_biospies only"/>
      <sheetName val="Sheet1"/>
    </sheetNames>
    <sheetDataSet>
      <sheetData sheetId="0">
        <row r="41">
          <cell r="B41">
            <v>90.7</v>
          </cell>
          <cell r="D41">
            <v>91.4</v>
          </cell>
          <cell r="E41">
            <v>89.5</v>
          </cell>
          <cell r="F41">
            <v>90.6</v>
          </cell>
          <cell r="H41">
            <v>68</v>
          </cell>
          <cell r="I41">
            <v>100.7</v>
          </cell>
          <cell r="J41">
            <v>95.4</v>
          </cell>
          <cell r="K41">
            <v>80.3</v>
          </cell>
          <cell r="L41">
            <v>85.6</v>
          </cell>
          <cell r="M41">
            <v>80.3</v>
          </cell>
          <cell r="N41">
            <v>108.4</v>
          </cell>
          <cell r="O41">
            <v>115.2</v>
          </cell>
          <cell r="P41">
            <v>68.400000000000006</v>
          </cell>
          <cell r="Q41">
            <v>92.1</v>
          </cell>
          <cell r="R41">
            <v>87.1</v>
          </cell>
          <cell r="S41">
            <v>98.8</v>
          </cell>
          <cell r="T41">
            <v>89</v>
          </cell>
          <cell r="U41">
            <v>96.4</v>
          </cell>
          <cell r="V41">
            <v>98.8</v>
          </cell>
          <cell r="W41">
            <v>98.1</v>
          </cell>
        </row>
        <row r="44">
          <cell r="B44">
            <v>102</v>
          </cell>
          <cell r="D44">
            <v>99</v>
          </cell>
          <cell r="E44">
            <v>95</v>
          </cell>
          <cell r="F44">
            <v>94</v>
          </cell>
          <cell r="H44">
            <v>87</v>
          </cell>
          <cell r="I44">
            <v>107</v>
          </cell>
          <cell r="J44">
            <v>99</v>
          </cell>
          <cell r="K44">
            <v>88</v>
          </cell>
          <cell r="L44">
            <v>94</v>
          </cell>
          <cell r="M44">
            <v>97</v>
          </cell>
          <cell r="N44">
            <v>100</v>
          </cell>
          <cell r="O44">
            <v>127</v>
          </cell>
          <cell r="P44">
            <v>87</v>
          </cell>
          <cell r="Q44">
            <v>90</v>
          </cell>
          <cell r="R44">
            <v>89</v>
          </cell>
          <cell r="S44">
            <v>107</v>
          </cell>
          <cell r="T44">
            <v>94</v>
          </cell>
          <cell r="U44">
            <v>104</v>
          </cell>
          <cell r="V44">
            <v>109</v>
          </cell>
          <cell r="W44">
            <v>97</v>
          </cell>
        </row>
        <row r="45">
          <cell r="B45">
            <v>105</v>
          </cell>
          <cell r="D45">
            <v>104</v>
          </cell>
          <cell r="E45">
            <v>103</v>
          </cell>
          <cell r="F45">
            <v>101</v>
          </cell>
          <cell r="H45">
            <v>92</v>
          </cell>
          <cell r="I45">
            <v>107</v>
          </cell>
          <cell r="J45">
            <v>108</v>
          </cell>
          <cell r="K45">
            <v>98</v>
          </cell>
          <cell r="L45">
            <v>99</v>
          </cell>
          <cell r="M45">
            <v>98</v>
          </cell>
          <cell r="N45">
            <v>111</v>
          </cell>
          <cell r="O45">
            <v>123</v>
          </cell>
          <cell r="P45">
            <v>94</v>
          </cell>
          <cell r="Q45">
            <v>102</v>
          </cell>
          <cell r="R45">
            <v>100</v>
          </cell>
          <cell r="S45">
            <v>107</v>
          </cell>
          <cell r="T45">
            <v>101</v>
          </cell>
          <cell r="U45">
            <v>105</v>
          </cell>
          <cell r="V45">
            <v>106</v>
          </cell>
          <cell r="W45">
            <v>108</v>
          </cell>
        </row>
      </sheetData>
      <sheetData sheetId="1"/>
      <sheetData sheetId="2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tro_all"/>
      <sheetName val="iLab_fasting data_all with a_b"/>
      <sheetName val="For SPSS"/>
      <sheetName val="Sheet1"/>
    </sheetNames>
    <sheetDataSet>
      <sheetData sheetId="0"/>
      <sheetData sheetId="1"/>
      <sheetData sheetId="2">
        <row r="2">
          <cell r="AD2">
            <v>7.9</v>
          </cell>
          <cell r="AG2">
            <v>5.056</v>
          </cell>
          <cell r="AI2">
            <v>15.907499999999999</v>
          </cell>
          <cell r="AK2">
            <v>176.9</v>
          </cell>
          <cell r="AM2">
            <v>1356.6</v>
          </cell>
        </row>
        <row r="4">
          <cell r="AD4">
            <v>1.9</v>
          </cell>
          <cell r="AG4">
            <v>5.17</v>
          </cell>
          <cell r="AI4">
            <v>13.665500000000002</v>
          </cell>
          <cell r="AK4">
            <v>498.7</v>
          </cell>
          <cell r="AM4">
            <v>1870.1999999999998</v>
          </cell>
        </row>
        <row r="5">
          <cell r="AD5">
            <v>11.3</v>
          </cell>
          <cell r="AG5">
            <v>5.4409999999999998</v>
          </cell>
          <cell r="AI5">
            <v>16.105499999999999</v>
          </cell>
          <cell r="AK5">
            <v>294.7</v>
          </cell>
          <cell r="AM5">
            <v>3146.1</v>
          </cell>
        </row>
        <row r="6">
          <cell r="AD6">
            <v>1.9</v>
          </cell>
          <cell r="AG6">
            <v>5.3949999999999996</v>
          </cell>
          <cell r="AI6">
            <v>11.224</v>
          </cell>
          <cell r="AK6">
            <v>176.5</v>
          </cell>
          <cell r="AM6">
            <v>1387.8</v>
          </cell>
        </row>
        <row r="8">
          <cell r="AD8">
            <v>1.8</v>
          </cell>
          <cell r="AG8">
            <v>5.17</v>
          </cell>
          <cell r="AI8">
            <v>8.27</v>
          </cell>
          <cell r="AK8">
            <v>347.8</v>
          </cell>
          <cell r="AM8">
            <v>883.3</v>
          </cell>
        </row>
        <row r="9">
          <cell r="AD9">
            <v>5.3</v>
          </cell>
          <cell r="AG9">
            <v>5.508</v>
          </cell>
          <cell r="AI9">
            <v>14.987</v>
          </cell>
          <cell r="AK9">
            <v>284.3</v>
          </cell>
          <cell r="AM9">
            <v>1827.2</v>
          </cell>
        </row>
        <row r="10">
          <cell r="AD10">
            <v>7.6</v>
          </cell>
          <cell r="AG10">
            <v>6.2830000000000004</v>
          </cell>
          <cell r="AI10">
            <v>15.2165</v>
          </cell>
          <cell r="AK10">
            <v>433.8</v>
          </cell>
          <cell r="AM10">
            <v>2227.8000000000002</v>
          </cell>
        </row>
        <row r="11">
          <cell r="AD11">
            <v>2.9</v>
          </cell>
          <cell r="AG11">
            <v>5.3650000000000002</v>
          </cell>
          <cell r="AI11">
            <v>10.3345</v>
          </cell>
          <cell r="AK11">
            <v>227.3</v>
          </cell>
          <cell r="AM11">
            <v>1321.6</v>
          </cell>
        </row>
        <row r="12">
          <cell r="AD12">
            <v>13.533834586466167</v>
          </cell>
          <cell r="AG12">
            <v>5.7709999999999999</v>
          </cell>
          <cell r="AI12">
            <v>19.677</v>
          </cell>
          <cell r="AK12">
            <v>352.4</v>
          </cell>
          <cell r="AM12">
            <v>1690.6</v>
          </cell>
        </row>
        <row r="13">
          <cell r="AD13">
            <v>3.3</v>
          </cell>
          <cell r="AG13">
            <v>5.3959999999999999</v>
          </cell>
          <cell r="AI13">
            <v>10.388</v>
          </cell>
          <cell r="AK13">
            <v>270.39999999999998</v>
          </cell>
          <cell r="AM13">
            <v>1590.8</v>
          </cell>
        </row>
        <row r="14">
          <cell r="AD14">
            <v>22.8</v>
          </cell>
          <cell r="AG14">
            <v>5.7839999999999998</v>
          </cell>
          <cell r="AI14">
            <v>17.966999999999999</v>
          </cell>
          <cell r="AK14">
            <v>705.5</v>
          </cell>
          <cell r="AM14">
            <v>1328.6000000000001</v>
          </cell>
        </row>
        <row r="15">
          <cell r="AD15">
            <v>1.3</v>
          </cell>
          <cell r="AG15">
            <v>5.7629999999999999</v>
          </cell>
          <cell r="AI15">
            <v>9.577</v>
          </cell>
          <cell r="AK15">
            <v>288</v>
          </cell>
          <cell r="AM15">
            <v>1614.5</v>
          </cell>
        </row>
        <row r="16">
          <cell r="AD16">
            <v>3.3</v>
          </cell>
          <cell r="AG16">
            <v>5.8449999999999998</v>
          </cell>
          <cell r="AI16">
            <v>10.305</v>
          </cell>
          <cell r="AK16">
            <v>241.7</v>
          </cell>
          <cell r="AM16">
            <v>1691</v>
          </cell>
        </row>
        <row r="17">
          <cell r="AD17">
            <v>1.5</v>
          </cell>
          <cell r="AG17">
            <v>5.7469999999999999</v>
          </cell>
          <cell r="AI17">
            <v>15.198500000000001</v>
          </cell>
          <cell r="AK17">
            <v>408.6</v>
          </cell>
          <cell r="AM17">
            <v>1415.6</v>
          </cell>
        </row>
        <row r="18">
          <cell r="AD18">
            <v>2.8</v>
          </cell>
          <cell r="AG18">
            <v>6.2050000000000001</v>
          </cell>
          <cell r="AI18">
            <v>12.181999999999999</v>
          </cell>
          <cell r="AK18">
            <v>374</v>
          </cell>
          <cell r="AM18">
            <v>1751.1</v>
          </cell>
        </row>
        <row r="19">
          <cell r="AD19">
            <v>6.8</v>
          </cell>
          <cell r="AG19">
            <v>5.8940000000000001</v>
          </cell>
          <cell r="AI19">
            <v>17.495000000000001</v>
          </cell>
          <cell r="AK19">
            <v>462</v>
          </cell>
          <cell r="AM19">
            <v>4016</v>
          </cell>
        </row>
        <row r="20">
          <cell r="AD20">
            <v>7.1</v>
          </cell>
          <cell r="AG20">
            <v>6.1429999999999998</v>
          </cell>
          <cell r="AI20">
            <v>14.752500000000001</v>
          </cell>
          <cell r="AK20">
            <v>431.2</v>
          </cell>
          <cell r="AM20">
            <v>1068.7</v>
          </cell>
        </row>
        <row r="21">
          <cell r="AD21">
            <v>2.2999999999999998</v>
          </cell>
          <cell r="AG21">
            <v>6.375</v>
          </cell>
          <cell r="AI21">
            <v>14.125999999999999</v>
          </cell>
          <cell r="AK21">
            <v>184.4</v>
          </cell>
          <cell r="AM21">
            <v>1480.1000000000001</v>
          </cell>
        </row>
        <row r="22">
          <cell r="AD22">
            <v>2.5</v>
          </cell>
          <cell r="AG22">
            <v>5.1890000000000001</v>
          </cell>
          <cell r="AI22">
            <v>17.6145</v>
          </cell>
          <cell r="AK22">
            <v>291.60000000000002</v>
          </cell>
          <cell r="AM22">
            <v>3709.05</v>
          </cell>
        </row>
      </sheetData>
      <sheetData sheetId="3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tro data"/>
      <sheetName val="Glucose"/>
      <sheetName val="Insulin"/>
      <sheetName val="NEFA"/>
      <sheetName val="Glycerol"/>
      <sheetName val="TAG"/>
      <sheetName val="Urea"/>
      <sheetName val="Ranbut 3OHB"/>
      <sheetName val="PCA 3OHB"/>
      <sheetName val="PCA AcAc"/>
      <sheetName val="Apo B"/>
      <sheetName val="Cholesterol"/>
      <sheetName val="HDL"/>
      <sheetName val="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4">
          <cell r="B24">
            <v>31</v>
          </cell>
          <cell r="D24">
            <v>43.2</v>
          </cell>
          <cell r="E24">
            <v>29.1</v>
          </cell>
          <cell r="F24">
            <v>24.5</v>
          </cell>
          <cell r="H24">
            <v>50.3</v>
          </cell>
          <cell r="I24">
            <v>49.3</v>
          </cell>
          <cell r="J24">
            <v>48</v>
          </cell>
          <cell r="K24">
            <v>40.6</v>
          </cell>
          <cell r="L24">
            <v>24.3</v>
          </cell>
          <cell r="M24">
            <v>31.9</v>
          </cell>
          <cell r="N24">
            <v>141.19999999999999</v>
          </cell>
          <cell r="O24">
            <v>53.3</v>
          </cell>
          <cell r="P24">
            <v>64.400000000000006</v>
          </cell>
          <cell r="Q24">
            <v>71.8</v>
          </cell>
          <cell r="R24">
            <v>34.1</v>
          </cell>
          <cell r="S24">
            <v>48.9</v>
          </cell>
          <cell r="T24">
            <v>64.3</v>
          </cell>
          <cell r="U24">
            <v>45.9</v>
          </cell>
          <cell r="V24">
            <v>76.75</v>
          </cell>
        </row>
      </sheetData>
      <sheetData sheetId="8"/>
      <sheetData sheetId="9"/>
      <sheetData sheetId="10"/>
      <sheetData sheetId="11">
        <row r="24">
          <cell r="B24">
            <v>5.39</v>
          </cell>
          <cell r="D24">
            <v>6.02</v>
          </cell>
          <cell r="E24">
            <v>5.43</v>
          </cell>
          <cell r="F24">
            <v>3.71</v>
          </cell>
          <cell r="H24">
            <v>6.27</v>
          </cell>
          <cell r="I24">
            <v>4.22</v>
          </cell>
          <cell r="J24">
            <v>4.97</v>
          </cell>
          <cell r="K24">
            <v>5.41</v>
          </cell>
          <cell r="L24">
            <v>6.42</v>
          </cell>
          <cell r="M24">
            <v>5.41</v>
          </cell>
          <cell r="N24">
            <v>5.86</v>
          </cell>
          <cell r="O24">
            <v>5.27</v>
          </cell>
          <cell r="P24">
            <v>4.63</v>
          </cell>
          <cell r="Q24">
            <v>5.83</v>
          </cell>
          <cell r="R24">
            <v>5.82</v>
          </cell>
          <cell r="S24">
            <v>6.91</v>
          </cell>
          <cell r="T24">
            <v>5.61</v>
          </cell>
          <cell r="U24">
            <v>5.93</v>
          </cell>
          <cell r="V24">
            <v>5.24</v>
          </cell>
        </row>
      </sheetData>
      <sheetData sheetId="12">
        <row r="24">
          <cell r="B24">
            <v>0.96</v>
          </cell>
          <cell r="D24">
            <v>1.3</v>
          </cell>
          <cell r="E24">
            <v>1.1399999999999999</v>
          </cell>
          <cell r="F24">
            <v>0.85</v>
          </cell>
          <cell r="H24">
            <v>1.0900000000000001</v>
          </cell>
          <cell r="I24">
            <v>0.92</v>
          </cell>
          <cell r="J24">
            <v>0.78</v>
          </cell>
          <cell r="K24">
            <v>1.25</v>
          </cell>
          <cell r="L24">
            <v>1.1100000000000001</v>
          </cell>
          <cell r="M24">
            <v>0.82</v>
          </cell>
          <cell r="N24">
            <v>0.98</v>
          </cell>
          <cell r="O24">
            <v>0.88</v>
          </cell>
          <cell r="P24">
            <v>1.08</v>
          </cell>
          <cell r="Q24">
            <v>1</v>
          </cell>
          <cell r="R24">
            <v>0.97</v>
          </cell>
          <cell r="S24">
            <v>1.1399999999999999</v>
          </cell>
          <cell r="T24">
            <v>1.1100000000000001</v>
          </cell>
          <cell r="U24">
            <v>1.19</v>
          </cell>
          <cell r="V24">
            <v>0.92</v>
          </cell>
        </row>
      </sheetData>
      <sheetData sheetId="13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sma H2O"/>
      <sheetName val="bound ttr 16"/>
      <sheetName val="bound ttr 16 minus background"/>
      <sheetName val="16 DNL"/>
      <sheetName val="bound ttr 161 minus background"/>
      <sheetName val="160mol% and 160 concn"/>
      <sheetName val="161mol% and 161 concn"/>
      <sheetName val="d2161_d2160_ratio"/>
      <sheetName val="Sheet1"/>
    </sheetNames>
    <sheetDataSet>
      <sheetData sheetId="0">
        <row r="13">
          <cell r="B13">
            <v>3.1947786499823107E-3</v>
          </cell>
          <cell r="D13">
            <v>3.1298154076225618E-3</v>
          </cell>
          <cell r="E13">
            <v>2.3762434835562598E-3</v>
          </cell>
          <cell r="F13">
            <v>3.0434283287089758E-3</v>
          </cell>
          <cell r="G13">
            <v>3.1350957308188027E-3</v>
          </cell>
          <cell r="H13">
            <v>3.2714831681637151E-3</v>
          </cell>
          <cell r="I13">
            <v>3.4999998100791376E-3</v>
          </cell>
          <cell r="J13">
            <v>3.1041033212784626E-3</v>
          </cell>
          <cell r="K13">
            <v>2.9711739749165703E-3</v>
          </cell>
          <cell r="L13">
            <v>3.3194373944859345E-3</v>
          </cell>
          <cell r="M13">
            <v>3.9505902931967441E-3</v>
          </cell>
          <cell r="N13">
            <v>3.1678554400898945E-3</v>
          </cell>
          <cell r="O13">
            <v>2.8906105492101973E-3</v>
          </cell>
          <cell r="P13">
            <v>2.8484538959247345E-3</v>
          </cell>
          <cell r="Q13">
            <v>3.1003833945370024E-3</v>
          </cell>
          <cell r="R13">
            <v>2.864678910490501E-3</v>
          </cell>
          <cell r="S13">
            <v>1.7984404281072971E-3</v>
          </cell>
          <cell r="T13">
            <v>1.9960566040608608E-3</v>
          </cell>
        </row>
      </sheetData>
      <sheetData sheetId="1"/>
      <sheetData sheetId="2"/>
      <sheetData sheetId="3">
        <row r="15">
          <cell r="B15">
            <v>16.510810224423832</v>
          </cell>
          <cell r="D15">
            <v>21.345178790313671</v>
          </cell>
          <cell r="E15">
            <v>12.500400798610315</v>
          </cell>
          <cell r="F15">
            <v>19.070260227924045</v>
          </cell>
          <cell r="G15">
            <v>6.3575587312101067</v>
          </cell>
          <cell r="H15">
            <v>8.5959186373862391</v>
          </cell>
          <cell r="I15">
            <v>13.599674550538104</v>
          </cell>
          <cell r="J15">
            <v>3.4144531035860251</v>
          </cell>
          <cell r="K15">
            <v>13.709325622480966</v>
          </cell>
          <cell r="L15">
            <v>8.907802912421122</v>
          </cell>
          <cell r="M15">
            <v>3.0255042892420043</v>
          </cell>
          <cell r="N15">
            <v>2.985368417501145</v>
          </cell>
          <cell r="O15">
            <v>3.4194797320913928</v>
          </cell>
          <cell r="P15">
            <v>2.1995120043915248</v>
          </cell>
          <cell r="Q15">
            <v>8.5085381337322712</v>
          </cell>
          <cell r="R15">
            <v>11.013918939441552</v>
          </cell>
          <cell r="S15">
            <v>8.8067826644890914</v>
          </cell>
          <cell r="T15">
            <v>12.285749338821351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s and TAG concs"/>
      <sheetName val="Sheet2"/>
      <sheetName val="Sheet3"/>
    </sheetNames>
    <sheetDataSet>
      <sheetData sheetId="0">
        <row r="6">
          <cell r="N6">
            <v>1989.3510449999999</v>
          </cell>
        </row>
      </sheetData>
      <sheetData sheetId="1"/>
      <sheetData sheetId="2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s and TAG concs"/>
      <sheetName val="Sheet2"/>
      <sheetName val="Sheet3"/>
    </sheetNames>
    <sheetDataSet>
      <sheetData sheetId="0">
        <row r="6">
          <cell r="N6">
            <v>1952.4677399999998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AK262" totalsRowShown="0">
  <autoFilter ref="A1:AK262" xr:uid="{00000000-0009-0000-0100-000001000000}"/>
  <sortState xmlns:xlrd2="http://schemas.microsoft.com/office/spreadsheetml/2017/richdata2" ref="A2:AK262">
    <sortCondition ref="A1:A262"/>
  </sortState>
  <tableColumns count="37">
    <tableColumn id="37" xr3:uid="{00000000-0010-0000-0000-000025000000}" name="GND Number" dataDxfId="117"/>
    <tableColumn id="1" xr3:uid="{00000000-0010-0000-0000-000001000000}" name="ID"/>
    <tableColumn id="2" xr3:uid="{00000000-0010-0000-0000-000002000000}" name="Study"/>
    <tableColumn id="3" xr3:uid="{00000000-0010-0000-0000-000003000000}" name="Visit"/>
    <tableColumn id="4" xr3:uid="{00000000-0010-0000-0000-000004000000}" name="Intervention"/>
    <tableColumn id="5" xr3:uid="{00000000-0010-0000-0000-000005000000}" name="Sex"/>
    <tableColumn id="6" xr3:uid="{00000000-0010-0000-0000-000006000000}" name="Age"/>
    <tableColumn id="9" xr3:uid="{00000000-0010-0000-0000-000009000000}" name="Height"/>
    <tableColumn id="10" xr3:uid="{00000000-0010-0000-0000-00000A000000}" name="Weight"/>
    <tableColumn id="11" xr3:uid="{00000000-0010-0000-0000-00000B000000}" name="BMI">
      <calculatedColumnFormula>I2/((H2/100)*(H2/100))</calculatedColumnFormula>
    </tableColumn>
    <tableColumn id="12" xr3:uid="{00000000-0010-0000-0000-00000C000000}" name="Waist_Circumference"/>
    <tableColumn id="13" xr3:uid="{00000000-0010-0000-0000-00000D000000}" name="Hip_circumference"/>
    <tableColumn id="14" xr3:uid="{00000000-0010-0000-0000-00000E000000}" name="Waist_Hip_Ratio" dataDxfId="116">
      <calculatedColumnFormula>Data[[#This Row],[Waist_Circumference]]/Data[[#This Row],[Hip_circumference]]</calculatedColumnFormula>
    </tableColumn>
    <tableColumn id="15" xr3:uid="{00000000-0010-0000-0000-00000F000000}" name="Total_fat_g" dataDxfId="115"/>
    <tableColumn id="16" xr3:uid="{00000000-0010-0000-0000-000010000000}" name="Lean_mass_g" dataDxfId="114"/>
    <tableColumn id="17" xr3:uid="{00000000-0010-0000-0000-000011000000}" name="Total_mass_g" dataDxfId="113">
      <calculatedColumnFormula>N2+O2</calculatedColumnFormula>
    </tableColumn>
    <tableColumn id="18" xr3:uid="{00000000-0010-0000-0000-000012000000}" name="Total_fat_%" dataDxfId="112">
      <calculatedColumnFormula>(Data[[#This Row],[Total_fat_g]]/Data[[#This Row],[Total_mass_g]])*100</calculatedColumnFormula>
    </tableColumn>
    <tableColumn id="19" xr3:uid="{00000000-0010-0000-0000-000013000000}" name="Lean_mass_%" dataDxfId="111">
      <calculatedColumnFormula>(Data[[#This Row],[Lean_mass_g]]/Data[[#This Row],[Total_mass_g]])*100</calculatedColumnFormula>
    </tableColumn>
    <tableColumn id="20" xr3:uid="{00000000-0010-0000-0000-000014000000}" name="Visceral_fat_g" dataDxfId="110"/>
    <tableColumn id="34" xr3:uid="{00000000-0010-0000-0000-000022000000}" name="IHTG_%" dataDxfId="109"/>
    <tableColumn id="21" xr3:uid="{00000000-0010-0000-0000-000015000000}" name="Glucose (umol/L)" dataDxfId="108"/>
    <tableColumn id="22" xr3:uid="{00000000-0010-0000-0000-000016000000}" name="Insulin (umol/L)" dataDxfId="107"/>
    <tableColumn id="23" xr3:uid="{00000000-0010-0000-0000-000017000000}" name="HOMA" dataDxfId="106">
      <calculatedColumnFormula>(Data[[#This Row],[Glucose (umol/L)]]*Data[[#This Row],[Insulin (umol/L)]])/22.5</calculatedColumnFormula>
    </tableColumn>
    <tableColumn id="24" xr3:uid="{00000000-0010-0000-0000-000018000000}" name="NEFA (umol/L)" dataDxfId="105"/>
    <tableColumn id="25" xr3:uid="{00000000-0010-0000-0000-000019000000}" name="TAG (umol/L)" dataDxfId="104"/>
    <tableColumn id="26" xr3:uid="{00000000-0010-0000-0000-00001A000000}" name="3OHB (umol/L)" dataDxfId="103"/>
    <tableColumn id="27" xr3:uid="{00000000-0010-0000-0000-00001B000000}" name="total_chol (umol/L)" dataDxfId="102"/>
    <tableColumn id="28" xr3:uid="{00000000-0010-0000-0000-00001C000000}" name="HDL_chol (umol/L)" dataDxfId="101"/>
    <tableColumn id="29" xr3:uid="{00000000-0010-0000-0000-00001D000000}" name="Non_HDL (umol/L)" dataDxfId="100">
      <calculatedColumnFormula>Data[[#This Row],[total_chol (umol/L)]]-Data[[#This Row],[HDL_chol (umol/L)]]</calculatedColumnFormula>
    </tableColumn>
    <tableColumn id="30" xr3:uid="{00000000-0010-0000-0000-00001E000000}" name="LDL_Friedewald" dataDxfId="99">
      <calculatedColumnFormula>Data[[#This Row],[Non_HDL (umol/L)]]-(Data[[#This Row],[TAG (umol/L)]]/2200)</calculatedColumnFormula>
    </tableColumn>
    <tableColumn id="31" xr3:uid="{00000000-0010-0000-0000-00001F000000}" name="VLDL (umol/L)" dataDxfId="98"/>
    <tableColumn id="35" xr3:uid="{00000000-0010-0000-0000-000023000000}" name="Plasma water enrichment (%)" dataDxfId="97"/>
    <tableColumn id="32" xr3:uid="{00000000-0010-0000-0000-000020000000}" name="DNL (%)" dataDxfId="96"/>
    <tableColumn id="38" xr3:uid="{00000000-0010-0000-0000-000026000000}" name="DNL (umol/L)" dataDxfId="95">
      <calculatedColumnFormula>(Data[[#This Row],[DNL (%)]]/100)*Data[[#This Row],[VLDL (umol/L)]]</calculatedColumnFormula>
    </tableColumn>
    <tableColumn id="36" xr3:uid="{00000000-0010-0000-0000-000024000000}" name="Gluconeogensis (%)" dataDxfId="94"/>
    <tableColumn id="33" xr3:uid="{00000000-0010-0000-0000-000021000000}" name="Gluconeogenesis (mmol/L)" dataDxfId="93">
      <calculatedColumnFormula>(Data[[#This Row],[Gluconeogensis (%)]]/100)*Data[[#This Row],[Glucose (umol/L)]]</calculatedColumnFormula>
    </tableColumn>
    <tableColumn id="39" xr3:uid="{00000000-0010-0000-0000-000027000000}" name="Comments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B4716E-CF25-714E-8F8B-80F68E48B516}" name="Data6" displayName="Data6" ref="A1:AR158" totalsRowShown="0">
  <autoFilter ref="A1:AR158" xr:uid="{00000000-0009-0000-0100-000001000000}"/>
  <sortState xmlns:xlrd2="http://schemas.microsoft.com/office/spreadsheetml/2017/richdata2" ref="A2:AP158">
    <sortCondition ref="Y1:Y158"/>
  </sortState>
  <tableColumns count="44">
    <tableColumn id="37" xr3:uid="{1E451960-3A9B-064F-92AB-970C58616456}" name="GND Number" dataDxfId="92"/>
    <tableColumn id="1" xr3:uid="{C1EF4C22-4529-6244-8F62-0CA366113CB6}" name="ID"/>
    <tableColumn id="2" xr3:uid="{702D3E40-AA96-0741-B27E-553D1B28FDAE}" name="Study"/>
    <tableColumn id="3" xr3:uid="{9152C242-A596-1946-A65C-2FA969D38750}" name="Visit"/>
    <tableColumn id="4" xr3:uid="{D79F901A-9387-784C-B1BE-A2F556AF2C22}" name="Intervention"/>
    <tableColumn id="40" xr3:uid="{F91E2D26-6CD5-2644-A8D8-B918800E6C25}" name="OBB Number" dataDxfId="91"/>
    <tableColumn id="5" xr3:uid="{009E8233-F985-A64B-B884-5FA3331956C1}" name="Sex"/>
    <tableColumn id="6" xr3:uid="{8F4A740F-B8F3-BF47-9D91-3064AE337BDF}" name="Age"/>
    <tableColumn id="7" xr3:uid="{6244F689-0B80-904C-86D3-916425339EF5}" name="PNPLA3"/>
    <tableColumn id="8" xr3:uid="{D7AF879B-CDA5-D342-B5D9-DD8F5CC16334}" name="DGAT2" dataDxfId="90"/>
    <tableColumn id="9" xr3:uid="{E0E85FA0-227F-D64E-838F-7218F41DE88D}" name="Height"/>
    <tableColumn id="10" xr3:uid="{540CAE77-7C68-724F-ADF4-D4ACFE6548AD}" name="Weight"/>
    <tableColumn id="11" xr3:uid="{89CC8C38-3A0E-3C4E-BDC7-A4351D612393}" name="BMI">
      <calculatedColumnFormula>L2/((K2/100)*(K2/100))</calculatedColumnFormula>
    </tableColumn>
    <tableColumn id="12" xr3:uid="{41CBB6D0-F097-4E46-A939-671A75798441}" name="Waist_Circumference"/>
    <tableColumn id="13" xr3:uid="{2187B1F2-D48F-D646-810E-6975C0FCFA5E}" name="Hip_circumference"/>
    <tableColumn id="14" xr3:uid="{C0975D56-8CA1-3644-9B22-B99FE5F163CB}" name="Waist_Hip_Ratio" dataDxfId="89">
      <calculatedColumnFormula>Data6[[#This Row],[Waist_Circumference]]/Data6[[#This Row],[Hip_circumference]]</calculatedColumnFormula>
    </tableColumn>
    <tableColumn id="15" xr3:uid="{438C9DC6-C59C-1B4F-9E9C-BC6159BB4574}" name="Total_fat_g" dataDxfId="88"/>
    <tableColumn id="16" xr3:uid="{937AE572-92B8-5B4F-8F8F-8A9C0A0CE999}" name="Lean_mass_g" dataDxfId="87"/>
    <tableColumn id="17" xr3:uid="{4948E838-9F60-A248-A581-0DE8071FD6DE}" name="Total_mass_g" dataDxfId="86">
      <calculatedColumnFormula>Q2+R2</calculatedColumnFormula>
    </tableColumn>
    <tableColumn id="18" xr3:uid="{72B8B4D6-E7A1-8444-A3D7-6A279EF33E54}" name="Total_fat_%" dataDxfId="85">
      <calculatedColumnFormula>(Data6[[#This Row],[Total_fat_g]]/Data6[[#This Row],[Total_mass_g]])*100</calculatedColumnFormula>
    </tableColumn>
    <tableColumn id="19" xr3:uid="{B2627E7A-ECD0-544D-B57C-6EC63579F9AC}" name="Lean_mass_%" dataDxfId="84">
      <calculatedColumnFormula>(Data6[[#This Row],[Lean_mass_g]]/Data6[[#This Row],[Total_mass_g]])*100</calculatedColumnFormula>
    </tableColumn>
    <tableColumn id="20" xr3:uid="{E842BB57-7123-8B47-B718-F335FDDE3F3B}" name="Visceral_fat_g" dataDxfId="83"/>
    <tableColumn id="34" xr3:uid="{C20D6E10-9A60-5748-9BB0-9DBD9DB04E0C}" name="IHTG_%" dataDxfId="82"/>
    <tableColumn id="21" xr3:uid="{A9135CFE-21B9-0149-A0A6-41D01AD5D5B2}" name="Glucose (mmol/L)" dataDxfId="81"/>
    <tableColumn id="22" xr3:uid="{AF9956CA-5744-8744-B413-5D4E7F45FC5F}" name="Insulin (umol/L)" dataDxfId="80"/>
    <tableColumn id="23" xr3:uid="{B2F3B874-B4E4-4B45-A7E9-628CCD0A3C22}" name="HOMA" dataDxfId="79">
      <calculatedColumnFormula>(Data6[[#This Row],[Glucose (mmol/L)]]*Data6[[#This Row],[Insulin (umol/L)]])/22.5</calculatedColumnFormula>
    </tableColumn>
    <tableColumn id="24" xr3:uid="{0C56EC6D-80A5-584D-9818-E783D7C836D6}" name="NEFA (umol/L)" dataDxfId="78"/>
    <tableColumn id="25" xr3:uid="{A8FA2856-D500-F341-B32B-7D090219336C}" name="TAG (umol/L)" dataDxfId="77"/>
    <tableColumn id="26" xr3:uid="{109BA8EA-FED7-B244-BC6E-3E343BF8C89C}" name="3OHB (umol/L)" dataDxfId="76"/>
    <tableColumn id="27" xr3:uid="{BC9971D8-D799-434B-8190-842630CE76A4}" name="total_chol (umol/L)" dataDxfId="75"/>
    <tableColumn id="28" xr3:uid="{4D5B2846-3FD9-FA47-B3CD-369D2C3F5945}" name="HDL_chol (umol/L)" dataDxfId="74"/>
    <tableColumn id="29" xr3:uid="{33F8052E-02F1-5948-904B-53A0AA5DBA87}" name="Non_HDL (umol/L)" dataDxfId="73">
      <calculatedColumnFormula>Data6[[#This Row],[total_chol (umol/L)]]-Data6[[#This Row],[HDL_chol (umol/L)]]</calculatedColumnFormula>
    </tableColumn>
    <tableColumn id="30" xr3:uid="{0E95F2A9-2921-EB47-81E4-4F722769B74E}" name="LDL_Friedewald" dataDxfId="72">
      <calculatedColumnFormula>Data6[[#This Row],[Non_HDL (umol/L)]]-(Data6[[#This Row],[TAG (umol/L)]]/2200)</calculatedColumnFormula>
    </tableColumn>
    <tableColumn id="31" xr3:uid="{06FB147C-B200-1A44-9C74-95F166150E05}" name="VLDL (umol/L)" dataDxfId="71"/>
    <tableColumn id="35" xr3:uid="{2AA3BC42-DD6F-E743-A451-E68175EF120E}" name="Plasma water enrichment (%)" dataDxfId="70"/>
    <tableColumn id="32" xr3:uid="{14E13668-F0FC-B04B-BF37-0FBB92FCBA95}" name="DNL (%)" dataDxfId="69"/>
    <tableColumn id="38" xr3:uid="{A7CBFA54-BEED-2745-B677-A65972BF03A7}" name="DNL (umol/L)" dataDxfId="68">
      <calculatedColumnFormula>(Data6[[#This Row],[DNL (%)]]/100)*Data6[[#This Row],[VLDL (umol/L)]]</calculatedColumnFormula>
    </tableColumn>
    <tableColumn id="36" xr3:uid="{D8919C28-FBE9-024F-9208-CADF5329E2A7}" name="Gluconeogensis (%)" dataDxfId="67"/>
    <tableColumn id="33" xr3:uid="{8647B870-8B89-3647-AD43-C325782EC8E8}" name="Gluconeogenesis (mmol/L)" dataDxfId="66">
      <calculatedColumnFormula>(Data6[[#This Row],[Gluconeogensis (%)]]/100)*Data6[[#This Row],[Glucose (mmol/L)]]</calculatedColumnFormula>
    </tableColumn>
    <tableColumn id="41" xr3:uid="{2CD1F411-2B1E-466E-B013-20D763F6E341}" name="GLY (mmol/L)" dataDxfId="6">
      <calculatedColumnFormula>Data6[[#This Row],[Glucose (mmol/L)]]-Data6[[#This Row],[Gluconeogenesis (mmol/L)]]</calculatedColumnFormula>
    </tableColumn>
    <tableColumn id="42" xr3:uid="{0BBC4D23-DDA1-49D5-AEEA-EA2C5FE94B4F}" name="Column1" dataDxfId="5"/>
    <tableColumn id="39" xr3:uid="{5632A00B-94B2-CE46-BA47-EF94F676E9A6}" name="Comments"/>
    <tableColumn id="43" xr3:uid="{6143BB65-15B6-41FA-9DEE-A05FA8DD3436}" name="Column2"/>
    <tableColumn id="44" xr3:uid="{53C93C6C-B5C0-4869-8813-3B1EDD2CC63B}" name="Column3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053CB7-2094-DA46-9027-0895F60CDD65}" name="Table7" displayName="Table7" ref="A1:AR15" totalsRowShown="0">
  <autoFilter ref="A1:AR15" xr:uid="{B64C4B6E-14BC-4947-8B17-D9A2CE4F5666}"/>
  <tableColumns count="44">
    <tableColumn id="1" xr3:uid="{E9234A94-0A35-5544-863E-875EC8471348}" name="GND Number" dataDxfId="65"/>
    <tableColumn id="2" xr3:uid="{10F8CCDF-8AB3-904C-98DC-BA9A72AB2632}" name="ID" dataDxfId="64"/>
    <tableColumn id="3" xr3:uid="{B86F58CA-9CF6-054B-B1F8-220B09949300}" name="Study" dataDxfId="63"/>
    <tableColumn id="4" xr3:uid="{B0C03F11-1BF8-3446-99DE-BF2E379BD7BA}" name="Visit" dataDxfId="62"/>
    <tableColumn id="5" xr3:uid="{CC328AE0-992F-E543-9D13-4B41788160AD}" name="Intervention" dataDxfId="61"/>
    <tableColumn id="6" xr3:uid="{D1714091-C333-9C45-A638-60AF547C725E}" name="OBB Number" dataDxfId="60"/>
    <tableColumn id="7" xr3:uid="{73B6FE5F-1798-3642-9CAE-CE628E58B4C0}" name="Sex" dataDxfId="59"/>
    <tableColumn id="8" xr3:uid="{96CF1681-D750-5647-8C59-04F054CB49F2}" name="Age" dataDxfId="58"/>
    <tableColumn id="9" xr3:uid="{839EDEE2-FE84-E648-B78D-27BBD576F530}" name="PNPLA3" dataDxfId="57"/>
    <tableColumn id="10" xr3:uid="{A72DB10D-A032-4C4A-8EF5-B4083990D897}" name="DGAT2" dataDxfId="56"/>
    <tableColumn id="11" xr3:uid="{30DDF3F1-F8EB-234E-845C-B08E7603B1E3}" name="Height" dataDxfId="55"/>
    <tableColumn id="12" xr3:uid="{E6C5EF70-590F-C54E-8379-C1687BCBB526}" name="Weight" dataDxfId="54"/>
    <tableColumn id="13" xr3:uid="{2DD52544-F0E4-F646-A665-21DEFC7F6AF6}" name="BMI" dataDxfId="53"/>
    <tableColumn id="14" xr3:uid="{0AA2F094-5DA8-1142-B8C2-00A17FED22E4}" name="Waist_Circumference" dataDxfId="52"/>
    <tableColumn id="15" xr3:uid="{A8132A83-3225-E34C-A02D-B4E8FC475552}" name="Hip_circumference" dataDxfId="51"/>
    <tableColumn id="16" xr3:uid="{2F0B7345-E7F5-F944-B737-3D162B61BDAC}" name="Waist_Hip_Ratio" dataDxfId="50"/>
    <tableColumn id="17" xr3:uid="{5DE66D6E-F1CE-E144-BD85-192C2C77C123}" name="Total_fat_g" dataDxfId="49"/>
    <tableColumn id="18" xr3:uid="{F7361CC7-5FE5-2B4F-8917-58186CC0CB3C}" name="Lean_mass_g" dataDxfId="48"/>
    <tableColumn id="19" xr3:uid="{8C077B59-B07A-2349-A3A8-A73C63BDA2D0}" name="Total_mass_g" dataDxfId="47"/>
    <tableColumn id="20" xr3:uid="{75D6A6C5-7283-034E-81A3-92F41EB18F6F}" name="Total_fat_%" dataDxfId="46"/>
    <tableColumn id="21" xr3:uid="{999A5D4E-6AF9-014D-84FC-1DF2565BB253}" name="Lean_mass_%" dataDxfId="45"/>
    <tableColumn id="22" xr3:uid="{CB9D69BC-FDCE-6F4C-9C26-45C8EF1147C3}" name="Visceral_fat_g" dataDxfId="44"/>
    <tableColumn id="23" xr3:uid="{5C1138C5-BAD5-2D4A-A0DA-E8F07A07DA88}" name="IHTG_%" dataDxfId="43"/>
    <tableColumn id="24" xr3:uid="{1459341E-F007-0746-A97F-72779E3ACC37}" name="Glucose (umol/L) at 0mins" dataDxfId="42"/>
    <tableColumn id="44" xr3:uid="{027D4A5A-8B99-D24A-9C97-549457EA4F6B}" name="Glucose (umol/L) at 480mins" dataDxfId="41"/>
    <tableColumn id="46" xr3:uid="{A7FF48AA-635C-924F-815E-A312BB4A4BF1}" name="Change in Glucose" dataDxfId="40">
      <calculatedColumnFormula>Table7[[#This Row],[Glucose (umol/L) at 480mins]]-Table7[[#This Row],[Glucose (umol/L) at 0mins]]</calculatedColumnFormula>
    </tableColumn>
    <tableColumn id="25" xr3:uid="{C7243AA6-9EBE-AB4E-BBA3-951DA6A66D02}" name="Insulin (umol/L)" dataDxfId="39"/>
    <tableColumn id="26" xr3:uid="{DD844BFE-9895-0F44-A762-CB3B06CC7CE2}" name="HOMA" dataDxfId="38"/>
    <tableColumn id="27" xr3:uid="{16930B5C-0C53-2944-87E4-39A6FF497745}" name="NEFA (umol/L)" dataDxfId="37"/>
    <tableColumn id="28" xr3:uid="{29938E3A-5886-774F-83D4-CCDE7A360575}" name="TAG (umol/L)" dataDxfId="36"/>
    <tableColumn id="29" xr3:uid="{D822EB7B-F02F-CD43-9B19-F186F8191B0F}" name="3OHB (umol/L)" dataDxfId="35"/>
    <tableColumn id="30" xr3:uid="{79FAE7F2-B6E7-3C47-A715-1D77CA69CB7D}" name="total_chol (umol/L)" dataDxfId="34"/>
    <tableColumn id="31" xr3:uid="{193DE6B3-150F-0F4F-84B0-236AD75BF658}" name="HDL_chol (umol/L)" dataDxfId="33"/>
    <tableColumn id="32" xr3:uid="{27596712-0398-924B-93B3-1BE978833CB6}" name="Non_HDL (umol/L)" dataDxfId="32"/>
    <tableColumn id="33" xr3:uid="{2127C211-E1F6-3A43-9FC0-5647B5CD6F19}" name="LDL_Friedewald" dataDxfId="31"/>
    <tableColumn id="34" xr3:uid="{10A0D025-35E6-E24A-B1B9-501DDC95067B}" name="VLDL (umol/L)" dataDxfId="30"/>
    <tableColumn id="35" xr3:uid="{16D4C41C-85D8-E642-98B8-7B9F546A0291}" name="Plasma water enrichment (%) at 0 mins" dataDxfId="29"/>
    <tableColumn id="36" xr3:uid="{4BAC4710-53C2-FB45-A54A-0DFF3278AD75}" name="DNL (%)" dataDxfId="28"/>
    <tableColumn id="37" xr3:uid="{4AC7514D-C11F-7E47-8131-39C78EDA9C38}" name="DNL (umol/L)" dataDxfId="27"/>
    <tableColumn id="38" xr3:uid="{B57B6FFA-F0DC-5A47-AD22-CBF21CB4BB64}" name="Gluconeogensis (%) at 0mins" dataDxfId="26"/>
    <tableColumn id="39" xr3:uid="{C3ECD2D1-5246-434F-9777-E45D4675AC33}" name="Gluconeogenesis (mmol/L) at 0mins" dataDxfId="25"/>
    <tableColumn id="40" xr3:uid="{93E85F2E-1877-9D4B-8C49-0EC9A61B79D3}" name="Gluconeogenesis (%) at 480mins" dataDxfId="24"/>
    <tableColumn id="41" xr3:uid="{C0B8A435-492B-194D-BCBD-9945ED34FF17}" name="Gluconeogenesis (mmol/L) at 480mins" dataDxfId="23">
      <calculatedColumnFormula>Table7[[#This Row],[Glucose (umol/L) at 480mins]]*(Table7[[#This Row],[Gluconeogenesis (%) at 480mins]]/100)</calculatedColumnFormula>
    </tableColumn>
    <tableColumn id="45" xr3:uid="{FE501EF6-7B45-714C-88C3-C9A6264949F9}" name="Change in GNG" dataDxfId="22">
      <calculatedColumnFormula>Table7[[#This Row],[Gluconeogenesis (%) at 480mins]]-Table7[[#This Row],[Gluconeogensis (%) at 0mins]]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G312" totalsRowShown="0" headerRowDxfId="21" dataDxfId="20">
  <autoFilter ref="A1:G312" xr:uid="{00000000-0009-0000-0100-000002000000}"/>
  <tableColumns count="7">
    <tableColumn id="1" xr3:uid="{00000000-0010-0000-0100-000001000000}" name="GND study ID" dataDxfId="19"/>
    <tableColumn id="3" xr3:uid="{00000000-0010-0000-0100-000003000000}" name="Original study ID" dataDxfId="18"/>
    <tableColumn id="2" xr3:uid="{00000000-0010-0000-0100-000002000000}" name="Original study" dataDxfId="17"/>
    <tableColumn id="4" xr3:uid="{00000000-0010-0000-0100-000004000000}" name="Sample Number" dataDxfId="16"/>
    <tableColumn id="8" xr3:uid="{00000000-0010-0000-0100-000008000000}" name="Collected" dataDxfId="15"/>
    <tableColumn id="9" xr3:uid="{00000000-0010-0000-0100-000009000000}" name="Processed" dataDxfId="14"/>
    <tableColumn id="5" xr3:uid="{00000000-0010-0000-0100-000005000000}" name="Comments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N17" totalsRowShown="0" headerRowDxfId="12">
  <autoFilter ref="A1:N17" xr:uid="{00000000-0009-0000-0100-000003000000}"/>
  <sortState xmlns:xlrd2="http://schemas.microsoft.com/office/spreadsheetml/2017/richdata2" ref="A2:N33">
    <sortCondition ref="D1:D33"/>
  </sortState>
  <tableColumns count="14">
    <tableColumn id="1" xr3:uid="{00000000-0010-0000-0200-000001000000}" name="GND Number"/>
    <tableColumn id="2" xr3:uid="{00000000-0010-0000-0200-000002000000}" name="ID"/>
    <tableColumn id="3" xr3:uid="{00000000-0010-0000-0200-000003000000}" name="Study"/>
    <tableColumn id="4" xr3:uid="{00000000-0010-0000-0200-000004000000}" name="Visit"/>
    <tableColumn id="5" xr3:uid="{00000000-0010-0000-0200-000005000000}" name="Intervention"/>
    <tableColumn id="6" xr3:uid="{00000000-0010-0000-0200-000006000000}" name="OBB Number"/>
    <tableColumn id="7" xr3:uid="{00000000-0010-0000-0200-000007000000}" name="Sex"/>
    <tableColumn id="8" xr3:uid="{00000000-0010-0000-0200-000008000000}" name="Age"/>
    <tableColumn id="9" xr3:uid="{00000000-0010-0000-0200-000009000000}" name="A GNG (%)"/>
    <tableColumn id="10" xr3:uid="{00000000-0010-0000-0200-00000A000000}" name="A GNG(Abs)"/>
    <tableColumn id="11" xr3:uid="{00000000-0010-0000-0200-00000B000000}" name="B GNG (%)"/>
    <tableColumn id="12" xr3:uid="{00000000-0010-0000-0200-00000C000000}" name="B GNG (Abs)"/>
    <tableColumn id="13" xr3:uid="{00000000-0010-0000-0200-00000D000000}" name="A-B GNG (%)" dataDxfId="11">
      <calculatedColumnFormula>Table3[[#This Row],[A GNG (%)]]-Table3[[#This Row],[B GNG (%)]]</calculatedColumnFormula>
    </tableColumn>
    <tableColumn id="14" xr3:uid="{00000000-0010-0000-0200-00000E000000}" name="A-B GNG (Abs)" dataDxfId="10">
      <calculatedColumnFormula>Table3[[#This Row],[A GNG(Abs)]]-Table3[[#This Row],[B GNG (Abs)]]</calculatedColumnFormula>
    </tableColumn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M15" totalsRowShown="0" headerRowDxfId="9">
  <autoFilter ref="A1:M15" xr:uid="{00000000-0009-0000-0100-000004000000}"/>
  <sortState xmlns:xlrd2="http://schemas.microsoft.com/office/spreadsheetml/2017/richdata2" ref="A2:M17">
    <sortCondition ref="B1:B17"/>
  </sortState>
  <tableColumns count="13">
    <tableColumn id="1" xr3:uid="{00000000-0010-0000-0300-000001000000}" name="GND Number"/>
    <tableColumn id="2" xr3:uid="{00000000-0010-0000-0300-000002000000}" name="ID"/>
    <tableColumn id="3" xr3:uid="{00000000-0010-0000-0300-000003000000}" name="Study"/>
    <tableColumn id="4" xr3:uid="{00000000-0010-0000-0300-000004000000}" name="Visit"/>
    <tableColumn id="6" xr3:uid="{00000000-0010-0000-0300-000006000000}" name="OBB Number"/>
    <tableColumn id="7" xr3:uid="{00000000-0010-0000-0300-000007000000}" name="Sex"/>
    <tableColumn id="8" xr3:uid="{00000000-0010-0000-0300-000008000000}" name="Age"/>
    <tableColumn id="9" xr3:uid="{00000000-0010-0000-0300-000009000000}" name="G GNG (%)"/>
    <tableColumn id="10" xr3:uid="{00000000-0010-0000-0300-00000A000000}" name="G GNG(Abs)"/>
    <tableColumn id="11" xr3:uid="{00000000-0010-0000-0300-00000B000000}" name="F GNG (%)"/>
    <tableColumn id="12" xr3:uid="{00000000-0010-0000-0300-00000C000000}" name="F GNG (Abs)"/>
    <tableColumn id="13" xr3:uid="{00000000-0010-0000-0300-00000D000000}" name="G-F GNG (%)" dataDxfId="8">
      <calculatedColumnFormula>Table4[[#This Row],[G GNG (%)]]-Table4[[#This Row],[F GNG (%)]]</calculatedColumnFormula>
    </tableColumn>
    <tableColumn id="14" xr3:uid="{00000000-0010-0000-0300-00000E000000}" name="G-F GNG (Abs)" dataDxfId="7">
      <calculatedColumnFormula>Table4[[#This Row],[G GNG(Abs)]]-Table4[[#This Row],[F GNG (Abs)]]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62"/>
  <sheetViews>
    <sheetView topLeftCell="A208" zoomScale="50" zoomScaleNormal="50" workbookViewId="0">
      <selection activeCell="AE162" sqref="AE162"/>
    </sheetView>
  </sheetViews>
  <sheetFormatPr defaultColWidth="8.85546875" defaultRowHeight="15" x14ac:dyDescent="0.25"/>
  <cols>
    <col min="2" max="2" width="11.140625" bestFit="1" customWidth="1"/>
    <col min="3" max="3" width="12" customWidth="1"/>
    <col min="4" max="4" width="7" customWidth="1"/>
    <col min="5" max="5" width="9.28515625" customWidth="1"/>
    <col min="7" max="7" width="10" customWidth="1"/>
    <col min="8" max="8" width="9.7109375" customWidth="1"/>
    <col min="10" max="10" width="22.28515625" customWidth="1"/>
    <col min="11" max="12" width="20.28515625" customWidth="1"/>
    <col min="13" max="13" width="13" customWidth="1"/>
    <col min="14" max="14" width="14.7109375" style="2" customWidth="1"/>
    <col min="15" max="15" width="15" style="2" customWidth="1"/>
    <col min="16" max="16" width="22.85546875" style="4" customWidth="1"/>
    <col min="17" max="17" width="15.28515625" style="4" customWidth="1"/>
    <col min="18" max="19" width="15.42578125" customWidth="1"/>
    <col min="20" max="20" width="10.28515625" style="3" customWidth="1"/>
    <col min="21" max="22" width="9.140625" style="3"/>
    <col min="23" max="23" width="10.42578125" style="3" bestFit="1" customWidth="1"/>
    <col min="26" max="26" width="12" customWidth="1"/>
    <col min="27" max="28" width="11.28515625" customWidth="1"/>
    <col min="29" max="29" width="17.140625" style="3" customWidth="1"/>
    <col min="31" max="31" width="15.140625" customWidth="1"/>
    <col min="32" max="32" width="20.28515625" customWidth="1"/>
    <col min="33" max="33" width="22.7109375" customWidth="1"/>
    <col min="34" max="35" width="20.42578125" customWidth="1"/>
    <col min="36" max="36" width="23.7109375" customWidth="1"/>
    <col min="37" max="37" width="35.85546875" customWidth="1"/>
  </cols>
  <sheetData>
    <row r="1" spans="1:37" x14ac:dyDescent="0.25">
      <c r="A1" t="s">
        <v>322</v>
      </c>
      <c r="B1" t="s">
        <v>0</v>
      </c>
      <c r="C1" t="s">
        <v>1</v>
      </c>
      <c r="D1" t="s">
        <v>10</v>
      </c>
      <c r="E1" t="s">
        <v>11</v>
      </c>
      <c r="F1" t="s">
        <v>2</v>
      </c>
      <c r="G1" t="s">
        <v>6</v>
      </c>
      <c r="H1" t="s">
        <v>3</v>
      </c>
      <c r="I1" t="s">
        <v>4</v>
      </c>
      <c r="J1" t="s">
        <v>5</v>
      </c>
      <c r="K1" s="1" t="s">
        <v>7</v>
      </c>
      <c r="L1" s="1" t="s">
        <v>30</v>
      </c>
      <c r="M1" s="1" t="s">
        <v>286</v>
      </c>
      <c r="N1" t="s">
        <v>12</v>
      </c>
      <c r="O1" s="2" t="s">
        <v>13</v>
      </c>
      <c r="P1" s="2" t="s">
        <v>14</v>
      </c>
      <c r="Q1" s="4" t="s">
        <v>15</v>
      </c>
      <c r="R1" s="4" t="s">
        <v>16</v>
      </c>
      <c r="S1" t="s">
        <v>8</v>
      </c>
      <c r="T1" t="s">
        <v>9</v>
      </c>
      <c r="U1" s="3" t="s">
        <v>423</v>
      </c>
      <c r="V1" s="3" t="s">
        <v>422</v>
      </c>
      <c r="W1" s="3" t="s">
        <v>17</v>
      </c>
      <c r="X1" s="3" t="s">
        <v>421</v>
      </c>
      <c r="Y1" t="s">
        <v>420</v>
      </c>
      <c r="Z1" t="s">
        <v>419</v>
      </c>
      <c r="AA1" t="s">
        <v>418</v>
      </c>
      <c r="AB1" t="s">
        <v>417</v>
      </c>
      <c r="AC1" t="s">
        <v>416</v>
      </c>
      <c r="AD1" s="3" t="s">
        <v>21</v>
      </c>
      <c r="AE1" t="s">
        <v>415</v>
      </c>
      <c r="AF1" t="s">
        <v>414</v>
      </c>
      <c r="AG1" t="s">
        <v>320</v>
      </c>
      <c r="AH1" t="s">
        <v>388</v>
      </c>
      <c r="AI1" t="s">
        <v>319</v>
      </c>
      <c r="AJ1" t="s">
        <v>389</v>
      </c>
      <c r="AK1" t="s">
        <v>379</v>
      </c>
    </row>
    <row r="2" spans="1:37" s="23" customFormat="1" x14ac:dyDescent="0.25">
      <c r="A2" s="23">
        <v>1</v>
      </c>
      <c r="B2" s="23" t="s">
        <v>31</v>
      </c>
      <c r="C2" s="23" t="s">
        <v>32</v>
      </c>
      <c r="F2" s="23" t="s">
        <v>227</v>
      </c>
      <c r="G2" s="26">
        <v>42.8</v>
      </c>
      <c r="H2" s="23">
        <v>162</v>
      </c>
      <c r="I2" s="23">
        <v>66.2</v>
      </c>
      <c r="J2" s="24">
        <f t="shared" ref="J2:J65" si="0">I2/((H2/100)*(H2/100))</f>
        <v>25.224813290656908</v>
      </c>
      <c r="K2" s="23">
        <v>81</v>
      </c>
      <c r="L2" s="23">
        <v>101</v>
      </c>
      <c r="M2" s="25">
        <f>Data[[#This Row],[Waist_Circumference]]/Data[[#This Row],[Hip_circumference]]</f>
        <v>0.80198019801980203</v>
      </c>
      <c r="N2" s="26">
        <f>'[1]Anthro data'!$B$27</f>
        <v>22192</v>
      </c>
      <c r="O2" s="26">
        <f>'[1]Anthro data'!$B$28</f>
        <v>43616</v>
      </c>
      <c r="P2" s="26">
        <f t="shared" ref="P2:P33" si="1">N2+O2</f>
        <v>65808</v>
      </c>
      <c r="Q2" s="25">
        <f>(Data[[#This Row],[Total_fat_g]]/Data[[#This Row],[Total_mass_g]])*100</f>
        <v>33.722343787989303</v>
      </c>
      <c r="R2" s="25">
        <f>(Data[[#This Row],[Lean_mass_g]]/Data[[#This Row],[Total_mass_g]])*100</f>
        <v>66.277656212010697</v>
      </c>
      <c r="S2" s="25">
        <v>50</v>
      </c>
      <c r="T2" s="25">
        <v>0.75233644899999996</v>
      </c>
      <c r="U2" s="25">
        <f>[1]Glucose!$B$3</f>
        <v>5.0250000000000004</v>
      </c>
      <c r="V2" s="25">
        <f>'[1]Insulin+HOMA'!$B$3</f>
        <v>6.7835000000000001</v>
      </c>
      <c r="W2" s="25">
        <f>(Data[[#This Row],[Glucose (umol/L)]]*Data[[#This Row],[Insulin (umol/L)]])/22.5</f>
        <v>1.5149816666666669</v>
      </c>
      <c r="X2" s="25">
        <f>[1]NEFA!$B$3</f>
        <v>501.85</v>
      </c>
      <c r="Y2" s="25">
        <f>[1]TAG!$B$3</f>
        <v>401.24999999999994</v>
      </c>
      <c r="Z2" s="25">
        <f>'[1]3-OHB'!$B$3</f>
        <v>82.3</v>
      </c>
      <c r="AA2" s="25">
        <f>'[2]Basal ApoB,Chol,HDL,ALT'!$H$3</f>
        <v>3.7549999999999999</v>
      </c>
      <c r="AB2" s="25">
        <f>'[2]Basal ApoB,Chol,HDL,ALT'!$L$3</f>
        <v>1.4249999999999998</v>
      </c>
      <c r="AC2" s="25">
        <f>Data[[#This Row],[total_chol (umol/L)]]-Data[[#This Row],[HDL_chol (umol/L)]]</f>
        <v>2.33</v>
      </c>
      <c r="AD2" s="25">
        <f>Data[[#This Row],[Non_HDL (umol/L)]]-(Data[[#This Row],[TAG (umol/L)]]/2200)</f>
        <v>2.1476136363636362</v>
      </c>
      <c r="AE2" s="25">
        <v>162.09022500000003</v>
      </c>
      <c r="AF2" s="49">
        <f>[3]LH1!$B$3</f>
        <v>3.5473636372196238E-3</v>
      </c>
      <c r="AG2" s="25">
        <f>[1]DNL_160!$B$5</f>
        <v>4.5063964708496593</v>
      </c>
      <c r="AH2" s="23">
        <f>(Data[[#This Row],[DNL (%)]]/100)*Data[[#This Row],[VLDL (umol/L)]]</f>
        <v>7.3044281789922731</v>
      </c>
      <c r="AI2" s="25">
        <f>[4]SAMPLES!$L$3</f>
        <v>21.867846637950304</v>
      </c>
      <c r="AJ2" s="55">
        <f>(Data[[#This Row],[Gluconeogensis (%)]]/100)*Data[[#This Row],[Glucose (umol/L)]]</f>
        <v>1.098859293557003</v>
      </c>
    </row>
    <row r="3" spans="1:37" s="23" customFormat="1" x14ac:dyDescent="0.25">
      <c r="A3" s="23">
        <v>2</v>
      </c>
      <c r="B3" s="23" t="s">
        <v>33</v>
      </c>
      <c r="C3" s="23" t="s">
        <v>32</v>
      </c>
      <c r="F3" s="23" t="s">
        <v>227</v>
      </c>
      <c r="G3" s="26">
        <v>46.7</v>
      </c>
      <c r="H3" s="23">
        <v>171</v>
      </c>
      <c r="I3" s="23">
        <v>84.8</v>
      </c>
      <c r="J3" s="24">
        <f t="shared" si="0"/>
        <v>29.000376184125031</v>
      </c>
      <c r="K3" s="23">
        <v>94</v>
      </c>
      <c r="L3" s="23">
        <v>110</v>
      </c>
      <c r="M3" s="25">
        <f>Data[[#This Row],[Waist_Circumference]]/Data[[#This Row],[Hip_circumference]]</f>
        <v>0.8545454545454545</v>
      </c>
      <c r="N3" s="26">
        <f>'[1]Anthro data'!$C$27</f>
        <v>31911</v>
      </c>
      <c r="O3" s="26">
        <f>'[1]Anthro data'!$C$28</f>
        <v>48177</v>
      </c>
      <c r="P3" s="26">
        <f t="shared" si="1"/>
        <v>80088</v>
      </c>
      <c r="Q3" s="25">
        <f>(Data[[#This Row],[Total_fat_g]]/Data[[#This Row],[Total_mass_g]])*100</f>
        <v>39.844920587353911</v>
      </c>
      <c r="R3" s="25">
        <f>(Data[[#This Row],[Lean_mass_g]]/Data[[#This Row],[Total_mass_g]])*100</f>
        <v>60.155079412646081</v>
      </c>
      <c r="S3" s="25">
        <v>528</v>
      </c>
      <c r="T3" s="25">
        <v>1.7933333330000001</v>
      </c>
      <c r="U3" s="25">
        <f>[1]Glucose!$C$3</f>
        <v>5.0510000000000002</v>
      </c>
      <c r="V3" s="25">
        <f>'[1]Insulin+HOMA'!$C$3</f>
        <v>8.6434999999999995</v>
      </c>
      <c r="W3" s="25">
        <f>(Data[[#This Row],[Glucose (umol/L)]]*Data[[#This Row],[Insulin (umol/L)]])/22.5</f>
        <v>1.9403697111111111</v>
      </c>
      <c r="X3" s="25">
        <f>[1]NEFA!$C$3</f>
        <v>450.6</v>
      </c>
      <c r="Y3" s="25">
        <f>[1]TAG!$C$3</f>
        <v>765.35</v>
      </c>
      <c r="Z3" s="25">
        <f>'[1]3-OHB'!$C$3</f>
        <v>76.099999999999994</v>
      </c>
      <c r="AA3" s="25">
        <f>'[5]Basal ApoB,Chol,HDL,ALT'!$H$2</f>
        <v>4.5750000000000002</v>
      </c>
      <c r="AB3" s="25">
        <f>'[5]Basal ApoB,Chol,HDL,ALT'!$L$2</f>
        <v>1.2850000000000001</v>
      </c>
      <c r="AC3" s="25">
        <f>Data[[#This Row],[total_chol (umol/L)]]-Data[[#This Row],[HDL_chol (umol/L)]]</f>
        <v>3.29</v>
      </c>
      <c r="AD3" s="25">
        <f>Data[[#This Row],[Non_HDL (umol/L)]]-(Data[[#This Row],[TAG (umol/L)]]/2200)</f>
        <v>2.9421136363636364</v>
      </c>
      <c r="AE3" s="25">
        <v>306.84842250000003</v>
      </c>
      <c r="AF3" s="49">
        <f>[3]KP2!$B$3</f>
        <v>3.7909455610147845E-3</v>
      </c>
      <c r="AG3" s="25">
        <f>[1]DNL_160!$C$5</f>
        <v>5.4459536719793906</v>
      </c>
      <c r="AH3" s="23">
        <f>(Data[[#This Row],[DNL (%)]]/100)*Data[[#This Row],[VLDL (umol/L)]]</f>
        <v>16.710822932549586</v>
      </c>
      <c r="AI3" s="25">
        <f>[4]SAMPLES!$L$4</f>
        <v>60.503513405998447</v>
      </c>
      <c r="AJ3" s="55">
        <f>(Data[[#This Row],[Gluconeogensis (%)]]/100)*Data[[#This Row],[Glucose (umol/L)]]</f>
        <v>3.0560324621369817</v>
      </c>
    </row>
    <row r="4" spans="1:37" s="23" customFormat="1" x14ac:dyDescent="0.25">
      <c r="A4" s="23">
        <v>3</v>
      </c>
      <c r="B4" s="23" t="s">
        <v>34</v>
      </c>
      <c r="C4" s="23" t="s">
        <v>32</v>
      </c>
      <c r="F4" s="23" t="s">
        <v>227</v>
      </c>
      <c r="G4" s="26">
        <v>45.8</v>
      </c>
      <c r="H4" s="23">
        <v>172</v>
      </c>
      <c r="I4" s="23">
        <v>87.9</v>
      </c>
      <c r="J4" s="24">
        <f t="shared" si="0"/>
        <v>29.712006489994597</v>
      </c>
      <c r="K4" s="23">
        <v>94</v>
      </c>
      <c r="L4" s="23">
        <v>108</v>
      </c>
      <c r="M4" s="25">
        <f>Data[[#This Row],[Waist_Circumference]]/Data[[#This Row],[Hip_circumference]]</f>
        <v>0.87037037037037035</v>
      </c>
      <c r="N4" s="26">
        <f>'[1]Anthro data'!$D$27</f>
        <v>39409</v>
      </c>
      <c r="O4" s="26">
        <f>'[1]Anthro data'!$D$28</f>
        <v>46815</v>
      </c>
      <c r="P4" s="26">
        <f t="shared" si="1"/>
        <v>86224</v>
      </c>
      <c r="Q4" s="25">
        <f>(Data[[#This Row],[Total_fat_g]]/Data[[#This Row],[Total_mass_g]])*100</f>
        <v>45.705372054184451</v>
      </c>
      <c r="R4" s="25">
        <f>(Data[[#This Row],[Lean_mass_g]]/Data[[#This Row],[Total_mass_g]])*100</f>
        <v>54.294627945815556</v>
      </c>
      <c r="S4" s="25">
        <v>1129</v>
      </c>
      <c r="T4" s="25">
        <v>7.3681423429999997</v>
      </c>
      <c r="U4" s="25">
        <f>[1]Glucose!$D$3</f>
        <v>5.0975000000000001</v>
      </c>
      <c r="V4" s="25">
        <f>'[1]Insulin+HOMA'!$D$3</f>
        <v>12.6325</v>
      </c>
      <c r="W4" s="25">
        <f>(Data[[#This Row],[Glucose (umol/L)]]*Data[[#This Row],[Insulin (umol/L)]])/22.5</f>
        <v>2.861963055555556</v>
      </c>
      <c r="X4" s="25">
        <f>[1]NEFA!$D$3</f>
        <v>641.75</v>
      </c>
      <c r="Y4" s="25">
        <f>[1]TAG!$D$3</f>
        <v>329.05000000000007</v>
      </c>
      <c r="Z4" s="25">
        <f>'[1]3-OHB'!$D$3</f>
        <v>106.8</v>
      </c>
      <c r="AA4" s="25">
        <f>'[6]Basal ApoB,Chol,HDL,ALT'!$H$2</f>
        <v>4.4000000000000004</v>
      </c>
      <c r="AB4" s="25">
        <f>'[6]Basal ApoB,Chol,HDL,ALT'!$L$2</f>
        <v>1.5550000000000002</v>
      </c>
      <c r="AC4" s="25">
        <f>Data[[#This Row],[total_chol (umol/L)]]-Data[[#This Row],[HDL_chol (umol/L)]]</f>
        <v>2.8450000000000002</v>
      </c>
      <c r="AD4" s="25">
        <f>Data[[#This Row],[Non_HDL (umol/L)]]-(Data[[#This Row],[TAG (umol/L)]]/2200)</f>
        <v>2.6954318181818184</v>
      </c>
      <c r="AE4" s="25">
        <v>168.81832375000002</v>
      </c>
      <c r="AF4" s="49">
        <f>[3]LS3!$B$3</f>
        <v>3.8576577249906513E-3</v>
      </c>
      <c r="AG4" s="25">
        <f>[1]DNL_160!$D$5</f>
        <v>6.2290913521526692</v>
      </c>
      <c r="AH4" s="23">
        <f>(Data[[#This Row],[DNL (%)]]/100)*Data[[#This Row],[VLDL (umol/L)]]</f>
        <v>10.515847605560348</v>
      </c>
      <c r="AI4" s="25">
        <f>[4]SAMPLES!$L$5</f>
        <v>27.400279508188973</v>
      </c>
      <c r="AJ4" s="55">
        <f>(Data[[#This Row],[Gluconeogensis (%)]]/100)*Data[[#This Row],[Glucose (umol/L)]]</f>
        <v>1.3967292479299329</v>
      </c>
    </row>
    <row r="5" spans="1:37" s="23" customFormat="1" x14ac:dyDescent="0.25">
      <c r="A5" s="23">
        <v>4</v>
      </c>
      <c r="B5" s="23" t="s">
        <v>35</v>
      </c>
      <c r="C5" s="23" t="s">
        <v>32</v>
      </c>
      <c r="F5" s="23" t="s">
        <v>228</v>
      </c>
      <c r="G5" s="26">
        <v>58.9</v>
      </c>
      <c r="H5" s="23">
        <v>175</v>
      </c>
      <c r="I5" s="23">
        <v>83.6</v>
      </c>
      <c r="J5" s="24">
        <f t="shared" si="0"/>
        <v>27.297959183673466</v>
      </c>
      <c r="K5" s="23">
        <v>95</v>
      </c>
      <c r="L5" s="23">
        <v>96</v>
      </c>
      <c r="M5" s="25">
        <f>Data[[#This Row],[Waist_Circumference]]/Data[[#This Row],[Hip_circumference]]</f>
        <v>0.98958333333333337</v>
      </c>
      <c r="N5" s="26">
        <f>'[1]Anthro data'!$E$27</f>
        <v>24853</v>
      </c>
      <c r="O5" s="26">
        <f>'[1]Anthro data'!$E$28</f>
        <v>54773</v>
      </c>
      <c r="P5" s="26">
        <f t="shared" si="1"/>
        <v>79626</v>
      </c>
      <c r="Q5" s="25">
        <f>(Data[[#This Row],[Total_fat_g]]/Data[[#This Row],[Total_mass_g]])*100</f>
        <v>31.212166880164773</v>
      </c>
      <c r="R5" s="25">
        <f>(Data[[#This Row],[Lean_mass_g]]/Data[[#This Row],[Total_mass_g]])*100</f>
        <v>68.787833119835227</v>
      </c>
      <c r="S5" s="25">
        <v>1769</v>
      </c>
      <c r="T5" s="25">
        <v>10.64191239</v>
      </c>
      <c r="U5" s="25">
        <f>[1]Glucose!$E$3</f>
        <v>5.5039999999999996</v>
      </c>
      <c r="V5" s="25">
        <f>'[1]Insulin+HOMA'!$E$3</f>
        <v>9.6959999999999997</v>
      </c>
      <c r="W5" s="25">
        <f>(Data[[#This Row],[Glucose (umol/L)]]*Data[[#This Row],[Insulin (umol/L)]])/22.5</f>
        <v>2.3718570666666663</v>
      </c>
      <c r="X5" s="25">
        <f>[1]NEFA!$E$3</f>
        <v>516.4</v>
      </c>
      <c r="Y5" s="25">
        <f>[1]TAG!$E$3</f>
        <v>990.30000000000007</v>
      </c>
      <c r="Z5" s="25">
        <f>'[1]3-OHB'!$E$3</f>
        <v>153.9</v>
      </c>
      <c r="AA5" s="25">
        <f>'[7]Basal ApoB,Chol,HDL,ALT'!$F$2</f>
        <v>5.63</v>
      </c>
      <c r="AB5" s="25">
        <f>'[7]Basal ApoB,Chol,HDL,ALT'!$J$2</f>
        <v>0.67</v>
      </c>
      <c r="AC5" s="25">
        <f>Data[[#This Row],[total_chol (umol/L)]]-Data[[#This Row],[HDL_chol (umol/L)]]</f>
        <v>4.96</v>
      </c>
      <c r="AD5" s="25">
        <f>Data[[#This Row],[Non_HDL (umol/L)]]-(Data[[#This Row],[TAG (umol/L)]]/2200)</f>
        <v>4.5098636363636366</v>
      </c>
      <c r="AE5" s="25">
        <v>420.02024999999998</v>
      </c>
      <c r="AF5" s="49">
        <f>[3]MW4!$B$3</f>
        <v>3.1925766448501198E-3</v>
      </c>
      <c r="AG5" s="25">
        <f>[1]DNL_160!$E$5</f>
        <v>3.9429750070550211</v>
      </c>
      <c r="AH5" s="23">
        <f>(Data[[#This Row],[DNL (%)]]/100)*Data[[#This Row],[VLDL (umol/L)]]</f>
        <v>16.561293482070017</v>
      </c>
      <c r="AI5" s="25">
        <f>[4]SAMPLES!$L$6</f>
        <v>45.096384416273651</v>
      </c>
      <c r="AJ5" s="55">
        <f>(Data[[#This Row],[Gluconeogensis (%)]]/100)*Data[[#This Row],[Glucose (umol/L)]]</f>
        <v>2.4821049982717014</v>
      </c>
    </row>
    <row r="6" spans="1:37" s="23" customFormat="1" x14ac:dyDescent="0.25">
      <c r="A6" s="23">
        <v>5</v>
      </c>
      <c r="B6" s="23" t="s">
        <v>36</v>
      </c>
      <c r="C6" s="23" t="s">
        <v>32</v>
      </c>
      <c r="F6" s="23" t="s">
        <v>228</v>
      </c>
      <c r="G6" s="26">
        <v>49.2</v>
      </c>
      <c r="H6" s="23">
        <v>172</v>
      </c>
      <c r="I6" s="23">
        <v>80.599999999999994</v>
      </c>
      <c r="J6" s="24">
        <f t="shared" si="0"/>
        <v>27.244456462952947</v>
      </c>
      <c r="K6" s="23">
        <v>89</v>
      </c>
      <c r="L6" s="23">
        <v>97</v>
      </c>
      <c r="M6" s="25">
        <f>Data[[#This Row],[Waist_Circumference]]/Data[[#This Row],[Hip_circumference]]</f>
        <v>0.91752577319587625</v>
      </c>
      <c r="N6" s="26">
        <f>'[1]Anthro data'!$F$27</f>
        <v>20396</v>
      </c>
      <c r="O6" s="26">
        <f>'[1]Anthro data'!$F$28</f>
        <v>57057</v>
      </c>
      <c r="P6" s="26">
        <f t="shared" si="1"/>
        <v>77453</v>
      </c>
      <c r="Q6" s="25">
        <f>(Data[[#This Row],[Total_fat_g]]/Data[[#This Row],[Total_mass_g]])*100</f>
        <v>26.333389281241526</v>
      </c>
      <c r="R6" s="25">
        <f>(Data[[#This Row],[Lean_mass_g]]/Data[[#This Row],[Total_mass_g]])*100</f>
        <v>73.666610718758477</v>
      </c>
      <c r="S6" s="25">
        <v>1122</v>
      </c>
      <c r="T6" s="25">
        <v>6.3485082610000001</v>
      </c>
      <c r="U6" s="25">
        <f>[1]Glucose!$F$3</f>
        <v>4.1349999999999998</v>
      </c>
      <c r="V6" s="25">
        <f>'[1]Insulin+HOMA'!$F$3</f>
        <v>10.856000000000002</v>
      </c>
      <c r="W6" s="25">
        <f>(Data[[#This Row],[Glucose (umol/L)]]*Data[[#This Row],[Insulin (umol/L)]])/22.5</f>
        <v>1.9950915555555557</v>
      </c>
      <c r="X6" s="25">
        <f>[1]NEFA!$F$3</f>
        <v>363.3</v>
      </c>
      <c r="Y6" s="25">
        <f>[1]TAG!$F$3</f>
        <v>1727.3999999999999</v>
      </c>
      <c r="Z6" s="25">
        <f>'[1]3-OHB'!$F$3</f>
        <v>32.200000000000003</v>
      </c>
      <c r="AA6" s="25">
        <f>'[8]Basal ApoB,Chol,HDL,ALT'!$D$2</f>
        <v>5.0199999999999996</v>
      </c>
      <c r="AB6" s="25">
        <f>'[8]Basal ApoB,Chol,HDL,ALT'!$F$2</f>
        <v>1.07</v>
      </c>
      <c r="AC6" s="25">
        <f>Data[[#This Row],[total_chol (umol/L)]]-Data[[#This Row],[HDL_chol (umol/L)]]</f>
        <v>3.9499999999999993</v>
      </c>
      <c r="AD6" s="25">
        <f>Data[[#This Row],[Non_HDL (umol/L)]]-(Data[[#This Row],[TAG (umol/L)]]/2200)</f>
        <v>3.1648181818181813</v>
      </c>
      <c r="AE6" s="25">
        <v>860.60405250000008</v>
      </c>
      <c r="AF6" s="49">
        <f>[3]RS5!$B$3</f>
        <v>2.9766437924845183E-3</v>
      </c>
      <c r="AG6" s="25">
        <f>[1]DNL_160!$F$5</f>
        <v>16.447249947212111</v>
      </c>
      <c r="AH6" s="23">
        <f>(Data[[#This Row],[DNL (%)]]/100)*Data[[#This Row],[VLDL (umol/L)]]</f>
        <v>141.54569957051154</v>
      </c>
      <c r="AI6" s="25">
        <f>[4]SAMPLES!$L$7</f>
        <v>50.969100088514196</v>
      </c>
      <c r="AJ6" s="55">
        <f>(Data[[#This Row],[Gluconeogensis (%)]]/100)*Data[[#This Row],[Glucose (umol/L)]]</f>
        <v>2.1075722886600619</v>
      </c>
    </row>
    <row r="7" spans="1:37" s="23" customFormat="1" x14ac:dyDescent="0.25">
      <c r="A7" s="23">
        <v>6</v>
      </c>
      <c r="B7" s="23" t="s">
        <v>37</v>
      </c>
      <c r="C7" s="23" t="s">
        <v>32</v>
      </c>
      <c r="F7" s="23" t="s">
        <v>228</v>
      </c>
      <c r="G7" s="26">
        <v>38.799999999999997</v>
      </c>
      <c r="H7" s="23">
        <v>175</v>
      </c>
      <c r="I7" s="23">
        <v>80.900000000000006</v>
      </c>
      <c r="J7" s="24">
        <f t="shared" si="0"/>
        <v>26.416326530612245</v>
      </c>
      <c r="K7" s="23">
        <v>91</v>
      </c>
      <c r="L7" s="23">
        <v>99</v>
      </c>
      <c r="M7" s="25">
        <f>Data[[#This Row],[Waist_Circumference]]/Data[[#This Row],[Hip_circumference]]</f>
        <v>0.91919191919191923</v>
      </c>
      <c r="N7" s="26">
        <f>'[1]Anthro data'!$G$27</f>
        <v>23153</v>
      </c>
      <c r="O7" s="26">
        <f>'[1]Anthro data'!$G$28</f>
        <v>52363</v>
      </c>
      <c r="P7" s="26">
        <f t="shared" si="1"/>
        <v>75516</v>
      </c>
      <c r="Q7" s="25">
        <f>(Data[[#This Row],[Total_fat_g]]/Data[[#This Row],[Total_mass_g]])*100</f>
        <v>30.659727739816727</v>
      </c>
      <c r="R7" s="25">
        <f>(Data[[#This Row],[Lean_mass_g]]/Data[[#This Row],[Total_mass_g]])*100</f>
        <v>69.340272260183283</v>
      </c>
      <c r="S7" s="25">
        <v>1545</v>
      </c>
      <c r="T7" s="25">
        <v>6.4417791099999997</v>
      </c>
      <c r="U7" s="25">
        <f>[1]Glucose!$G$3</f>
        <v>5.0999999999999996</v>
      </c>
      <c r="V7" s="25">
        <f>'[1]Insulin+HOMA'!$G$3</f>
        <v>10.4215</v>
      </c>
      <c r="W7" s="25">
        <f>(Data[[#This Row],[Glucose (umol/L)]]*Data[[#This Row],[Insulin (umol/L)]])/22.5</f>
        <v>2.3622066666666663</v>
      </c>
      <c r="X7" s="25">
        <f>[1]NEFA!$G$3</f>
        <v>689.7</v>
      </c>
      <c r="Y7" s="25">
        <f>[1]TAG!$G$3</f>
        <v>3932.7</v>
      </c>
      <c r="Z7" s="25">
        <f>'[1]3-OHB'!$G$3</f>
        <v>167.8</v>
      </c>
      <c r="AA7" s="25">
        <f>'[9]Basal ApoB,Chol,HDL,ALT'!$F$2</f>
        <v>5.54</v>
      </c>
      <c r="AB7" s="25">
        <f>'[9]Basal ApoB,Chol,HDL,ALT'!$J$2</f>
        <v>1.08</v>
      </c>
      <c r="AC7" s="25">
        <f>Data[[#This Row],[total_chol (umol/L)]]-Data[[#This Row],[HDL_chol (umol/L)]]</f>
        <v>4.46</v>
      </c>
      <c r="AD7" s="25">
        <f>Data[[#This Row],[Non_HDL (umol/L)]]-(Data[[#This Row],[TAG (umol/L)]]/2200)</f>
        <v>2.672409090909091</v>
      </c>
      <c r="AE7" s="25">
        <v>1570.21</v>
      </c>
      <c r="AF7" s="49">
        <f>[3]ML6!$B$3</f>
        <v>3.4605689735661528E-3</v>
      </c>
      <c r="AG7" s="25">
        <f>[1]DNL_160!$G$5</f>
        <v>3.9102222742884405</v>
      </c>
      <c r="AH7" s="23">
        <f>(Data[[#This Row],[DNL (%)]]/100)*Data[[#This Row],[VLDL (umol/L)]]</f>
        <v>61.398701173104527</v>
      </c>
      <c r="AI7" s="25">
        <f>[4]SAMPLES!$L$8</f>
        <v>34.231632719000451</v>
      </c>
      <c r="AJ7" s="55">
        <f>(Data[[#This Row],[Gluconeogensis (%)]]/100)*Data[[#This Row],[Glucose (umol/L)]]</f>
        <v>1.7458132686690229</v>
      </c>
    </row>
    <row r="8" spans="1:37" s="23" customFormat="1" x14ac:dyDescent="0.25">
      <c r="A8" s="23">
        <v>7</v>
      </c>
      <c r="B8" s="23" t="s">
        <v>38</v>
      </c>
      <c r="C8" s="23" t="s">
        <v>32</v>
      </c>
      <c r="F8" s="23" t="s">
        <v>227</v>
      </c>
      <c r="G8" s="26">
        <v>44.6</v>
      </c>
      <c r="H8" s="23">
        <v>170</v>
      </c>
      <c r="I8" s="23">
        <v>88.5</v>
      </c>
      <c r="J8" s="24">
        <f t="shared" si="0"/>
        <v>30.62283737024222</v>
      </c>
      <c r="K8" s="23">
        <v>94</v>
      </c>
      <c r="L8" s="23">
        <v>110</v>
      </c>
      <c r="M8" s="25">
        <f>Data[[#This Row],[Waist_Circumference]]/Data[[#This Row],[Hip_circumference]]</f>
        <v>0.8545454545454545</v>
      </c>
      <c r="N8" s="26">
        <f>'[1]Anthro data'!$H$27</f>
        <v>39871</v>
      </c>
      <c r="O8" s="26">
        <f>'[1]Anthro data'!$H$28</f>
        <v>44838</v>
      </c>
      <c r="P8" s="26">
        <f t="shared" si="1"/>
        <v>84709</v>
      </c>
      <c r="Q8" s="25">
        <f>(Data[[#This Row],[Total_fat_g]]/Data[[#This Row],[Total_mass_g]])*100</f>
        <v>47.068198184372378</v>
      </c>
      <c r="R8" s="25">
        <f>(Data[[#This Row],[Lean_mass_g]]/Data[[#This Row],[Total_mass_g]])*100</f>
        <v>52.931801815627622</v>
      </c>
      <c r="S8" s="25">
        <v>1419</v>
      </c>
      <c r="T8" s="25">
        <v>6.8365685660000004</v>
      </c>
      <c r="U8" s="25">
        <f>[1]Glucose!$H$3</f>
        <v>5.4260000000000002</v>
      </c>
      <c r="V8" s="25">
        <f>'[1]Insulin+HOMA'!$H$3</f>
        <v>17.267499999999998</v>
      </c>
      <c r="W8" s="25">
        <f>(Data[[#This Row],[Glucose (umol/L)]]*Data[[#This Row],[Insulin (umol/L)]])/22.5</f>
        <v>4.164153555555556</v>
      </c>
      <c r="X8" s="25">
        <f>[1]NEFA!$H$3</f>
        <v>661.4</v>
      </c>
      <c r="Y8" s="25">
        <f>[1]TAG!$H$3</f>
        <v>1728.3</v>
      </c>
      <c r="Z8" s="25">
        <f>'[1]3-OHB'!$H$3</f>
        <v>61</v>
      </c>
      <c r="AA8" s="25">
        <f>'[10]Basal ApoB,Chol,HDL,ALT'!$F$2</f>
        <v>5.51</v>
      </c>
      <c r="AB8" s="25">
        <f>'[10]Basal ApoB,Chol,HDL,ALT'!$J$2</f>
        <v>1.22</v>
      </c>
      <c r="AC8" s="25">
        <f>Data[[#This Row],[total_chol (umol/L)]]-Data[[#This Row],[HDL_chol (umol/L)]]</f>
        <v>4.29</v>
      </c>
      <c r="AD8" s="25">
        <f>Data[[#This Row],[Non_HDL (umol/L)]]-(Data[[#This Row],[TAG (umol/L)]]/2200)</f>
        <v>3.5044090909090908</v>
      </c>
      <c r="AE8" s="25">
        <v>1057.8480825000006</v>
      </c>
      <c r="AF8" s="49">
        <f>[3]NT7!$B$3</f>
        <v>3.9641362346790054E-3</v>
      </c>
      <c r="AG8" s="25">
        <f>[1]DNL_160!$H$5</f>
        <v>10.806078208402106</v>
      </c>
      <c r="AH8" s="23">
        <f>(Data[[#This Row],[DNL (%)]]/100)*Data[[#This Row],[VLDL (umol/L)]]</f>
        <v>114.3118911210321</v>
      </c>
      <c r="AI8" s="25">
        <f>[4]SAMPLES!$L$9</f>
        <v>16.7425721248065</v>
      </c>
      <c r="AJ8" s="55">
        <f>(Data[[#This Row],[Gluconeogensis (%)]]/100)*Data[[#This Row],[Glucose (umol/L)]]</f>
        <v>0.90845196349200075</v>
      </c>
    </row>
    <row r="9" spans="1:37" s="23" customFormat="1" x14ac:dyDescent="0.25">
      <c r="A9" s="23">
        <v>8</v>
      </c>
      <c r="B9" s="23" t="s">
        <v>39</v>
      </c>
      <c r="C9" s="23" t="s">
        <v>32</v>
      </c>
      <c r="F9" s="23" t="s">
        <v>228</v>
      </c>
      <c r="G9" s="26">
        <v>42.9</v>
      </c>
      <c r="H9" s="23">
        <v>188</v>
      </c>
      <c r="I9" s="23">
        <v>99.5</v>
      </c>
      <c r="J9" s="24">
        <f t="shared" si="0"/>
        <v>28.151878678134903</v>
      </c>
      <c r="K9" s="23">
        <v>100</v>
      </c>
      <c r="L9" s="23">
        <v>107</v>
      </c>
      <c r="M9" s="25">
        <f>Data[[#This Row],[Waist_Circumference]]/Data[[#This Row],[Hip_circumference]]</f>
        <v>0.93457943925233644</v>
      </c>
      <c r="N9" s="26">
        <f>'[1]Anthro data'!$I$27</f>
        <v>34158</v>
      </c>
      <c r="O9" s="26">
        <f>'[1]Anthro data'!$I$28</f>
        <v>60006</v>
      </c>
      <c r="P9" s="26">
        <f t="shared" si="1"/>
        <v>94164</v>
      </c>
      <c r="Q9" s="25">
        <f>(Data[[#This Row],[Total_fat_g]]/Data[[#This Row],[Total_mass_g]])*100</f>
        <v>36.275009557792785</v>
      </c>
      <c r="R9" s="25">
        <f>(Data[[#This Row],[Lean_mass_g]]/Data[[#This Row],[Total_mass_g]])*100</f>
        <v>63.724990442207208</v>
      </c>
      <c r="S9" s="25">
        <v>1299</v>
      </c>
      <c r="T9" s="25">
        <v>20.658122120000002</v>
      </c>
      <c r="U9" s="25">
        <f>[1]Glucose!$I$3</f>
        <v>5.298</v>
      </c>
      <c r="V9" s="25">
        <f>'[1]Insulin+HOMA'!$I$3</f>
        <v>25.892499999999998</v>
      </c>
      <c r="W9" s="25">
        <f>(Data[[#This Row],[Glucose (umol/L)]]*Data[[#This Row],[Insulin (umol/L)]])/22.5</f>
        <v>6.096820666666666</v>
      </c>
      <c r="X9" s="25">
        <f>[1]NEFA!$I$3</f>
        <v>294.7</v>
      </c>
      <c r="Y9" s="25">
        <f>[1]TAG!$I$3</f>
        <v>2154.4</v>
      </c>
      <c r="Z9" s="25">
        <f>'[1]3-OHB'!$I$3</f>
        <v>29.3</v>
      </c>
      <c r="AA9" s="25">
        <f>'[11]Basal ApoB,Chol,HDL,ALT'!$F$2</f>
        <v>7.12</v>
      </c>
      <c r="AB9" s="25">
        <f>'[11]Basal ApoB,Chol,HDL,ALT'!$J$2</f>
        <v>1.08</v>
      </c>
      <c r="AC9" s="25">
        <f>Data[[#This Row],[total_chol (umol/L)]]-Data[[#This Row],[HDL_chol (umol/L)]]</f>
        <v>6.04</v>
      </c>
      <c r="AD9" s="25">
        <f>Data[[#This Row],[Non_HDL (umol/L)]]-(Data[[#This Row],[TAG (umol/L)]]/2200)</f>
        <v>5.0607272727272727</v>
      </c>
      <c r="AE9" s="25">
        <v>1529.9377612500002</v>
      </c>
      <c r="AF9" s="49">
        <f>[3]DA8!$B$3</f>
        <v>3.5731095020398295E-3</v>
      </c>
      <c r="AG9" s="25">
        <f>[1]DNL_160!$I$5</f>
        <v>13.823788083950173</v>
      </c>
      <c r="AH9" s="23">
        <f>(Data[[#This Row],[DNL (%)]]/100)*Data[[#This Row],[VLDL (umol/L)]]</f>
        <v>211.49535393153158</v>
      </c>
      <c r="AI9" s="62">
        <f>[4]SAMPLES!$L$10</f>
        <v>20.205244855939437</v>
      </c>
      <c r="AJ9" s="55">
        <f>(Data[[#This Row],[Gluconeogensis (%)]]/100)*Data[[#This Row],[Glucose (umol/L)]]</f>
        <v>1.0704738724676712</v>
      </c>
    </row>
    <row r="10" spans="1:37" s="23" customFormat="1" x14ac:dyDescent="0.25">
      <c r="A10" s="23">
        <v>9</v>
      </c>
      <c r="B10" s="23" t="s">
        <v>40</v>
      </c>
      <c r="C10" s="23" t="s">
        <v>32</v>
      </c>
      <c r="F10" s="23" t="s">
        <v>227</v>
      </c>
      <c r="G10" s="26">
        <v>31</v>
      </c>
      <c r="H10" s="23">
        <v>168</v>
      </c>
      <c r="I10" s="23">
        <v>72.8</v>
      </c>
      <c r="J10" s="24">
        <f t="shared" si="0"/>
        <v>25.793650793650798</v>
      </c>
      <c r="K10" s="23">
        <v>84</v>
      </c>
      <c r="L10" s="23">
        <v>103</v>
      </c>
      <c r="M10" s="25">
        <f>Data[[#This Row],[Waist_Circumference]]/Data[[#This Row],[Hip_circumference]]</f>
        <v>0.81553398058252424</v>
      </c>
      <c r="N10" s="26">
        <f>'[1]Anthro data'!$J$27</f>
        <v>24585</v>
      </c>
      <c r="O10" s="26">
        <f>'[1]Anthro data'!$J$28</f>
        <v>44890</v>
      </c>
      <c r="P10" s="26">
        <f t="shared" si="1"/>
        <v>69475</v>
      </c>
      <c r="Q10" s="25">
        <f>(Data[[#This Row],[Total_fat_g]]/Data[[#This Row],[Total_mass_g]])*100</f>
        <v>35.386829794890254</v>
      </c>
      <c r="R10" s="25">
        <f>(Data[[#This Row],[Lean_mass_g]]/Data[[#This Row],[Total_mass_g]])*100</f>
        <v>64.613170205109753</v>
      </c>
      <c r="S10" s="25">
        <v>415</v>
      </c>
      <c r="T10" s="25">
        <v>11.60686748</v>
      </c>
      <c r="U10" s="25">
        <f>[1]Glucose!$J$3</f>
        <v>4.976</v>
      </c>
      <c r="V10" s="25">
        <f>'[1]Insulin+HOMA'!$J$3</f>
        <v>8.3979999999999997</v>
      </c>
      <c r="W10" s="25">
        <f>(Data[[#This Row],[Glucose (umol/L)]]*Data[[#This Row],[Insulin (umol/L)]])/22.5</f>
        <v>1.8572643555555552</v>
      </c>
      <c r="X10" s="25">
        <f>[1]NEFA!$J$3</f>
        <v>503.8</v>
      </c>
      <c r="Y10" s="25">
        <f>[1]TAG!$J$3</f>
        <v>1097.3000000000002</v>
      </c>
      <c r="Z10" s="25">
        <f>'[1]3-OHB'!$J$3</f>
        <v>50.3</v>
      </c>
      <c r="AA10" s="25">
        <f>'[12]Basal ApoB,Chol,HDL,ALT'!$F$2</f>
        <v>6.04</v>
      </c>
      <c r="AB10" s="25">
        <f>'[12]Basal ApoB,Chol,HDL,ALT'!$J$2</f>
        <v>1.27</v>
      </c>
      <c r="AC10" s="25">
        <f>Data[[#This Row],[total_chol (umol/L)]]-Data[[#This Row],[HDL_chol (umol/L)]]</f>
        <v>4.7699999999999996</v>
      </c>
      <c r="AD10" s="25">
        <f>Data[[#This Row],[Non_HDL (umol/L)]]-(Data[[#This Row],[TAG (umol/L)]]/2200)</f>
        <v>4.2712272727272724</v>
      </c>
      <c r="AE10" s="25">
        <v>617.78136000000018</v>
      </c>
      <c r="AF10" s="49">
        <f>[3]AB9!$B$3</f>
        <v>3.1987231274064232E-3</v>
      </c>
      <c r="AG10" s="25">
        <f>[1]DNL_160!$J$5</f>
        <v>2.2781548079505725</v>
      </c>
      <c r="AH10" s="23">
        <f>(Data[[#This Row],[DNL (%)]]/100)*Data[[#This Row],[VLDL (umol/L)]]</f>
        <v>14.074015755462439</v>
      </c>
      <c r="AI10" s="25">
        <f>[4]SAMPLES!$L$11</f>
        <v>9.9173476520120936</v>
      </c>
      <c r="AJ10" s="55">
        <f>(Data[[#This Row],[Gluconeogensis (%)]]/100)*Data[[#This Row],[Glucose (umol/L)]]</f>
        <v>0.49348721916412175</v>
      </c>
    </row>
    <row r="11" spans="1:37" s="23" customFormat="1" x14ac:dyDescent="0.25">
      <c r="A11" s="23">
        <v>10</v>
      </c>
      <c r="B11" s="23" t="s">
        <v>41</v>
      </c>
      <c r="C11" s="23" t="s">
        <v>32</v>
      </c>
      <c r="F11" s="23" t="s">
        <v>228</v>
      </c>
      <c r="G11" s="26">
        <v>44.2</v>
      </c>
      <c r="H11" s="23">
        <v>177</v>
      </c>
      <c r="I11" s="23">
        <v>88</v>
      </c>
      <c r="J11" s="24">
        <f t="shared" si="0"/>
        <v>28.088991030674453</v>
      </c>
      <c r="K11" s="23">
        <v>100</v>
      </c>
      <c r="L11" s="23">
        <v>105</v>
      </c>
      <c r="M11" s="25">
        <f>Data[[#This Row],[Waist_Circumference]]/Data[[#This Row],[Hip_circumference]]</f>
        <v>0.95238095238095233</v>
      </c>
      <c r="N11" s="26">
        <f>'[1]Anthro data'!$K$27</f>
        <v>31016</v>
      </c>
      <c r="O11" s="26">
        <f>'[1]Anthro data'!$K$28</f>
        <v>54166</v>
      </c>
      <c r="P11" s="26">
        <f t="shared" si="1"/>
        <v>85182</v>
      </c>
      <c r="Q11" s="25">
        <f>(Data[[#This Row],[Total_fat_g]]/Data[[#This Row],[Total_mass_g]])*100</f>
        <v>36.411448428071658</v>
      </c>
      <c r="R11" s="25">
        <f>(Data[[#This Row],[Lean_mass_g]]/Data[[#This Row],[Total_mass_g]])*100</f>
        <v>63.588551571928342</v>
      </c>
      <c r="S11" s="25">
        <v>1990</v>
      </c>
      <c r="T11" s="25">
        <v>4.652563743</v>
      </c>
      <c r="U11" s="25">
        <f>[1]Glucose!$K$3</f>
        <v>5.3730000000000002</v>
      </c>
      <c r="V11" s="25">
        <f>'[1]Insulin+HOMA'!$K$3</f>
        <v>13.629000000000001</v>
      </c>
      <c r="W11" s="25">
        <f>(Data[[#This Row],[Glucose (umol/L)]]*Data[[#This Row],[Insulin (umol/L)]])/22.5</f>
        <v>3.2546052000000008</v>
      </c>
      <c r="X11" s="25">
        <f>[1]NEFA!$K$3</f>
        <v>485.5</v>
      </c>
      <c r="Y11" s="25">
        <f>[1]TAG!$K$3</f>
        <v>2079.7999999999997</v>
      </c>
      <c r="Z11" s="25">
        <f>'[1]3-OHB'!$K$3</f>
        <v>69.3</v>
      </c>
      <c r="AA11" s="25">
        <f>'[13]Basal ApoB,Chol,HDL,ALT'!$F$2</f>
        <v>5.83</v>
      </c>
      <c r="AB11" s="25">
        <f>'[13]Basal ApoB,Chol,HDL,ALT'!$J$2</f>
        <v>0.9</v>
      </c>
      <c r="AC11" s="25">
        <f>Data[[#This Row],[total_chol (umol/L)]]-Data[[#This Row],[HDL_chol (umol/L)]]</f>
        <v>4.93</v>
      </c>
      <c r="AD11" s="25">
        <f>Data[[#This Row],[Non_HDL (umol/L)]]-(Data[[#This Row],[TAG (umol/L)]]/2200)</f>
        <v>3.9846363636363633</v>
      </c>
      <c r="AE11" s="25">
        <v>1539.7336874999999</v>
      </c>
      <c r="AF11" s="49">
        <f>[3]PT10!$B$3</f>
        <v>3.4976697148440443E-3</v>
      </c>
      <c r="AG11" s="25">
        <f>[1]DNL_160!$K$5</f>
        <v>5.2646002860640904</v>
      </c>
      <c r="AH11" s="23">
        <f>(Data[[#This Row],[DNL (%)]]/100)*Data[[#This Row],[VLDL (umol/L)]]</f>
        <v>81.060824116750155</v>
      </c>
      <c r="AI11" s="25">
        <f>[4]SAMPLES!$L$12</f>
        <v>39.520173004241485</v>
      </c>
      <c r="AJ11" s="55">
        <f>(Data[[#This Row],[Gluconeogensis (%)]]/100)*Data[[#This Row],[Glucose (umol/L)]]</f>
        <v>2.1234188955178954</v>
      </c>
    </row>
    <row r="12" spans="1:37" s="23" customFormat="1" x14ac:dyDescent="0.25">
      <c r="A12" s="23">
        <v>11</v>
      </c>
      <c r="B12" s="23" t="s">
        <v>42</v>
      </c>
      <c r="C12" s="23" t="s">
        <v>32</v>
      </c>
      <c r="F12" s="23" t="s">
        <v>228</v>
      </c>
      <c r="G12" s="26">
        <v>35.299999999999997</v>
      </c>
      <c r="H12" s="23">
        <v>180</v>
      </c>
      <c r="I12" s="23">
        <v>84.7</v>
      </c>
      <c r="J12" s="24">
        <f t="shared" si="0"/>
        <v>26.141975308641975</v>
      </c>
      <c r="K12" s="23">
        <v>89</v>
      </c>
      <c r="L12" s="23">
        <v>104</v>
      </c>
      <c r="M12" s="25">
        <f>Data[[#This Row],[Waist_Circumference]]/Data[[#This Row],[Hip_circumference]]</f>
        <v>0.85576923076923073</v>
      </c>
      <c r="N12" s="26">
        <f>'[1]Anthro data'!$L$27</f>
        <v>23618</v>
      </c>
      <c r="O12" s="26">
        <f>'[1]Anthro data'!$L$28</f>
        <v>56737</v>
      </c>
      <c r="P12" s="26">
        <f t="shared" si="1"/>
        <v>80355</v>
      </c>
      <c r="Q12" s="25">
        <f>(Data[[#This Row],[Total_fat_g]]/Data[[#This Row],[Total_mass_g]])*100</f>
        <v>29.392072677493626</v>
      </c>
      <c r="R12" s="25">
        <f>(Data[[#This Row],[Lean_mass_g]]/Data[[#This Row],[Total_mass_g]])*100</f>
        <v>70.607927322506384</v>
      </c>
      <c r="S12" s="25">
        <v>573</v>
      </c>
      <c r="T12" s="25">
        <v>1.6858237549999999</v>
      </c>
      <c r="U12" s="25">
        <f>[1]Glucose!$L$3</f>
        <v>5.3609999999999998</v>
      </c>
      <c r="V12" s="25">
        <f>'[1]Insulin+HOMA'!$L$3</f>
        <v>13.0525</v>
      </c>
      <c r="W12" s="25">
        <f>(Data[[#This Row],[Glucose (umol/L)]]*Data[[#This Row],[Insulin (umol/L)]])/22.5</f>
        <v>3.1099756666666667</v>
      </c>
      <c r="X12" s="25">
        <f>[1]NEFA!$L$3</f>
        <v>468.9</v>
      </c>
      <c r="Y12" s="25">
        <f>[1]TAG!$L$3</f>
        <v>1739.3</v>
      </c>
      <c r="Z12" s="25">
        <f>'[1]3-OHB'!$L$3</f>
        <v>78.099999999999994</v>
      </c>
      <c r="AA12" s="25">
        <f>'[14]Basal ApoB,Chol,HDL,ALT'!$F$2</f>
        <v>5.1100000000000003</v>
      </c>
      <c r="AB12" s="25">
        <f>'[14]Basal ApoB,Chol,HDL,ALT'!$J$2</f>
        <v>1.28</v>
      </c>
      <c r="AC12" s="25">
        <f>Data[[#This Row],[total_chol (umol/L)]]-Data[[#This Row],[HDL_chol (umol/L)]]</f>
        <v>3.83</v>
      </c>
      <c r="AD12" s="25">
        <f>Data[[#This Row],[Non_HDL (umol/L)]]-(Data[[#This Row],[TAG (umol/L)]]/2200)</f>
        <v>3.0394090909090909</v>
      </c>
      <c r="AE12" s="25">
        <v>918.52961249999998</v>
      </c>
      <c r="AF12" s="49">
        <f>[3]RF11!$B$3</f>
        <v>2.9335604276105112E-3</v>
      </c>
      <c r="AG12" s="25">
        <f>[1]DNL_160!$L$5</f>
        <v>5.6408962598611891</v>
      </c>
      <c r="AH12" s="23">
        <f>(Data[[#This Row],[DNL (%)]]/100)*Data[[#This Row],[VLDL (umol/L)]]</f>
        <v>51.813302557229967</v>
      </c>
      <c r="AI12" s="25">
        <f>[4]SAMPLES!$L$13</f>
        <v>33.536539689585531</v>
      </c>
      <c r="AJ12" s="55">
        <f>(Data[[#This Row],[Gluconeogensis (%)]]/100)*Data[[#This Row],[Glucose (umol/L)]]</f>
        <v>1.7978938927586803</v>
      </c>
    </row>
    <row r="13" spans="1:37" s="23" customFormat="1" x14ac:dyDescent="0.25">
      <c r="A13" s="23">
        <v>12</v>
      </c>
      <c r="B13" s="23" t="s">
        <v>43</v>
      </c>
      <c r="C13" s="23" t="s">
        <v>32</v>
      </c>
      <c r="F13" s="23" t="s">
        <v>228</v>
      </c>
      <c r="G13" s="26">
        <v>47.6</v>
      </c>
      <c r="H13" s="23">
        <v>185</v>
      </c>
      <c r="I13" s="23">
        <v>105.8</v>
      </c>
      <c r="J13" s="24">
        <f t="shared" si="0"/>
        <v>30.913075237399557</v>
      </c>
      <c r="K13" s="23">
        <v>110</v>
      </c>
      <c r="L13" s="23">
        <v>107</v>
      </c>
      <c r="M13" s="25">
        <f>Data[[#This Row],[Waist_Circumference]]/Data[[#This Row],[Hip_circumference]]</f>
        <v>1.02803738317757</v>
      </c>
      <c r="N13" s="26">
        <f>'[1]Anthro data'!$M$27</f>
        <v>37872</v>
      </c>
      <c r="O13" s="26">
        <f>'[1]Anthro data'!$M$28</f>
        <v>61797</v>
      </c>
      <c r="P13" s="26">
        <f t="shared" si="1"/>
        <v>99669</v>
      </c>
      <c r="Q13" s="25">
        <f>(Data[[#This Row],[Total_fat_g]]/Data[[#This Row],[Total_mass_g]])*100</f>
        <v>37.997772627396678</v>
      </c>
      <c r="R13" s="25">
        <f>(Data[[#This Row],[Lean_mass_g]]/Data[[#This Row],[Total_mass_g]])*100</f>
        <v>62.002227372603315</v>
      </c>
      <c r="S13" s="25">
        <v>2722</v>
      </c>
      <c r="T13" s="25">
        <v>19.01760363</v>
      </c>
      <c r="U13" s="25">
        <f>[1]Glucose!$M$3</f>
        <v>6.1520000000000001</v>
      </c>
      <c r="V13" s="25">
        <f>'[1]Insulin+HOMA'!$M$3</f>
        <v>12.6035</v>
      </c>
      <c r="W13" s="25">
        <f>(Data[[#This Row],[Glucose (umol/L)]]*Data[[#This Row],[Insulin (umol/L)]])/22.5</f>
        <v>3.446076977777778</v>
      </c>
      <c r="X13" s="25">
        <f>[1]NEFA!$M$3</f>
        <v>393.3</v>
      </c>
      <c r="Y13" s="25">
        <f>[1]TAG!$M$3</f>
        <v>3953.7</v>
      </c>
      <c r="Z13" s="25">
        <f>'[1]3-OHB'!$M$3</f>
        <v>59.4</v>
      </c>
      <c r="AA13" s="25">
        <f>'[15]Basal ApoB,Chol,HDL,ALT'!$F$2</f>
        <v>5.31</v>
      </c>
      <c r="AB13" s="25">
        <f>'[15]Basal ApoB,Chol,HDL,ALT'!$J$2</f>
        <v>1.1000000000000001</v>
      </c>
      <c r="AC13" s="25">
        <f>Data[[#This Row],[total_chol (umol/L)]]-Data[[#This Row],[HDL_chol (umol/L)]]</f>
        <v>4.2099999999999991</v>
      </c>
      <c r="AD13" s="25">
        <f>Data[[#This Row],[Non_HDL (umol/L)]]-(Data[[#This Row],[TAG (umol/L)]]/2200)</f>
        <v>2.4128636363636353</v>
      </c>
      <c r="AE13" s="25">
        <v>1197.5943525000002</v>
      </c>
      <c r="AF13" s="49">
        <f>[3]DD12!$B$3</f>
        <v>3.4728975507916982E-3</v>
      </c>
      <c r="AG13" s="25">
        <f>[1]DNL_160!$M$5</f>
        <v>4.9394964680335489</v>
      </c>
      <c r="AH13" s="23">
        <f>(Data[[#This Row],[DNL (%)]]/100)*Data[[#This Row],[VLDL (umol/L)]]</f>
        <v>59.15513074310676</v>
      </c>
      <c r="AI13" s="62">
        <f>[4]SAMPLES!$L$14</f>
        <v>20.499287081508957</v>
      </c>
      <c r="AJ13" s="55">
        <f>(Data[[#This Row],[Gluconeogensis (%)]]/100)*Data[[#This Row],[Glucose (umol/L)]]</f>
        <v>1.2611161412544312</v>
      </c>
    </row>
    <row r="14" spans="1:37" s="23" customFormat="1" x14ac:dyDescent="0.25">
      <c r="A14" s="23">
        <v>13</v>
      </c>
      <c r="B14" s="23" t="s">
        <v>44</v>
      </c>
      <c r="C14" s="23" t="s">
        <v>32</v>
      </c>
      <c r="F14" s="23" t="s">
        <v>227</v>
      </c>
      <c r="G14" s="26">
        <v>49.1</v>
      </c>
      <c r="H14" s="23">
        <v>165</v>
      </c>
      <c r="I14" s="23">
        <v>93.3</v>
      </c>
      <c r="J14" s="24">
        <f t="shared" si="0"/>
        <v>34.269972451790636</v>
      </c>
      <c r="K14" s="23">
        <v>104</v>
      </c>
      <c r="L14" s="23">
        <v>119</v>
      </c>
      <c r="M14" s="25">
        <f>Data[[#This Row],[Waist_Circumference]]/Data[[#This Row],[Hip_circumference]]</f>
        <v>0.87394957983193278</v>
      </c>
      <c r="N14" s="26">
        <f>'[1]Anthro data'!$N$27</f>
        <v>46828</v>
      </c>
      <c r="O14" s="26">
        <f>'[1]Anthro data'!$N$28</f>
        <v>43556</v>
      </c>
      <c r="P14" s="26">
        <f t="shared" si="1"/>
        <v>90384</v>
      </c>
      <c r="Q14" s="25">
        <f>(Data[[#This Row],[Total_fat_g]]/Data[[#This Row],[Total_mass_g]])*100</f>
        <v>51.810054876969382</v>
      </c>
      <c r="R14" s="25">
        <f>(Data[[#This Row],[Lean_mass_g]]/Data[[#This Row],[Total_mass_g]])*100</f>
        <v>48.189945123030625</v>
      </c>
      <c r="S14" s="25">
        <v>1613</v>
      </c>
      <c r="T14" s="25">
        <v>6.1615384620000002</v>
      </c>
      <c r="U14" s="25">
        <f>[1]Glucose!$N$3</f>
        <v>4.9820000000000002</v>
      </c>
      <c r="V14" s="25">
        <f>'[1]Insulin+HOMA'!$N$3</f>
        <v>23.234999999999999</v>
      </c>
      <c r="W14" s="25">
        <f>(Data[[#This Row],[Glucose (umol/L)]]*Data[[#This Row],[Insulin (umol/L)]])/22.5</f>
        <v>5.1447453333333337</v>
      </c>
      <c r="X14" s="25">
        <f>[1]NEFA!$N$3</f>
        <v>574</v>
      </c>
      <c r="Y14" s="25">
        <f>[1]TAG!$N$3</f>
        <v>2132.1</v>
      </c>
      <c r="Z14" s="25">
        <f>'[1]3-OHB'!$N$3</f>
        <v>81</v>
      </c>
      <c r="AA14" s="25">
        <f>'[16]Basal ApoB,Chol,HDL,ALT'!$F$2</f>
        <v>6.45</v>
      </c>
      <c r="AB14" s="25">
        <f>'[16]Basal ApoB,Chol,HDL,ALT'!$J$2</f>
        <v>1.28</v>
      </c>
      <c r="AC14" s="25">
        <f>Data[[#This Row],[total_chol (umol/L)]]-Data[[#This Row],[HDL_chol (umol/L)]]</f>
        <v>5.17</v>
      </c>
      <c r="AD14" s="25">
        <f>Data[[#This Row],[Non_HDL (umol/L)]]-(Data[[#This Row],[TAG (umol/L)]]/2200)</f>
        <v>4.2008636363636365</v>
      </c>
      <c r="AE14" s="25">
        <v>1274.6426550000001</v>
      </c>
      <c r="AF14" s="49">
        <f>[3]LJ13!$B$3</f>
        <v>4.4730059723960235E-3</v>
      </c>
      <c r="AG14" s="25">
        <f>[1]DNL_160!$N$5</f>
        <v>7.6211072007958025</v>
      </c>
      <c r="AH14" s="23">
        <f>(Data[[#This Row],[DNL (%)]]/100)*Data[[#This Row],[VLDL (umol/L)]]</f>
        <v>97.141883164619813</v>
      </c>
      <c r="AI14" s="25">
        <f>[4]SAMPLES!$L$15</f>
        <v>48.06904347492133</v>
      </c>
      <c r="AJ14" s="55">
        <f>(Data[[#This Row],[Gluconeogensis (%)]]/100)*Data[[#This Row],[Glucose (umol/L)]]</f>
        <v>2.3947997459205808</v>
      </c>
    </row>
    <row r="15" spans="1:37" s="23" customFormat="1" x14ac:dyDescent="0.25">
      <c r="A15" s="23">
        <v>14</v>
      </c>
      <c r="B15" s="23" t="s">
        <v>45</v>
      </c>
      <c r="C15" s="23" t="s">
        <v>32</v>
      </c>
      <c r="F15" s="23" t="s">
        <v>227</v>
      </c>
      <c r="G15" s="26">
        <v>51.1</v>
      </c>
      <c r="H15" s="23">
        <v>162</v>
      </c>
      <c r="I15" s="23">
        <v>68.7</v>
      </c>
      <c r="J15" s="24">
        <f t="shared" si="0"/>
        <v>26.177411979881111</v>
      </c>
      <c r="K15" s="23">
        <v>92</v>
      </c>
      <c r="L15" s="23">
        <v>104</v>
      </c>
      <c r="M15" s="25">
        <f>Data[[#This Row],[Waist_Circumference]]/Data[[#This Row],[Hip_circumference]]</f>
        <v>0.88461538461538458</v>
      </c>
      <c r="N15" s="26">
        <f>'[1]Anthro data'!$O$27</f>
        <v>25396</v>
      </c>
      <c r="O15" s="26">
        <f>'[1]Anthro data'!$O$28</f>
        <v>39248</v>
      </c>
      <c r="P15" s="26">
        <f t="shared" si="1"/>
        <v>64644</v>
      </c>
      <c r="Q15" s="25">
        <f>(Data[[#This Row],[Total_fat_g]]/Data[[#This Row],[Total_mass_g]])*100</f>
        <v>39.285935276282409</v>
      </c>
      <c r="R15" s="25">
        <f>(Data[[#This Row],[Lean_mass_g]]/Data[[#This Row],[Total_mass_g]])*100</f>
        <v>60.714064723717584</v>
      </c>
      <c r="S15" s="25">
        <v>221</v>
      </c>
      <c r="T15" s="25">
        <v>1.71637931</v>
      </c>
      <c r="U15" s="25">
        <f>[1]Glucose!$O$3</f>
        <v>5.0389999999999997</v>
      </c>
      <c r="V15" s="25">
        <f>'[1]Insulin+HOMA'!$O$3</f>
        <v>8.339500000000001</v>
      </c>
      <c r="W15" s="25">
        <f>(Data[[#This Row],[Glucose (umol/L)]]*Data[[#This Row],[Insulin (umol/L)]])/22.5</f>
        <v>1.8676773555555557</v>
      </c>
      <c r="X15" s="25">
        <f>[1]NEFA!$O$3</f>
        <v>410.9</v>
      </c>
      <c r="Y15" s="25">
        <f>[1]TAG!$O$3</f>
        <v>490.20000000000005</v>
      </c>
      <c r="Z15" s="25">
        <f>'[1]3-OHB'!$O$3</f>
        <v>52.7</v>
      </c>
      <c r="AA15" s="25">
        <f>'[17]Basal ApoB,Chol,HDL,ALT'!$F$2</f>
        <v>5.84</v>
      </c>
      <c r="AB15" s="25">
        <f>'[17]Basal ApoB,Chol,HDL,ALT'!$J$2</f>
        <v>1.95</v>
      </c>
      <c r="AC15" s="25">
        <f>Data[[#This Row],[total_chol (umol/L)]]-Data[[#This Row],[HDL_chol (umol/L)]]</f>
        <v>3.8899999999999997</v>
      </c>
      <c r="AD15" s="25">
        <f>Data[[#This Row],[Non_HDL (umol/L)]]-(Data[[#This Row],[TAG (umol/L)]]/2200)</f>
        <v>3.6671818181818177</v>
      </c>
      <c r="AE15" s="25">
        <v>150.14325375000001</v>
      </c>
      <c r="AF15" s="49">
        <f>[3]MR14!$B$3</f>
        <v>3.6510770372452264E-3</v>
      </c>
      <c r="AG15" s="25">
        <f>[1]DNL_160!$O$5</f>
        <v>7.561408490311063</v>
      </c>
      <c r="AH15" s="23">
        <f>(Data[[#This Row],[DNL (%)]]/100)*Data[[#This Row],[VLDL (umol/L)]]</f>
        <v>11.352944736681783</v>
      </c>
      <c r="AI15" s="25">
        <f>[4]SAMPLES!$L$16</f>
        <v>62.097269863075574</v>
      </c>
      <c r="AJ15" s="55">
        <f>(Data[[#This Row],[Gluconeogensis (%)]]/100)*Data[[#This Row],[Glucose (umol/L)]]</f>
        <v>3.1290814284003781</v>
      </c>
    </row>
    <row r="16" spans="1:37" s="23" customFormat="1" x14ac:dyDescent="0.25">
      <c r="A16" s="23">
        <v>15</v>
      </c>
      <c r="B16" s="23" t="s">
        <v>46</v>
      </c>
      <c r="C16" s="23" t="s">
        <v>32</v>
      </c>
      <c r="F16" s="23" t="s">
        <v>228</v>
      </c>
      <c r="G16" s="26">
        <v>44</v>
      </c>
      <c r="H16" s="23">
        <v>174</v>
      </c>
      <c r="I16" s="23">
        <v>82.1</v>
      </c>
      <c r="J16" s="24">
        <f t="shared" si="0"/>
        <v>27.117188532170694</v>
      </c>
      <c r="K16" s="23">
        <v>93</v>
      </c>
      <c r="L16" s="23">
        <v>100</v>
      </c>
      <c r="M16" s="25">
        <f>Data[[#This Row],[Waist_Circumference]]/Data[[#This Row],[Hip_circumference]]</f>
        <v>0.93</v>
      </c>
      <c r="N16" s="26">
        <f>'[1]Anthro data'!$P$27</f>
        <v>22191</v>
      </c>
      <c r="O16" s="26">
        <f>'[1]Anthro data'!$P$28</f>
        <v>55044</v>
      </c>
      <c r="P16" s="26">
        <f t="shared" si="1"/>
        <v>77235</v>
      </c>
      <c r="Q16" s="25">
        <f>(Data[[#This Row],[Total_fat_g]]/Data[[#This Row],[Total_mass_g]])*100</f>
        <v>28.731792581083702</v>
      </c>
      <c r="R16" s="25">
        <f>(Data[[#This Row],[Lean_mass_g]]/Data[[#This Row],[Total_mass_g]])*100</f>
        <v>71.26820741891629</v>
      </c>
      <c r="S16" s="25">
        <v>977</v>
      </c>
      <c r="T16" s="25">
        <v>4.1340254840000004</v>
      </c>
      <c r="U16" s="25">
        <f>[1]Glucose!$P$3</f>
        <v>5.266</v>
      </c>
      <c r="V16" s="25">
        <f>'[1]Insulin+HOMA'!$P$3</f>
        <v>10.282</v>
      </c>
      <c r="W16" s="25">
        <f>(Data[[#This Row],[Glucose (umol/L)]]*Data[[#This Row],[Insulin (umol/L)]])/22.5</f>
        <v>2.4064449777777779</v>
      </c>
      <c r="X16" s="25">
        <f>[1]NEFA!$P$3</f>
        <v>414.8</v>
      </c>
      <c r="Y16" s="25">
        <f>[1]TAG!$P$3</f>
        <v>1332.8999999999999</v>
      </c>
      <c r="Z16" s="25">
        <f>'[1]3-OHB'!$P$3</f>
        <v>52.7</v>
      </c>
      <c r="AA16" s="25">
        <f>'[18]Basal ApoB,Chol,HDL,ALT'!$F$2</f>
        <v>6.11</v>
      </c>
      <c r="AB16" s="25">
        <f>'[18]Basal ApoB,Chol,HDL,ALT'!$J$2</f>
        <v>1.04</v>
      </c>
      <c r="AC16" s="25">
        <f>Data[[#This Row],[total_chol (umol/L)]]-Data[[#This Row],[HDL_chol (umol/L)]]</f>
        <v>5.07</v>
      </c>
      <c r="AD16" s="25">
        <f>Data[[#This Row],[Non_HDL (umol/L)]]-(Data[[#This Row],[TAG (umol/L)]]/2200)</f>
        <v>4.4641363636363636</v>
      </c>
      <c r="AE16" s="25">
        <v>999.96092999999973</v>
      </c>
      <c r="AF16" s="49">
        <f>[3]MJ15!$B$3</f>
        <v>3.3365763146757316E-3</v>
      </c>
      <c r="AG16" s="25">
        <f>[1]DNL_160!$P$5</f>
        <v>1.8988804401714372</v>
      </c>
      <c r="AH16" s="23">
        <f>(Data[[#This Row],[DNL (%)]]/100)*Data[[#This Row],[VLDL (umol/L)]]</f>
        <v>18.98806250912639</v>
      </c>
      <c r="AI16" s="25">
        <f>[4]SAMPLES!$L$17</f>
        <v>33.971234064737253</v>
      </c>
      <c r="AJ16" s="55">
        <f>(Data[[#This Row],[Gluconeogensis (%)]]/100)*Data[[#This Row],[Glucose (umol/L)]]</f>
        <v>1.7889251858490638</v>
      </c>
    </row>
    <row r="17" spans="1:37" s="23" customFormat="1" x14ac:dyDescent="0.25">
      <c r="A17" s="23">
        <v>16</v>
      </c>
      <c r="B17" s="23" t="s">
        <v>47</v>
      </c>
      <c r="C17" s="23" t="s">
        <v>32</v>
      </c>
      <c r="F17" s="23" t="s">
        <v>228</v>
      </c>
      <c r="G17" s="26">
        <v>51.1</v>
      </c>
      <c r="H17" s="23">
        <v>176</v>
      </c>
      <c r="I17" s="23">
        <v>65.8</v>
      </c>
      <c r="J17" s="24">
        <f t="shared" si="0"/>
        <v>21.242252066115704</v>
      </c>
      <c r="K17" s="23">
        <v>82</v>
      </c>
      <c r="L17" s="23">
        <v>90</v>
      </c>
      <c r="M17" s="25">
        <f>Data[[#This Row],[Waist_Circumference]]/Data[[#This Row],[Hip_circumference]]</f>
        <v>0.91111111111111109</v>
      </c>
      <c r="N17" s="26">
        <f>'[1]Anthro data'!$Q$27</f>
        <v>12859</v>
      </c>
      <c r="O17" s="26">
        <f>'[1]Anthro data'!$Q$28</f>
        <v>48841</v>
      </c>
      <c r="P17" s="26">
        <f t="shared" si="1"/>
        <v>61700</v>
      </c>
      <c r="Q17" s="25">
        <f>(Data[[#This Row],[Total_fat_g]]/Data[[#This Row],[Total_mass_g]])*100</f>
        <v>20.841166936790923</v>
      </c>
      <c r="R17" s="25">
        <f>(Data[[#This Row],[Lean_mass_g]]/Data[[#This Row],[Total_mass_g]])*100</f>
        <v>79.158833063209073</v>
      </c>
      <c r="S17" s="25">
        <v>338</v>
      </c>
      <c r="T17" s="25">
        <v>0.70799630199999997</v>
      </c>
      <c r="U17" s="25">
        <f>[1]Glucose!$Q$3</f>
        <v>4.7549999999999999</v>
      </c>
      <c r="V17" s="25">
        <f>'[1]Insulin+HOMA'!$Q$3</f>
        <v>7.548</v>
      </c>
      <c r="W17" s="25">
        <f>(Data[[#This Row],[Glucose (umol/L)]]*Data[[#This Row],[Insulin (umol/L)]])/22.5</f>
        <v>1.5951440000000001</v>
      </c>
      <c r="X17" s="25">
        <f>[1]NEFA!$Q$3</f>
        <v>313.10000000000002</v>
      </c>
      <c r="Y17" s="25">
        <f>[1]TAG!$Q$3</f>
        <v>807.7</v>
      </c>
      <c r="Z17" s="25">
        <f>'[1]3-OHB'!$Q$3</f>
        <v>43</v>
      </c>
      <c r="AA17" s="25">
        <f>'[19]Basal ApoB,Chol,HDL,ALT'!$F$2</f>
        <v>4.91</v>
      </c>
      <c r="AB17" s="25">
        <f>'[19]Basal ApoB,Chol,HDL,ALT'!$J$2</f>
        <v>1.33</v>
      </c>
      <c r="AC17" s="25">
        <f>Data[[#This Row],[total_chol (umol/L)]]-Data[[#This Row],[HDL_chol (umol/L)]]</f>
        <v>3.58</v>
      </c>
      <c r="AD17" s="25">
        <f>Data[[#This Row],[Non_HDL (umol/L)]]-(Data[[#This Row],[TAG (umol/L)]]/2200)</f>
        <v>3.2128636363636365</v>
      </c>
      <c r="AE17" s="25">
        <v>758.52562499999999</v>
      </c>
      <c r="AF17" s="49">
        <f>[3]MS16!$B$3</f>
        <v>2.8542974440535305E-3</v>
      </c>
      <c r="AG17" s="25">
        <f>[1]DNL_160!$Q$5</f>
        <v>3.8629911534939811</v>
      </c>
      <c r="AH17" s="23">
        <f>(Data[[#This Row],[DNL (%)]]/100)*Data[[#This Row],[VLDL (umol/L)]]</f>
        <v>29.301777790734928</v>
      </c>
      <c r="AI17" s="63">
        <f>[4]SAMPLES!$L$18</f>
        <v>25.945808385439438</v>
      </c>
      <c r="AJ17" s="55">
        <f>(Data[[#This Row],[Gluconeogensis (%)]]/100)*Data[[#This Row],[Glucose (umol/L)]]</f>
        <v>1.2337231887276454</v>
      </c>
    </row>
    <row r="18" spans="1:37" s="23" customFormat="1" x14ac:dyDescent="0.25">
      <c r="A18" s="23">
        <v>17</v>
      </c>
      <c r="B18" s="23" t="s">
        <v>48</v>
      </c>
      <c r="C18" s="23" t="s">
        <v>32</v>
      </c>
      <c r="F18" s="23" t="s">
        <v>227</v>
      </c>
      <c r="G18" s="26">
        <v>49.1</v>
      </c>
      <c r="H18" s="23">
        <v>170</v>
      </c>
      <c r="I18" s="23">
        <v>83.8</v>
      </c>
      <c r="J18" s="24">
        <f t="shared" si="0"/>
        <v>28.996539792387544</v>
      </c>
      <c r="K18" s="23">
        <v>87</v>
      </c>
      <c r="L18" s="23">
        <v>110</v>
      </c>
      <c r="M18" s="25">
        <f>Data[[#This Row],[Waist_Circumference]]/Data[[#This Row],[Hip_circumference]]</f>
        <v>0.79090909090909089</v>
      </c>
      <c r="N18" s="26">
        <f>'[1]Anthro data'!$R$27</f>
        <v>38421</v>
      </c>
      <c r="O18" s="26">
        <f>'[1]Anthro data'!$R$28</f>
        <v>42589</v>
      </c>
      <c r="P18" s="26">
        <f t="shared" si="1"/>
        <v>81010</v>
      </c>
      <c r="Q18" s="25">
        <f>(Data[[#This Row],[Total_fat_g]]/Data[[#This Row],[Total_mass_g]])*100</f>
        <v>47.427478089124797</v>
      </c>
      <c r="R18" s="25">
        <f>(Data[[#This Row],[Lean_mass_g]]/Data[[#This Row],[Total_mass_g]])*100</f>
        <v>52.572521910875203</v>
      </c>
      <c r="S18" s="25">
        <v>1030</v>
      </c>
      <c r="T18" s="25">
        <v>2.6518518520000001</v>
      </c>
      <c r="U18" s="25">
        <f>[1]Glucose!$R$3</f>
        <v>4.8529999999999998</v>
      </c>
      <c r="V18" s="25">
        <f>'[1]Insulin+HOMA'!$R$3</f>
        <v>7.7580000000000009</v>
      </c>
      <c r="W18" s="25">
        <f>(Data[[#This Row],[Glucose (umol/L)]]*Data[[#This Row],[Insulin (umol/L)]])/22.5</f>
        <v>1.6733144</v>
      </c>
      <c r="X18" s="25">
        <f>[1]NEFA!$R$3</f>
        <v>501.9</v>
      </c>
      <c r="Y18" s="25">
        <f>[1]TAG!$R$3</f>
        <v>951.5</v>
      </c>
      <c r="Z18" s="25">
        <f>'[1]3-OHB'!$R$3</f>
        <v>20.6</v>
      </c>
      <c r="AA18" s="25">
        <f>'[20]Basal ApoB,Chol,HDL,ALT'!$F$2</f>
        <v>5.25</v>
      </c>
      <c r="AB18" s="25">
        <f>'[20]Basal ApoB,Chol,HDL,ALT'!$J$2</f>
        <v>1.62</v>
      </c>
      <c r="AC18" s="25">
        <f>Data[[#This Row],[total_chol (umol/L)]]-Data[[#This Row],[HDL_chol (umol/L)]]</f>
        <v>3.63</v>
      </c>
      <c r="AD18" s="25">
        <f>Data[[#This Row],[Non_HDL (umol/L)]]-(Data[[#This Row],[TAG (umol/L)]]/2200)</f>
        <v>3.1974999999999998</v>
      </c>
      <c r="AE18" s="25">
        <v>1021.3691962500001</v>
      </c>
      <c r="AF18" s="49">
        <f>[3]WE17!$B$3</f>
        <v>4.0870958072882577E-3</v>
      </c>
      <c r="AG18" s="25">
        <f>[1]DNL_160!$R$5</f>
        <v>6.4705945653106127</v>
      </c>
      <c r="AH18" s="23">
        <f>(Data[[#This Row],[DNL (%)]]/100)*Data[[#This Row],[VLDL (umol/L)]]</f>
        <v>66.088659704309194</v>
      </c>
      <c r="AI18" s="25">
        <f>[4]SAMPLES!$L$19</f>
        <v>49.61186457566393</v>
      </c>
      <c r="AJ18" s="55">
        <f>(Data[[#This Row],[Gluconeogensis (%)]]/100)*Data[[#This Row],[Glucose (umol/L)]]</f>
        <v>2.4076637878569702</v>
      </c>
    </row>
    <row r="19" spans="1:37" s="23" customFormat="1" x14ac:dyDescent="0.25">
      <c r="A19" s="23">
        <v>18</v>
      </c>
      <c r="B19" s="23" t="s">
        <v>49</v>
      </c>
      <c r="C19" s="23" t="s">
        <v>32</v>
      </c>
      <c r="F19" s="23" t="s">
        <v>227</v>
      </c>
      <c r="G19" s="26">
        <v>43.3</v>
      </c>
      <c r="H19" s="23">
        <v>168</v>
      </c>
      <c r="I19" s="23">
        <v>75.7</v>
      </c>
      <c r="J19" s="24">
        <f t="shared" si="0"/>
        <v>26.821145124716558</v>
      </c>
      <c r="K19" s="23">
        <v>97</v>
      </c>
      <c r="L19" s="23">
        <v>106</v>
      </c>
      <c r="M19" s="25">
        <f>Data[[#This Row],[Waist_Circumference]]/Data[[#This Row],[Hip_circumference]]</f>
        <v>0.91509433962264153</v>
      </c>
      <c r="N19" s="26">
        <f>'[1]Anthro data'!$S$27</f>
        <v>34565</v>
      </c>
      <c r="O19" s="26">
        <f>'[1]Anthro data'!$S$28</f>
        <v>39068</v>
      </c>
      <c r="P19" s="26">
        <f t="shared" si="1"/>
        <v>73633</v>
      </c>
      <c r="Q19" s="25">
        <f>(Data[[#This Row],[Total_fat_g]]/Data[[#This Row],[Total_mass_g]])*100</f>
        <v>46.942267733217442</v>
      </c>
      <c r="R19" s="25">
        <f>(Data[[#This Row],[Lean_mass_g]]/Data[[#This Row],[Total_mass_g]])*100</f>
        <v>53.057732266782551</v>
      </c>
      <c r="S19" s="25">
        <v>1318</v>
      </c>
      <c r="T19" s="25">
        <v>3.4098656510000001</v>
      </c>
      <c r="U19" s="25">
        <f>[1]Glucose!$S$3</f>
        <v>5.4589999999999996</v>
      </c>
      <c r="V19" s="25">
        <f>'[1]Insulin+HOMA'!$S$3</f>
        <v>20.179000000000002</v>
      </c>
      <c r="W19" s="25">
        <f>(Data[[#This Row],[Glucose (umol/L)]]*Data[[#This Row],[Insulin (umol/L)]])/22.5</f>
        <v>4.8958738222222227</v>
      </c>
      <c r="X19" s="25">
        <f>[1]NEFA!$S$3</f>
        <v>327.3</v>
      </c>
      <c r="Y19" s="25">
        <f>[1]TAG!$S$3</f>
        <v>1062.7</v>
      </c>
      <c r="Z19" s="25">
        <f>'[1]3-OHB'!$S$3</f>
        <v>23.5</v>
      </c>
      <c r="AA19" s="25">
        <f>'[21]Basal ApoB,Chol,HDL,ALT'!$F$2</f>
        <v>4.41</v>
      </c>
      <c r="AB19" s="25">
        <f>'[21]Basal ApoB,Chol,HDL,ALT'!$J$2</f>
        <v>1.17</v>
      </c>
      <c r="AC19" s="25">
        <f>Data[[#This Row],[total_chol (umol/L)]]-Data[[#This Row],[HDL_chol (umol/L)]]</f>
        <v>3.24</v>
      </c>
      <c r="AD19" s="25">
        <f>Data[[#This Row],[Non_HDL (umol/L)]]-(Data[[#This Row],[TAG (umol/L)]]/2200)</f>
        <v>2.7569545454545459</v>
      </c>
      <c r="AE19" s="25">
        <v>710.81276625000021</v>
      </c>
      <c r="AF19" s="49">
        <f>[3]NC18!$B$3</f>
        <v>3.5015461486800044E-3</v>
      </c>
      <c r="AG19" s="25">
        <f>[1]DNL_160!$S$5</f>
        <v>24.460940734606055</v>
      </c>
      <c r="AH19" s="23">
        <f>(Data[[#This Row],[DNL (%)]]/100)*Data[[#This Row],[VLDL (umol/L)]]</f>
        <v>173.87148948642641</v>
      </c>
      <c r="AI19" s="63">
        <f>[4]SAMPLES!$L$20</f>
        <v>66.125111122083808</v>
      </c>
      <c r="AJ19" s="55">
        <f>(Data[[#This Row],[Gluconeogensis (%)]]/100)*Data[[#This Row],[Glucose (umol/L)]]</f>
        <v>3.6097698161545551</v>
      </c>
    </row>
    <row r="20" spans="1:37" s="23" customFormat="1" x14ac:dyDescent="0.25">
      <c r="A20" s="23">
        <v>19</v>
      </c>
      <c r="B20" s="23" t="s">
        <v>50</v>
      </c>
      <c r="C20" s="23" t="s">
        <v>32</v>
      </c>
      <c r="F20" s="23" t="s">
        <v>227</v>
      </c>
      <c r="G20" s="26">
        <v>48.2</v>
      </c>
      <c r="H20" s="23">
        <v>167</v>
      </c>
      <c r="I20" s="23">
        <v>72.3</v>
      </c>
      <c r="J20" s="24">
        <f t="shared" si="0"/>
        <v>25.924199505181253</v>
      </c>
      <c r="K20" s="23">
        <v>92</v>
      </c>
      <c r="L20" s="23">
        <v>106</v>
      </c>
      <c r="M20" s="25">
        <f>Data[[#This Row],[Waist_Circumference]]/Data[[#This Row],[Hip_circumference]]</f>
        <v>0.86792452830188682</v>
      </c>
      <c r="N20" s="26">
        <f>'[1]Anthro data'!$T$27</f>
        <v>26793</v>
      </c>
      <c r="O20" s="26">
        <f>'[1]Anthro data'!$T$28</f>
        <v>41973</v>
      </c>
      <c r="P20" s="26">
        <f t="shared" si="1"/>
        <v>68766</v>
      </c>
      <c r="Q20" s="25">
        <f>(Data[[#This Row],[Total_fat_g]]/Data[[#This Row],[Total_mass_g]])*100</f>
        <v>38.962568711281733</v>
      </c>
      <c r="R20" s="25">
        <f>(Data[[#This Row],[Lean_mass_g]]/Data[[#This Row],[Total_mass_g]])*100</f>
        <v>61.03743128871826</v>
      </c>
      <c r="S20" s="25">
        <v>409</v>
      </c>
      <c r="T20" s="25">
        <v>1.8392523359999999</v>
      </c>
      <c r="U20" s="25">
        <f>[1]Glucose!$T$3</f>
        <v>4.8499999999999996</v>
      </c>
      <c r="V20" s="25">
        <f>'[1]Insulin+HOMA'!$T$3</f>
        <v>8.51</v>
      </c>
      <c r="W20" s="25">
        <f>(Data[[#This Row],[Glucose (umol/L)]]*Data[[#This Row],[Insulin (umol/L)]])/22.5</f>
        <v>1.8343777777777777</v>
      </c>
      <c r="X20" s="25">
        <f>[1]NEFA!$T$3</f>
        <v>264.89999999999998</v>
      </c>
      <c r="Y20" s="25">
        <f>[1]TAG!$T$3</f>
        <v>942.80000000000007</v>
      </c>
      <c r="Z20" s="25">
        <f>'[1]3-OHB'!$T$3</f>
        <v>35.9</v>
      </c>
      <c r="AA20" s="25">
        <f>'[22]Basal ApoB,Chol,HDL,ALT'!$F$2</f>
        <v>5.09</v>
      </c>
      <c r="AB20" s="25">
        <f>'[22]Basal ApoB,Chol,HDL,ALT'!$J$2</f>
        <v>1.21</v>
      </c>
      <c r="AC20" s="25">
        <f>Data[[#This Row],[total_chol (umol/L)]]-Data[[#This Row],[HDL_chol (umol/L)]]</f>
        <v>3.88</v>
      </c>
      <c r="AD20" s="25">
        <f>Data[[#This Row],[Non_HDL (umol/L)]]-(Data[[#This Row],[TAG (umol/L)]]/2200)</f>
        <v>3.4514545454545456</v>
      </c>
      <c r="AE20" s="25">
        <v>585.8664</v>
      </c>
      <c r="AF20" s="49">
        <f>[3]RA19!$B$3</f>
        <v>3.5719926620945107E-3</v>
      </c>
      <c r="AG20" s="25">
        <f>[1]DNL_160!$T$5</f>
        <v>13.564733560280606</v>
      </c>
      <c r="AH20" s="23">
        <f>(Data[[#This Row],[DNL (%)]]/100)*Data[[#This Row],[VLDL (umol/L)]]</f>
        <v>79.471216179207815</v>
      </c>
      <c r="AI20" s="25">
        <f>[4]SAMPLES!$L$21</f>
        <v>20.787096350522916</v>
      </c>
      <c r="AJ20" s="55">
        <f>(Data[[#This Row],[Gluconeogensis (%)]]/100)*Data[[#This Row],[Glucose (umol/L)]]</f>
        <v>1.0081741730003613</v>
      </c>
    </row>
    <row r="21" spans="1:37" s="23" customFormat="1" x14ac:dyDescent="0.25">
      <c r="A21" s="23">
        <v>20</v>
      </c>
      <c r="B21" s="23" t="s">
        <v>51</v>
      </c>
      <c r="C21" s="23" t="s">
        <v>32</v>
      </c>
      <c r="F21" s="23" t="s">
        <v>228</v>
      </c>
      <c r="G21" s="26">
        <v>52.7</v>
      </c>
      <c r="H21" s="23">
        <v>185</v>
      </c>
      <c r="I21" s="23">
        <v>87.4</v>
      </c>
      <c r="J21" s="24">
        <f t="shared" si="0"/>
        <v>25.53688823959094</v>
      </c>
      <c r="K21" s="23">
        <v>94</v>
      </c>
      <c r="L21" s="23">
        <v>103</v>
      </c>
      <c r="M21" s="25">
        <f>Data[[#This Row],[Waist_Circumference]]/Data[[#This Row],[Hip_circumference]]</f>
        <v>0.91262135922330101</v>
      </c>
      <c r="N21" s="26">
        <f>'[1]Anthro data'!$U$27</f>
        <v>24953</v>
      </c>
      <c r="O21" s="26">
        <f>'[1]Anthro data'!$U$28</f>
        <v>58062</v>
      </c>
      <c r="P21" s="26">
        <f t="shared" si="1"/>
        <v>83015</v>
      </c>
      <c r="Q21" s="25">
        <f>(Data[[#This Row],[Total_fat_g]]/Data[[#This Row],[Total_mass_g]])*100</f>
        <v>30.058423176534362</v>
      </c>
      <c r="R21" s="25">
        <f>(Data[[#This Row],[Lean_mass_g]]/Data[[#This Row],[Total_mass_g]])*100</f>
        <v>69.941576823465638</v>
      </c>
      <c r="S21" s="25">
        <v>1082</v>
      </c>
      <c r="T21" s="25">
        <v>24.3708913</v>
      </c>
      <c r="U21" s="25">
        <f>[1]Glucose!$U$3</f>
        <v>5.3559999999999999</v>
      </c>
      <c r="V21" s="25">
        <f>'[1]Insulin+HOMA'!$U$3</f>
        <v>8.0175000000000001</v>
      </c>
      <c r="W21" s="25">
        <f>(Data[[#This Row],[Glucose (umol/L)]]*Data[[#This Row],[Insulin (umol/L)]])/22.5</f>
        <v>1.9085213333333333</v>
      </c>
      <c r="X21" s="25">
        <f>[1]NEFA!$U$3</f>
        <v>427.4</v>
      </c>
      <c r="Y21" s="25">
        <f>[1]TAG!$U$3</f>
        <v>3649</v>
      </c>
      <c r="Z21" s="25">
        <f>'[1]3-OHB'!$U$3</f>
        <v>36</v>
      </c>
      <c r="AA21" s="25">
        <f>'[23]Basal ApoB,Chol,HDL,ALT'!$F$2</f>
        <v>5.58</v>
      </c>
      <c r="AB21" s="25">
        <f>'[23]Basal ApoB,Chol,HDL,ALT'!$J$2</f>
        <v>0.91</v>
      </c>
      <c r="AC21" s="25">
        <f>Data[[#This Row],[total_chol (umol/L)]]-Data[[#This Row],[HDL_chol (umol/L)]]</f>
        <v>4.67</v>
      </c>
      <c r="AD21" s="25">
        <f>Data[[#This Row],[Non_HDL (umol/L)]]-(Data[[#This Row],[TAG (umol/L)]]/2200)</f>
        <v>3.0113636363636362</v>
      </c>
      <c r="AE21" s="25">
        <v>2614.34</v>
      </c>
      <c r="AF21" s="49">
        <f>[3]CS20!$B$3</f>
        <v>3.0347358969704617E-3</v>
      </c>
      <c r="AG21" s="25">
        <f>[1]DNL_160!$U$5</f>
        <v>15.51181939937895</v>
      </c>
      <c r="AH21" s="23">
        <f>(Data[[#This Row],[DNL (%)]]/100)*Data[[#This Row],[VLDL (umol/L)]]</f>
        <v>405.53169928572368</v>
      </c>
      <c r="AI21" s="25">
        <f>[4]SAMPLES!$L$22</f>
        <v>34.269657711868597</v>
      </c>
      <c r="AJ21" s="55">
        <f>(Data[[#This Row],[Gluconeogensis (%)]]/100)*Data[[#This Row],[Glucose (umol/L)]]</f>
        <v>1.8354828670476819</v>
      </c>
    </row>
    <row r="22" spans="1:37" s="23" customFormat="1" x14ac:dyDescent="0.25">
      <c r="A22" s="23">
        <v>21</v>
      </c>
      <c r="B22" s="23" t="s">
        <v>52</v>
      </c>
      <c r="C22" s="23" t="s">
        <v>32</v>
      </c>
      <c r="F22" s="23" t="s">
        <v>228</v>
      </c>
      <c r="G22" s="26">
        <v>45.1</v>
      </c>
      <c r="H22" s="23">
        <v>176</v>
      </c>
      <c r="I22" s="23">
        <v>85.05</v>
      </c>
      <c r="J22" s="24">
        <f t="shared" si="0"/>
        <v>27.45674070247934</v>
      </c>
      <c r="K22" s="23">
        <v>100</v>
      </c>
      <c r="L22" s="23">
        <v>96</v>
      </c>
      <c r="M22" s="25">
        <f>Data[[#This Row],[Waist_Circumference]]/Data[[#This Row],[Hip_circumference]]</f>
        <v>1.0416666666666667</v>
      </c>
      <c r="N22" s="26">
        <f>'[1]Anthro data'!$V$27</f>
        <v>25955</v>
      </c>
      <c r="O22" s="26">
        <f>'[1]Anthro data'!$V$28</f>
        <v>56851</v>
      </c>
      <c r="P22" s="26">
        <f t="shared" si="1"/>
        <v>82806</v>
      </c>
      <c r="Q22" s="25">
        <f>(Data[[#This Row],[Total_fat_g]]/Data[[#This Row],[Total_mass_g]])*100</f>
        <v>31.344347027993141</v>
      </c>
      <c r="R22" s="25">
        <f>(Data[[#This Row],[Lean_mass_g]]/Data[[#This Row],[Total_mass_g]])*100</f>
        <v>68.655652972006862</v>
      </c>
      <c r="S22" s="25">
        <v>1976</v>
      </c>
      <c r="T22" s="25">
        <v>3.5489886670000002</v>
      </c>
      <c r="U22" s="25">
        <f>[1]Glucose!$V$3</f>
        <v>5.3120000000000003</v>
      </c>
      <c r="V22" s="25">
        <f>'[1]Insulin+HOMA'!$V$3</f>
        <v>5.1754999999999995</v>
      </c>
      <c r="W22" s="25">
        <f>(Data[[#This Row],[Glucose (umol/L)]]*Data[[#This Row],[Insulin (umol/L)]])/22.5</f>
        <v>1.2218780444444444</v>
      </c>
      <c r="X22" s="25">
        <f>[1]NEFA!$V$3</f>
        <v>533.4</v>
      </c>
      <c r="Y22" s="25">
        <f>[1]TAG!$V$3</f>
        <v>881.80000000000007</v>
      </c>
      <c r="Z22" s="25">
        <f>'[1]3-OHB'!$V$3</f>
        <v>78.5</v>
      </c>
      <c r="AA22" s="25">
        <f>'[24]Basal ApoB,Chol,HDL,ALT'!$F$2</f>
        <v>5.4</v>
      </c>
      <c r="AB22" s="25">
        <f>'[24]Basal ApoB,Chol,HDL,ALT'!$J$2</f>
        <v>1.55</v>
      </c>
      <c r="AC22" s="25">
        <f>Data[[#This Row],[total_chol (umol/L)]]-Data[[#This Row],[HDL_chol (umol/L)]]</f>
        <v>3.8500000000000005</v>
      </c>
      <c r="AD22" s="25">
        <f>Data[[#This Row],[Non_HDL (umol/L)]]-(Data[[#This Row],[TAG (umol/L)]]/2200)</f>
        <v>3.4491818181818186</v>
      </c>
      <c r="AE22" s="25">
        <v>447.94201875000005</v>
      </c>
      <c r="AF22" s="49">
        <f>[3]PW21!$B$3</f>
        <v>3.1911728267612688E-3</v>
      </c>
      <c r="AG22" s="25">
        <f>[1]DNL_160!$V$5</f>
        <v>3.0114456535073444</v>
      </c>
      <c r="AH22" s="23">
        <f>(Data[[#This Row],[DNL (%)]]/100)*Data[[#This Row],[VLDL (umol/L)]]</f>
        <v>13.489530453879931</v>
      </c>
      <c r="AI22" s="25">
        <f>[4]SAMPLES!$L$43</f>
        <v>25.462464244794482</v>
      </c>
      <c r="AJ22" s="55">
        <f>(Data[[#This Row],[Gluconeogensis (%)]]/100)*Data[[#This Row],[Glucose (umol/L)]]</f>
        <v>1.3525661006834828</v>
      </c>
    </row>
    <row r="23" spans="1:37" s="23" customFormat="1" x14ac:dyDescent="0.25">
      <c r="A23" s="23">
        <v>22</v>
      </c>
      <c r="B23" s="23" t="s">
        <v>53</v>
      </c>
      <c r="C23" s="23" t="s">
        <v>32</v>
      </c>
      <c r="F23" s="23" t="s">
        <v>228</v>
      </c>
      <c r="G23" s="26">
        <v>47.2</v>
      </c>
      <c r="H23" s="23">
        <v>171</v>
      </c>
      <c r="I23" s="23">
        <v>86.6</v>
      </c>
      <c r="J23" s="24">
        <f t="shared" si="0"/>
        <v>29.615950206901271</v>
      </c>
      <c r="K23" s="23">
        <v>103</v>
      </c>
      <c r="L23" s="23">
        <v>103</v>
      </c>
      <c r="M23" s="25">
        <f>Data[[#This Row],[Waist_Circumference]]/Data[[#This Row],[Hip_circumference]]</f>
        <v>1</v>
      </c>
      <c r="N23" s="26">
        <f>'[1]Anthro data'!$W$27</f>
        <v>27035</v>
      </c>
      <c r="O23" s="26">
        <f>'[1]Anthro data'!$W$28</f>
        <v>58103</v>
      </c>
      <c r="P23" s="26">
        <f t="shared" si="1"/>
        <v>85138</v>
      </c>
      <c r="Q23" s="25">
        <f>(Data[[#This Row],[Total_fat_g]]/Data[[#This Row],[Total_mass_g]])*100</f>
        <v>31.754328267048791</v>
      </c>
      <c r="R23" s="25">
        <f>(Data[[#This Row],[Lean_mass_g]]/Data[[#This Row],[Total_mass_g]])*100</f>
        <v>68.245671732951209</v>
      </c>
      <c r="S23" s="25">
        <v>2278</v>
      </c>
      <c r="T23" s="25">
        <v>5.6850239179999997</v>
      </c>
      <c r="U23" s="25">
        <f>[1]Glucose!$W$3</f>
        <v>5.8479999999999999</v>
      </c>
      <c r="V23" s="25">
        <f>'[1]Insulin+HOMA'!$W$3</f>
        <v>13.4025</v>
      </c>
      <c r="W23" s="25">
        <f>(Data[[#This Row],[Glucose (umol/L)]]*Data[[#This Row],[Insulin (umol/L)]])/22.5</f>
        <v>3.4834586666666665</v>
      </c>
      <c r="X23" s="25">
        <f>[1]NEFA!$W$3</f>
        <v>354.7</v>
      </c>
      <c r="Y23" s="25">
        <f>[1]TAG!$W$3</f>
        <v>2391</v>
      </c>
      <c r="Z23" s="25">
        <f>'[1]3-OHB'!$W$3</f>
        <v>56.8</v>
      </c>
      <c r="AA23" s="25">
        <f>'[25]Basal ApoB,Chol,HDL,ALT'!$F$2</f>
        <v>4.55</v>
      </c>
      <c r="AB23" s="25">
        <f>'[25]Basal ApoB,Chol,HDL,ALT'!$J$2</f>
        <v>1</v>
      </c>
      <c r="AC23" s="25">
        <f>Data[[#This Row],[total_chol (umol/L)]]-Data[[#This Row],[HDL_chol (umol/L)]]</f>
        <v>3.55</v>
      </c>
      <c r="AD23" s="25">
        <f>Data[[#This Row],[Non_HDL (umol/L)]]-(Data[[#This Row],[TAG (umol/L)]]/2200)</f>
        <v>2.4631818181818179</v>
      </c>
      <c r="AE23" s="25">
        <v>1282.13868</v>
      </c>
      <c r="AF23" s="49">
        <f>[3]GJ23!$B$3</f>
        <v>3.3822381724105807E-3</v>
      </c>
      <c r="AG23" s="25">
        <f>[1]DNL_160!$W$5</f>
        <v>11.229721680287232</v>
      </c>
      <c r="AH23" s="23">
        <f>(Data[[#This Row],[DNL (%)]]/100)*Data[[#This Row],[VLDL (umol/L)]]</f>
        <v>143.98060531930855</v>
      </c>
      <c r="AI23" s="25">
        <f>[4]SAMPLES!$L$44</f>
        <v>13.927896702918819</v>
      </c>
      <c r="AJ23" s="55">
        <f>(Data[[#This Row],[Gluconeogensis (%)]]/100)*Data[[#This Row],[Glucose (umol/L)]]</f>
        <v>0.81450339918669246</v>
      </c>
    </row>
    <row r="24" spans="1:37" s="23" customFormat="1" x14ac:dyDescent="0.25">
      <c r="A24" s="23">
        <v>23</v>
      </c>
      <c r="B24" s="23" t="s">
        <v>54</v>
      </c>
      <c r="C24" s="23" t="s">
        <v>32</v>
      </c>
      <c r="F24" s="23" t="s">
        <v>227</v>
      </c>
      <c r="G24" s="26">
        <v>53.5</v>
      </c>
      <c r="H24" s="23">
        <v>168</v>
      </c>
      <c r="I24" s="23">
        <v>68</v>
      </c>
      <c r="J24" s="24">
        <f t="shared" si="0"/>
        <v>24.092970521541954</v>
      </c>
      <c r="K24" s="23">
        <v>86</v>
      </c>
      <c r="L24" s="23">
        <v>101</v>
      </c>
      <c r="M24" s="25">
        <f>Data[[#This Row],[Waist_Circumference]]/Data[[#This Row],[Hip_circumference]]</f>
        <v>0.85148514851485146</v>
      </c>
      <c r="N24" s="26">
        <f>'[1]Anthro data'!$X$27</f>
        <v>27832</v>
      </c>
      <c r="O24" s="26">
        <f>'[1]Anthro data'!$X$28</f>
        <v>37776</v>
      </c>
      <c r="P24" s="26">
        <f t="shared" si="1"/>
        <v>65608</v>
      </c>
      <c r="Q24" s="25">
        <f>(Data[[#This Row],[Total_fat_g]]/Data[[#This Row],[Total_mass_g]])*100</f>
        <v>42.421655895622486</v>
      </c>
      <c r="R24" s="25">
        <f>(Data[[#This Row],[Lean_mass_g]]/Data[[#This Row],[Total_mass_g]])*100</f>
        <v>57.578344104377507</v>
      </c>
      <c r="S24" s="25">
        <v>709</v>
      </c>
      <c r="T24" s="25">
        <v>1</v>
      </c>
      <c r="U24" s="25">
        <f>[1]Glucose!$X$3</f>
        <v>4.5970000000000004</v>
      </c>
      <c r="V24" s="25">
        <f>'[1]Insulin+HOMA'!$X$3</f>
        <v>8.6880000000000006</v>
      </c>
      <c r="W24" s="25">
        <f>(Data[[#This Row],[Glucose (umol/L)]]*Data[[#This Row],[Insulin (umol/L)]])/22.5</f>
        <v>1.7750549333333336</v>
      </c>
      <c r="X24" s="25">
        <f>[1]NEFA!$X$3</f>
        <v>532.5</v>
      </c>
      <c r="Y24" s="25">
        <f>[1]TAG!$X$3</f>
        <v>1048.2</v>
      </c>
      <c r="Z24" s="25">
        <f>'[1]3-OHB'!$X$3</f>
        <v>128.9</v>
      </c>
      <c r="AA24" s="25">
        <f>'[26]Basal ApoB,Chol,HDL,ALT'!$F$2</f>
        <v>5.46</v>
      </c>
      <c r="AB24" s="25">
        <f>'[26]Basal ApoB,Chol,HDL,ALT'!$J$2</f>
        <v>1.57</v>
      </c>
      <c r="AC24" s="25">
        <f>Data[[#This Row],[total_chol (umol/L)]]-Data[[#This Row],[HDL_chol (umol/L)]]</f>
        <v>3.8899999999999997</v>
      </c>
      <c r="AD24" s="25">
        <f>Data[[#This Row],[Non_HDL (umol/L)]]-(Data[[#This Row],[TAG (umol/L)]]/2200)</f>
        <v>3.4135454545454542</v>
      </c>
      <c r="AE24" s="25">
        <v>764.0558625000001</v>
      </c>
      <c r="AF24" s="49">
        <f>[3]TA24!$B$3</f>
        <v>4.1042070851027594E-3</v>
      </c>
      <c r="AG24" s="25">
        <f>[1]DNL_160!$X$5</f>
        <v>5.1042978855916044</v>
      </c>
      <c r="AH24" s="23">
        <f>(Data[[#This Row],[DNL (%)]]/100)*Data[[#This Row],[VLDL (umol/L)]]</f>
        <v>38.999687234326203</v>
      </c>
      <c r="AI24" s="25">
        <f>[4]SAMPLES!$L$45</f>
        <v>50.762733581584683</v>
      </c>
      <c r="AJ24" s="55">
        <f>(Data[[#This Row],[Gluconeogensis (%)]]/100)*Data[[#This Row],[Glucose (umol/L)]]</f>
        <v>2.3335628627454481</v>
      </c>
    </row>
    <row r="25" spans="1:37" s="15" customFormat="1" x14ac:dyDescent="0.25">
      <c r="A25" s="15">
        <v>24</v>
      </c>
      <c r="B25" s="15" t="s">
        <v>55</v>
      </c>
      <c r="C25" s="15" t="s">
        <v>56</v>
      </c>
      <c r="D25" s="15" t="s">
        <v>386</v>
      </c>
      <c r="F25" s="15" t="s">
        <v>228</v>
      </c>
      <c r="G25" s="15">
        <v>50</v>
      </c>
      <c r="H25" s="15">
        <v>172</v>
      </c>
      <c r="I25" s="15">
        <v>87.6</v>
      </c>
      <c r="J25" s="16">
        <f t="shared" si="0"/>
        <v>29.610600324499732</v>
      </c>
      <c r="K25" s="15">
        <v>99</v>
      </c>
      <c r="L25" s="15">
        <v>103</v>
      </c>
      <c r="M25" s="17">
        <f>Data[[#This Row],[Waist_Circumference]]/Data[[#This Row],[Hip_circumference]]</f>
        <v>0.96116504854368934</v>
      </c>
      <c r="N25" s="18">
        <f>'[1]Anthro data'!$Y$27</f>
        <v>27801</v>
      </c>
      <c r="O25" s="18">
        <f>'[1]Anthro data'!$Y$28</f>
        <v>57821</v>
      </c>
      <c r="P25" s="18">
        <f t="shared" si="1"/>
        <v>85622</v>
      </c>
      <c r="Q25" s="17">
        <f>(Data[[#This Row],[Total_fat_g]]/Data[[#This Row],[Total_mass_g]])*100</f>
        <v>32.469458783957393</v>
      </c>
      <c r="R25" s="17">
        <f>(Data[[#This Row],[Lean_mass_g]]/Data[[#This Row],[Total_mass_g]])*100</f>
        <v>67.530541216042607</v>
      </c>
      <c r="S25" s="17">
        <v>1865</v>
      </c>
      <c r="T25" s="17">
        <v>8</v>
      </c>
      <c r="U25" s="17">
        <f>[1]Glucose!$Y$3</f>
        <v>4.9690000000000003</v>
      </c>
      <c r="V25" s="17">
        <f>'[1]Insulin+HOMA'!$Y$3</f>
        <v>9.68</v>
      </c>
      <c r="W25" s="17">
        <f>(Data[[#This Row],[Glucose (umol/L)]]*Data[[#This Row],[Insulin (umol/L)]])/22.5</f>
        <v>2.1377742222222222</v>
      </c>
      <c r="X25" s="17">
        <f>[1]NEFA!$Y$3</f>
        <v>259.7</v>
      </c>
      <c r="Y25" s="17">
        <f>[1]TAG!$Y$3</f>
        <v>2337.4</v>
      </c>
      <c r="Z25" s="17">
        <f>'[1]3-OHB'!$Y$3</f>
        <v>36.200000000000003</v>
      </c>
      <c r="AA25" s="17">
        <f>'[27]Apo B, HDL, Cholesterol, ALT'!$F$4</f>
        <v>5.2</v>
      </c>
      <c r="AB25" s="17">
        <f>'[27]Apo B, HDL, Cholesterol, ALT'!$M$4</f>
        <v>0.87</v>
      </c>
      <c r="AC25" s="17">
        <f>Data[[#This Row],[total_chol (umol/L)]]-Data[[#This Row],[HDL_chol (umol/L)]]</f>
        <v>4.33</v>
      </c>
      <c r="AD25" s="17">
        <f>Data[[#This Row],[Non_HDL (umol/L)]]-(Data[[#This Row],[TAG (umol/L)]]/2200)</f>
        <v>3.2675454545454548</v>
      </c>
      <c r="AE25" s="17">
        <v>1313.2417649999998</v>
      </c>
      <c r="AF25" s="50">
        <f>'[28]plasma H2O'!$B$4</f>
        <v>3.1375758138001883E-3</v>
      </c>
      <c r="AG25" s="17">
        <f>[1]DNL_160!$Y$5</f>
        <v>10.624493449667041</v>
      </c>
      <c r="AH25" s="23">
        <f>(Data[[#This Row],[DNL (%)]]/100)*Data[[#This Row],[VLDL (umol/L)]]</f>
        <v>139.5252853007168</v>
      </c>
      <c r="AI25" s="17"/>
      <c r="AJ25" s="56"/>
      <c r="AK25" s="15" t="s">
        <v>412</v>
      </c>
    </row>
    <row r="26" spans="1:37" s="15" customFormat="1" x14ac:dyDescent="0.25">
      <c r="A26" s="15">
        <v>25</v>
      </c>
      <c r="B26" s="15" t="s">
        <v>57</v>
      </c>
      <c r="C26" s="15" t="s">
        <v>58</v>
      </c>
      <c r="D26" s="15" t="s">
        <v>386</v>
      </c>
      <c r="F26" s="15" t="s">
        <v>228</v>
      </c>
      <c r="G26" s="15">
        <v>45</v>
      </c>
      <c r="H26" s="15">
        <v>173</v>
      </c>
      <c r="I26" s="15">
        <v>91</v>
      </c>
      <c r="J26" s="16">
        <f t="shared" si="0"/>
        <v>30.405292525644022</v>
      </c>
      <c r="K26" s="15">
        <v>99</v>
      </c>
      <c r="L26" s="15">
        <v>105</v>
      </c>
      <c r="M26" s="17">
        <f>Data[[#This Row],[Waist_Circumference]]/Data[[#This Row],[Hip_circumference]]</f>
        <v>0.94285714285714284</v>
      </c>
      <c r="N26" s="18">
        <f>'[1]Anthro data'!$Z$27</f>
        <v>22436</v>
      </c>
      <c r="O26" s="18">
        <f>'[1]Anthro data'!$Z$28</f>
        <v>64783</v>
      </c>
      <c r="P26" s="18">
        <f t="shared" si="1"/>
        <v>87219</v>
      </c>
      <c r="Q26" s="17">
        <f>(Data[[#This Row],[Total_fat_g]]/Data[[#This Row],[Total_mass_g]])*100</f>
        <v>25.72375285201619</v>
      </c>
      <c r="R26" s="17">
        <f>(Data[[#This Row],[Lean_mass_g]]/Data[[#This Row],[Total_mass_g]])*100</f>
        <v>74.27624714798381</v>
      </c>
      <c r="S26" s="17">
        <v>918</v>
      </c>
      <c r="T26" s="17">
        <v>1.9</v>
      </c>
      <c r="U26" s="17">
        <f>[1]Glucose!$Z$3</f>
        <v>5.2539999999999996</v>
      </c>
      <c r="V26" s="17">
        <f>'[1]Insulin+HOMA'!$Z$3</f>
        <v>13.090499999999999</v>
      </c>
      <c r="W26" s="17">
        <f>(Data[[#This Row],[Glucose (umol/L)]]*Data[[#This Row],[Insulin (umol/L)]])/22.5</f>
        <v>3.0567771999999995</v>
      </c>
      <c r="X26" s="17">
        <f>[1]NEFA!$Z$3</f>
        <v>314.5</v>
      </c>
      <c r="Y26" s="17">
        <f>[1]TAG!$Z$3</f>
        <v>1579.5</v>
      </c>
      <c r="Z26" s="17">
        <f>'[1]3-OHB'!$Z$3</f>
        <v>30.9</v>
      </c>
      <c r="AA26" s="17">
        <f>'[29]Apo B, HDL, Cholesterol, ALT'!$F$4</f>
        <v>6.48</v>
      </c>
      <c r="AB26" s="17">
        <f>'[29]Apo B, HDL, Cholesterol, ALT'!$M$4</f>
        <v>1.54</v>
      </c>
      <c r="AC26" s="17">
        <f>Data[[#This Row],[total_chol (umol/L)]]-Data[[#This Row],[HDL_chol (umol/L)]]</f>
        <v>4.9400000000000004</v>
      </c>
      <c r="AD26" s="17">
        <f>Data[[#This Row],[Non_HDL (umol/L)]]-(Data[[#This Row],[TAG (umol/L)]]/2200)</f>
        <v>4.2220454545454551</v>
      </c>
      <c r="AE26" s="17">
        <v>1143.3540937500002</v>
      </c>
      <c r="AF26" s="50">
        <f>'[28]plasma H2O'!$D$4</f>
        <v>2.9475372060982158E-3</v>
      </c>
      <c r="AG26" s="17">
        <f>[1]DNL_160!$Z$5</f>
        <v>29.431633750926345</v>
      </c>
      <c r="AH26" s="23">
        <f>(Data[[#This Row],[DNL (%)]]/100)*Data[[#This Row],[VLDL (umol/L)]]</f>
        <v>336.50778934872307</v>
      </c>
      <c r="AI26" s="17">
        <f>[4]SAMPLES!$L$270</f>
        <v>20.25070731606122</v>
      </c>
      <c r="AJ26" s="56">
        <f>(Data[[#This Row],[Gluconeogensis (%)]]/100)*Data[[#This Row],[Glucose (umol/L)]]</f>
        <v>1.0639721623858565</v>
      </c>
    </row>
    <row r="27" spans="1:37" s="15" customFormat="1" x14ac:dyDescent="0.25">
      <c r="A27" s="15">
        <v>26</v>
      </c>
      <c r="B27" s="15" t="s">
        <v>59</v>
      </c>
      <c r="C27" s="15" t="s">
        <v>60</v>
      </c>
      <c r="D27" s="15" t="s">
        <v>386</v>
      </c>
      <c r="F27" s="15" t="s">
        <v>228</v>
      </c>
      <c r="G27" s="15">
        <v>37</v>
      </c>
      <c r="H27" s="15">
        <v>177</v>
      </c>
      <c r="I27" s="15">
        <v>90.6</v>
      </c>
      <c r="J27" s="16">
        <f t="shared" si="0"/>
        <v>28.918893038398924</v>
      </c>
      <c r="K27" s="15">
        <v>96</v>
      </c>
      <c r="L27" s="15">
        <v>104</v>
      </c>
      <c r="M27" s="17">
        <f>Data[[#This Row],[Waist_Circumference]]/Data[[#This Row],[Hip_circumference]]</f>
        <v>0.92307692307692313</v>
      </c>
      <c r="N27" s="18">
        <f>'[1]Anthro data'!$AA$27</f>
        <v>25557</v>
      </c>
      <c r="O27" s="18">
        <f>'[1]Anthro data'!$AA$28</f>
        <v>60377</v>
      </c>
      <c r="P27" s="18">
        <f t="shared" si="1"/>
        <v>85934</v>
      </c>
      <c r="Q27" s="17">
        <f>(Data[[#This Row],[Total_fat_g]]/Data[[#This Row],[Total_mass_g]])*100</f>
        <v>29.74026578537017</v>
      </c>
      <c r="R27" s="17">
        <f>(Data[[#This Row],[Lean_mass_g]]/Data[[#This Row],[Total_mass_g]])*100</f>
        <v>70.25973421462983</v>
      </c>
      <c r="S27" s="17">
        <v>1689</v>
      </c>
      <c r="T27" s="17">
        <v>17.399999999999999</v>
      </c>
      <c r="U27" s="17">
        <f>[1]Glucose!$AA$3</f>
        <v>5.4779999999999998</v>
      </c>
      <c r="V27" s="17">
        <f>'[1]Insulin+HOMA'!$AA$3</f>
        <v>19.772500000000001</v>
      </c>
      <c r="W27" s="17">
        <f>(Data[[#This Row],[Glucose (umol/L)]]*Data[[#This Row],[Insulin (umol/L)]])/22.5</f>
        <v>4.813944666666667</v>
      </c>
      <c r="X27" s="17">
        <f>[1]NEFA!$AA$3</f>
        <v>377.2</v>
      </c>
      <c r="Y27" s="17">
        <f>[1]TAG!$AA$3</f>
        <v>1815.1000000000001</v>
      </c>
      <c r="Z27" s="17">
        <f>'[1]3-OHB'!$AA$3</f>
        <v>34.799999999999997</v>
      </c>
      <c r="AA27" s="17">
        <f>'[30]Apo B, HDL, Cholesterol, ALT'!$F$6</f>
        <v>5.89</v>
      </c>
      <c r="AB27" s="17">
        <f>'[30]Apo B, HDL, Cholesterol, ALT'!$M$6</f>
        <v>1.31</v>
      </c>
      <c r="AC27" s="17">
        <f>Data[[#This Row],[total_chol (umol/L)]]-Data[[#This Row],[HDL_chol (umol/L)]]</f>
        <v>4.58</v>
      </c>
      <c r="AD27" s="17">
        <f>Data[[#This Row],[Non_HDL (umol/L)]]-(Data[[#This Row],[TAG (umol/L)]]/2200)</f>
        <v>3.7549545454545452</v>
      </c>
      <c r="AE27" s="17">
        <v>1005.6066075</v>
      </c>
      <c r="AF27" s="50">
        <f>'[28]plasma H2O'!$E$4</f>
        <v>2.4605799535627158E-3</v>
      </c>
      <c r="AG27" s="17">
        <f>[1]DNL_160!$AA$5</f>
        <v>3.8404232782665657</v>
      </c>
      <c r="AH27" s="23">
        <f>(Data[[#This Row],[DNL (%)]]/100)*Data[[#This Row],[VLDL (umol/L)]]</f>
        <v>38.619550242216697</v>
      </c>
      <c r="AI27" s="64">
        <f>[4]SAMPLES!$L$271</f>
        <v>45.720575388202725</v>
      </c>
      <c r="AJ27" s="56">
        <f>(Data[[#This Row],[Gluconeogensis (%)]]/100)*Data[[#This Row],[Glucose (umol/L)]]</f>
        <v>2.5045731197657455</v>
      </c>
    </row>
    <row r="28" spans="1:37" s="15" customFormat="1" x14ac:dyDescent="0.25">
      <c r="A28" s="15">
        <v>27</v>
      </c>
      <c r="B28" s="15" t="s">
        <v>61</v>
      </c>
      <c r="C28" s="15" t="s">
        <v>62</v>
      </c>
      <c r="D28" s="15" t="s">
        <v>386</v>
      </c>
      <c r="F28" s="15" t="s">
        <v>228</v>
      </c>
      <c r="G28" s="15">
        <v>48</v>
      </c>
      <c r="H28" s="15">
        <v>180</v>
      </c>
      <c r="I28" s="15">
        <v>90.1</v>
      </c>
      <c r="J28" s="16">
        <f t="shared" si="0"/>
        <v>27.808641975308639</v>
      </c>
      <c r="K28" s="15">
        <v>101</v>
      </c>
      <c r="L28" s="15">
        <v>102</v>
      </c>
      <c r="M28" s="17">
        <f>Data[[#This Row],[Waist_Circumference]]/Data[[#This Row],[Hip_circumference]]</f>
        <v>0.99019607843137258</v>
      </c>
      <c r="N28" s="18">
        <f>'[1]Anthro data'!$AB$27</f>
        <v>24516</v>
      </c>
      <c r="O28" s="18">
        <f>'[1]Anthro data'!$AB$28</f>
        <v>61778</v>
      </c>
      <c r="P28" s="18">
        <f t="shared" si="1"/>
        <v>86294</v>
      </c>
      <c r="Q28" s="17">
        <f>(Data[[#This Row],[Total_fat_g]]/Data[[#This Row],[Total_mass_g]])*100</f>
        <v>28.409854682828474</v>
      </c>
      <c r="R28" s="17">
        <f>(Data[[#This Row],[Lean_mass_g]]/Data[[#This Row],[Total_mass_g]])*100</f>
        <v>71.590145317171533</v>
      </c>
      <c r="S28" s="17">
        <v>1660</v>
      </c>
      <c r="T28" s="17">
        <v>1.7</v>
      </c>
      <c r="U28" s="17">
        <f>[1]Glucose!$AB$3</f>
        <v>5.1020000000000003</v>
      </c>
      <c r="V28" s="17">
        <f>'[1]Insulin+HOMA'!$AB$3</f>
        <v>9.2370000000000001</v>
      </c>
      <c r="W28" s="17">
        <f>(Data[[#This Row],[Glucose (umol/L)]]*Data[[#This Row],[Insulin (umol/L)]])/22.5</f>
        <v>2.0945410666666668</v>
      </c>
      <c r="X28" s="17">
        <f>[1]NEFA!$AB$3</f>
        <v>164.6</v>
      </c>
      <c r="Y28" s="17">
        <f>[1]TAG!$AB$3</f>
        <v>1926.3</v>
      </c>
      <c r="Z28" s="17">
        <f>'[1]3-OHB'!$AB$3</f>
        <v>26.3</v>
      </c>
      <c r="AA28" s="17">
        <f>'[31]Apo B, HDL, Cholesterol, ALT'!$F$6</f>
        <v>4.2300000000000004</v>
      </c>
      <c r="AB28" s="17">
        <f>'[31]Apo B, HDL, Cholesterol, ALT'!$M$6</f>
        <v>0.86</v>
      </c>
      <c r="AC28" s="17">
        <f>Data[[#This Row],[total_chol (umol/L)]]-Data[[#This Row],[HDL_chol (umol/L)]]</f>
        <v>3.3700000000000006</v>
      </c>
      <c r="AD28" s="17">
        <f>Data[[#This Row],[Non_HDL (umol/L)]]-(Data[[#This Row],[TAG (umol/L)]]/2200)</f>
        <v>2.4944090909090915</v>
      </c>
      <c r="AE28" s="17">
        <v>1326.9229012499995</v>
      </c>
      <c r="AF28" s="50">
        <f>'[28]plasma H2O'!$F$4</f>
        <v>2.9643782090723117E-3</v>
      </c>
      <c r="AG28" s="17">
        <f>[1]DNL_160!$AB$5</f>
        <v>10.048563820347105</v>
      </c>
      <c r="AH28" s="23">
        <f>(Data[[#This Row],[DNL (%)]]/100)*Data[[#This Row],[VLDL (umol/L)]]</f>
        <v>133.33669457890761</v>
      </c>
      <c r="AI28" s="17">
        <f>[4]SAMPLES!$L$46</f>
        <v>27.059676430844554</v>
      </c>
      <c r="AJ28" s="56">
        <f>(Data[[#This Row],[Gluconeogensis (%)]]/100)*Data[[#This Row],[Glucose (umol/L)]]</f>
        <v>1.3805846915016893</v>
      </c>
    </row>
    <row r="29" spans="1:37" s="15" customFormat="1" x14ac:dyDescent="0.25">
      <c r="A29" s="15">
        <v>28</v>
      </c>
      <c r="B29" s="15" t="s">
        <v>63</v>
      </c>
      <c r="C29" s="15" t="s">
        <v>64</v>
      </c>
      <c r="D29" s="15" t="s">
        <v>386</v>
      </c>
      <c r="F29" s="15" t="s">
        <v>228</v>
      </c>
      <c r="G29" s="15">
        <v>44</v>
      </c>
      <c r="H29" s="15">
        <v>180</v>
      </c>
      <c r="I29" s="15">
        <v>73.900000000000006</v>
      </c>
      <c r="J29" s="16">
        <f t="shared" si="0"/>
        <v>22.808641975308642</v>
      </c>
      <c r="K29" s="15">
        <v>86</v>
      </c>
      <c r="L29" s="15">
        <v>93</v>
      </c>
      <c r="M29" s="17">
        <f>Data[[#This Row],[Waist_Circumference]]/Data[[#This Row],[Hip_circumference]]</f>
        <v>0.92473118279569888</v>
      </c>
      <c r="N29" s="18">
        <f>'[1]Anthro data'!$AC$27</f>
        <v>19394.161588927</v>
      </c>
      <c r="O29" s="18">
        <f>'[1]Anthro data'!$AC$28</f>
        <v>52379.039246018998</v>
      </c>
      <c r="P29" s="18">
        <f t="shared" si="1"/>
        <v>71773.200834945994</v>
      </c>
      <c r="Q29" s="17">
        <f>(Data[[#This Row],[Total_fat_g]]/Data[[#This Row],[Total_mass_g]])*100</f>
        <v>27.021452803152794</v>
      </c>
      <c r="R29" s="17">
        <f>(Data[[#This Row],[Lean_mass_g]]/Data[[#This Row],[Total_mass_g]])*100</f>
        <v>72.978547196847217</v>
      </c>
      <c r="S29" s="17">
        <v>1102.645301</v>
      </c>
      <c r="T29" s="17">
        <v>1.7</v>
      </c>
      <c r="U29" s="17">
        <f>[1]Glucose!$AC$3</f>
        <v>4.8650000000000002</v>
      </c>
      <c r="V29" s="17">
        <f>'[1]Insulin+HOMA'!$AC$3</f>
        <v>11.297499999999999</v>
      </c>
      <c r="W29" s="17">
        <f>(Data[[#This Row],[Glucose (umol/L)]]*Data[[#This Row],[Insulin (umol/L)]])/22.5</f>
        <v>2.4427705555555552</v>
      </c>
      <c r="X29" s="17">
        <f>[1]NEFA!$AC$3</f>
        <v>364.7</v>
      </c>
      <c r="Y29" s="17">
        <f>[1]TAG!$AC$3</f>
        <v>2204</v>
      </c>
      <c r="Z29" s="17">
        <f>'[1]3-OHB'!$AC$3</f>
        <v>38.9</v>
      </c>
      <c r="AA29" s="17">
        <f>'[32]Apo B, HDL, Cholesterol, ALT'!$F$6</f>
        <v>5.03</v>
      </c>
      <c r="AB29" s="17">
        <f>'[32]Apo B, HDL, Cholesterol, ALT'!$M$6</f>
        <v>1.02</v>
      </c>
      <c r="AC29" s="17">
        <f>Data[[#This Row],[total_chol (umol/L)]]-Data[[#This Row],[HDL_chol (umol/L)]]</f>
        <v>4.01</v>
      </c>
      <c r="AD29" s="17">
        <f>Data[[#This Row],[Non_HDL (umol/L)]]-(Data[[#This Row],[TAG (umol/L)]]/2200)</f>
        <v>3.0081818181818178</v>
      </c>
      <c r="AE29" s="17">
        <v>1457.9</v>
      </c>
      <c r="AF29" s="50">
        <f>'[28]plasma H2O'!$G$4</f>
        <v>3.5153016715580134E-3</v>
      </c>
      <c r="AG29" s="17">
        <f>[1]DNL_160!$AC$5</f>
        <v>5.8665133351554672</v>
      </c>
      <c r="AH29" s="23">
        <f>(Data[[#This Row],[DNL (%)]]/100)*Data[[#This Row],[VLDL (umol/L)]]</f>
        <v>85.52789791323157</v>
      </c>
      <c r="AI29" s="17">
        <f>[4]SAMPLES!$L$47</f>
        <v>24.736674126970019</v>
      </c>
      <c r="AJ29" s="56">
        <f>(Data[[#This Row],[Gluconeogensis (%)]]/100)*Data[[#This Row],[Glucose (umol/L)]]</f>
        <v>1.2034391962770914</v>
      </c>
    </row>
    <row r="30" spans="1:37" s="15" customFormat="1" x14ac:dyDescent="0.25">
      <c r="A30" s="15">
        <v>29</v>
      </c>
      <c r="B30" s="15" t="s">
        <v>65</v>
      </c>
      <c r="C30" s="15" t="s">
        <v>66</v>
      </c>
      <c r="D30" s="15" t="s">
        <v>386</v>
      </c>
      <c r="F30" s="15" t="s">
        <v>228</v>
      </c>
      <c r="G30" s="15">
        <v>46</v>
      </c>
      <c r="H30" s="15">
        <v>168</v>
      </c>
      <c r="I30" s="15">
        <v>70.099999999999994</v>
      </c>
      <c r="J30" s="16">
        <f t="shared" si="0"/>
        <v>24.837018140589571</v>
      </c>
      <c r="K30" s="15">
        <v>90</v>
      </c>
      <c r="L30" s="15">
        <v>94</v>
      </c>
      <c r="M30" s="17">
        <f>Data[[#This Row],[Waist_Circumference]]/Data[[#This Row],[Hip_circumference]]</f>
        <v>0.95744680851063835</v>
      </c>
      <c r="N30" s="18">
        <f>'[1]Anthro data'!$AD$27</f>
        <v>24484.762136366</v>
      </c>
      <c r="O30" s="18">
        <f>'[1]Anthro data'!$AD$28</f>
        <v>61809.836806601998</v>
      </c>
      <c r="P30" s="18">
        <f t="shared" si="1"/>
        <v>86294.598942968005</v>
      </c>
      <c r="Q30" s="17">
        <f>(Data[[#This Row],[Total_fat_g]]/Data[[#This Row],[Total_mass_g]])*100</f>
        <v>28.37345840444539</v>
      </c>
      <c r="R30" s="17">
        <f>(Data[[#This Row],[Lean_mass_g]]/Data[[#This Row],[Total_mass_g]])*100</f>
        <v>71.626541595554599</v>
      </c>
      <c r="S30" s="17">
        <v>1659.5043760000001</v>
      </c>
      <c r="T30" s="17">
        <v>1.9</v>
      </c>
      <c r="U30" s="17">
        <f>[1]Glucose!$AD$3</f>
        <v>6.4039999999999999</v>
      </c>
      <c r="V30" s="17">
        <f>'[1]Insulin+HOMA'!$AD$3</f>
        <v>14.762499999999999</v>
      </c>
      <c r="W30" s="17">
        <f>(Data[[#This Row],[Glucose (umol/L)]]*Data[[#This Row],[Insulin (umol/L)]])/22.5</f>
        <v>4.2017355555555547</v>
      </c>
      <c r="X30" s="17">
        <f>[1]NEFA!$AD$3</f>
        <v>421.5</v>
      </c>
      <c r="Y30" s="17">
        <f>[1]TAG!$AD$3</f>
        <v>2411.1000000000004</v>
      </c>
      <c r="Z30" s="17">
        <f>'[1]3-OHB'!$AD$3</f>
        <v>41.5</v>
      </c>
      <c r="AA30" s="17">
        <f>'[33]Apo B, HDL, Cholesterol, ALT'!$F$6</f>
        <v>7.61</v>
      </c>
      <c r="AB30" s="17">
        <f>'[33]Apo B, HDL, Cholesterol, ALT'!$M$6</f>
        <v>1.18</v>
      </c>
      <c r="AC30" s="17">
        <f>Data[[#This Row],[total_chol (umol/L)]]-Data[[#This Row],[HDL_chol (umol/L)]]</f>
        <v>6.4300000000000006</v>
      </c>
      <c r="AD30" s="17">
        <f>Data[[#This Row],[Non_HDL (umol/L)]]-(Data[[#This Row],[TAG (umol/L)]]/2200)</f>
        <v>5.3340454545454552</v>
      </c>
      <c r="AE30" s="17">
        <v>1606.5116999999996</v>
      </c>
      <c r="AF30" s="50">
        <f>'[28]plasma H2O'!$H$4</f>
        <v>3.032054282562595E-3</v>
      </c>
      <c r="AG30" s="17">
        <f>[1]DNL_160!$AD$5</f>
        <v>13.851241712056389</v>
      </c>
      <c r="AH30" s="23">
        <f>(Data[[#This Row],[DNL (%)]]/100)*Data[[#This Row],[VLDL (umol/L)]]</f>
        <v>222.52181869946614</v>
      </c>
      <c r="AI30" s="17">
        <f>[4]SAMPLES!$L$48</f>
        <v>44.754291431720873</v>
      </c>
      <c r="AJ30" s="56">
        <f>(Data[[#This Row],[Gluconeogensis (%)]]/100)*Data[[#This Row],[Glucose (umol/L)]]</f>
        <v>2.8660648232874046</v>
      </c>
    </row>
    <row r="31" spans="1:37" s="15" customFormat="1" x14ac:dyDescent="0.25">
      <c r="A31" s="15">
        <v>30</v>
      </c>
      <c r="B31" s="15" t="s">
        <v>67</v>
      </c>
      <c r="C31" s="15" t="s">
        <v>68</v>
      </c>
      <c r="D31" s="15" t="s">
        <v>386</v>
      </c>
      <c r="F31" s="15" t="s">
        <v>228</v>
      </c>
      <c r="G31" s="15">
        <v>47</v>
      </c>
      <c r="H31" s="15">
        <v>176</v>
      </c>
      <c r="I31" s="15">
        <v>101</v>
      </c>
      <c r="J31" s="16">
        <f t="shared" si="0"/>
        <v>32.605888429752071</v>
      </c>
      <c r="K31" s="15">
        <v>112</v>
      </c>
      <c r="L31" s="15">
        <v>108</v>
      </c>
      <c r="M31" s="17">
        <f>Data[[#This Row],[Waist_Circumference]]/Data[[#This Row],[Hip_circumference]]</f>
        <v>1.037037037037037</v>
      </c>
      <c r="N31" s="18">
        <f>'[1]Anthro data'!$AE$27</f>
        <v>34523.314217252999</v>
      </c>
      <c r="O31" s="18">
        <f>'[1]Anthro data'!$AE$28</f>
        <v>62520.506490961998</v>
      </c>
      <c r="P31" s="18">
        <f t="shared" si="1"/>
        <v>97043.820708215004</v>
      </c>
      <c r="Q31" s="17">
        <f>(Data[[#This Row],[Total_fat_g]]/Data[[#This Row],[Total_mass_g]])*100</f>
        <v>35.57497423875698</v>
      </c>
      <c r="R31" s="17">
        <f>(Data[[#This Row],[Lean_mass_g]]/Data[[#This Row],[Total_mass_g]])*100</f>
        <v>64.42502576124302</v>
      </c>
      <c r="S31" s="17">
        <v>2531.031755</v>
      </c>
      <c r="T31" s="17">
        <v>4.3</v>
      </c>
      <c r="U31" s="17">
        <f>[1]Glucose!$AE$3</f>
        <v>5.1719999999999997</v>
      </c>
      <c r="V31" s="17">
        <f>'[1]Insulin+HOMA'!$AE$3</f>
        <v>15.257</v>
      </c>
      <c r="W31" s="17">
        <f>(Data[[#This Row],[Glucose (umol/L)]]*Data[[#This Row],[Insulin (umol/L)]])/22.5</f>
        <v>3.5070757333333327</v>
      </c>
      <c r="X31" s="17">
        <f>[1]NEFA!$AE$3</f>
        <v>297.7</v>
      </c>
      <c r="Y31" s="17">
        <f>[1]TAG!$AE$3</f>
        <v>2138.2999999999997</v>
      </c>
      <c r="Z31" s="17">
        <f>'[1]3-OHB'!$AE$3</f>
        <v>46</v>
      </c>
      <c r="AA31" s="17">
        <f>'[34]Apo B, HDL, Cholesterol, ALT'!$F$6</f>
        <v>4.3499999999999996</v>
      </c>
      <c r="AB31" s="17">
        <f>'[34]Apo B, HDL, Cholesterol, ALT'!$M$6</f>
        <v>0.9</v>
      </c>
      <c r="AC31" s="17">
        <f>Data[[#This Row],[total_chol (umol/L)]]-Data[[#This Row],[HDL_chol (umol/L)]]</f>
        <v>3.4499999999999997</v>
      </c>
      <c r="AD31" s="17">
        <f>Data[[#This Row],[Non_HDL (umol/L)]]-(Data[[#This Row],[TAG (umol/L)]]/2200)</f>
        <v>2.4780454545454544</v>
      </c>
      <c r="AE31" s="17">
        <v>1762.3753125000003</v>
      </c>
      <c r="AF31" s="50">
        <f>'[28]plasma H2O'!$I$4</f>
        <v>3.3210374945373262E-3</v>
      </c>
      <c r="AG31" s="17">
        <f>[1]DNL_160!$AE$5</f>
        <v>12.784634185371713</v>
      </c>
      <c r="AH31" s="23">
        <f>(Data[[#This Row],[DNL (%)]]/100)*Data[[#This Row],[VLDL (umol/L)]]</f>
        <v>225.31323667642658</v>
      </c>
      <c r="AI31" s="17">
        <f>[4]SAMPLES!$L$49</f>
        <v>20.339859861222127</v>
      </c>
      <c r="AJ31" s="56">
        <f>(Data[[#This Row],[Gluconeogensis (%)]]/100)*Data[[#This Row],[Glucose (umol/L)]]</f>
        <v>1.0519775520224084</v>
      </c>
    </row>
    <row r="32" spans="1:37" s="15" customFormat="1" x14ac:dyDescent="0.25">
      <c r="A32" s="15">
        <v>31</v>
      </c>
      <c r="B32" s="15" t="s">
        <v>69</v>
      </c>
      <c r="C32" s="15" t="s">
        <v>70</v>
      </c>
      <c r="D32" s="15" t="s">
        <v>386</v>
      </c>
      <c r="F32" s="15" t="s">
        <v>228</v>
      </c>
      <c r="G32" s="15">
        <v>47</v>
      </c>
      <c r="H32" s="15">
        <v>177</v>
      </c>
      <c r="I32" s="15">
        <v>95</v>
      </c>
      <c r="J32" s="16">
        <f t="shared" si="0"/>
        <v>30.323342589932647</v>
      </c>
      <c r="K32" s="15">
        <v>100</v>
      </c>
      <c r="L32" s="15">
        <v>107</v>
      </c>
      <c r="M32" s="17">
        <f>Data[[#This Row],[Waist_Circumference]]/Data[[#This Row],[Hip_circumference]]</f>
        <v>0.93457943925233644</v>
      </c>
      <c r="N32" s="18">
        <f>'[1]Anthro data'!$AF$27</f>
        <v>30657.259995050001</v>
      </c>
      <c r="O32" s="18">
        <f>'[1]Anthro data'!$AF$28</f>
        <v>61946.508388278002</v>
      </c>
      <c r="P32" s="18">
        <f t="shared" si="1"/>
        <v>92603.768383328003</v>
      </c>
      <c r="Q32" s="17">
        <f>(Data[[#This Row],[Total_fat_g]]/Data[[#This Row],[Total_mass_g]])*100</f>
        <v>33.105844967502861</v>
      </c>
      <c r="R32" s="17">
        <f>(Data[[#This Row],[Lean_mass_g]]/Data[[#This Row],[Total_mass_g]])*100</f>
        <v>66.894155032497139</v>
      </c>
      <c r="S32" s="17">
        <v>2022.2772500000001</v>
      </c>
      <c r="T32" s="17">
        <v>8.8000000000000007</v>
      </c>
      <c r="U32" s="17">
        <f>[1]Glucose!$AF$3</f>
        <v>5.798</v>
      </c>
      <c r="V32" s="17">
        <f>'[1]Insulin+HOMA'!$AF$3</f>
        <v>17.843499999999999</v>
      </c>
      <c r="W32" s="17">
        <f>(Data[[#This Row],[Glucose (umol/L)]]*Data[[#This Row],[Insulin (umol/L)]])/22.5</f>
        <v>4.5980716888888882</v>
      </c>
      <c r="X32" s="17">
        <f>[1]NEFA!$AF$3</f>
        <v>465</v>
      </c>
      <c r="Y32" s="17">
        <f>[1]TAG!$AF$3</f>
        <v>3914.1</v>
      </c>
      <c r="Z32" s="17">
        <f>'[1]3-OHB'!$AF$3</f>
        <v>46.9</v>
      </c>
      <c r="AA32" s="17">
        <f>'[35]Apo B, HDL, Cholesterol, ALT'!$F$6</f>
        <v>5.47</v>
      </c>
      <c r="AB32" s="17">
        <f>'[35]Apo B, HDL, Cholesterol, ALT'!$M$6</f>
        <v>0.88</v>
      </c>
      <c r="AC32" s="17">
        <f>Data[[#This Row],[total_chol (umol/L)]]-Data[[#This Row],[HDL_chol (umol/L)]]</f>
        <v>4.59</v>
      </c>
      <c r="AD32" s="17">
        <f>Data[[#This Row],[Non_HDL (umol/L)]]-(Data[[#This Row],[TAG (umol/L)]]/2200)</f>
        <v>2.8108636363636363</v>
      </c>
      <c r="AE32" s="17">
        <v>1490.8384124999998</v>
      </c>
      <c r="AF32" s="50">
        <f>'[28]plasma H2O'!$J$4</f>
        <v>3.2265105003723687E-3</v>
      </c>
      <c r="AG32" s="17">
        <f>[1]DNL_160!$AF$5</f>
        <v>10.653186464508865</v>
      </c>
      <c r="AH32" s="23">
        <f>(Data[[#This Row],[DNL (%)]]/100)*Data[[#This Row],[VLDL (umol/L)]]</f>
        <v>158.82179596814882</v>
      </c>
      <c r="AI32" s="17">
        <f>[4]SAMPLES!$L$50</f>
        <v>37.967195062669582</v>
      </c>
      <c r="AJ32" s="56">
        <f>(Data[[#This Row],[Gluconeogensis (%)]]/100)*Data[[#This Row],[Glucose (umol/L)]]</f>
        <v>2.2013379697335824</v>
      </c>
    </row>
    <row r="33" spans="1:37" s="15" customFormat="1" x14ac:dyDescent="0.25">
      <c r="A33" s="15">
        <v>32</v>
      </c>
      <c r="B33" s="15" t="s">
        <v>71</v>
      </c>
      <c r="C33" s="15" t="s">
        <v>72</v>
      </c>
      <c r="D33" s="15" t="s">
        <v>386</v>
      </c>
      <c r="F33" s="15" t="s">
        <v>228</v>
      </c>
      <c r="G33" s="15">
        <v>45</v>
      </c>
      <c r="H33" s="15">
        <v>174</v>
      </c>
      <c r="I33" s="15">
        <v>80.900000000000006</v>
      </c>
      <c r="J33" s="16">
        <f t="shared" si="0"/>
        <v>26.720834984806448</v>
      </c>
      <c r="K33" s="15">
        <v>88</v>
      </c>
      <c r="L33" s="15">
        <v>99</v>
      </c>
      <c r="M33" s="17">
        <f>Data[[#This Row],[Waist_Circumference]]/Data[[#This Row],[Hip_circumference]]</f>
        <v>0.88888888888888884</v>
      </c>
      <c r="N33" s="18">
        <f>'[1]Anthro data'!$AG$27</f>
        <v>21533.601827184</v>
      </c>
      <c r="O33" s="18">
        <f>'[1]Anthro data'!$AG$28</f>
        <v>54974.172077575</v>
      </c>
      <c r="P33" s="18">
        <f t="shared" si="1"/>
        <v>76507.773904759</v>
      </c>
      <c r="Q33" s="17">
        <f>(Data[[#This Row],[Total_fat_g]]/Data[[#This Row],[Total_mass_g]])*100</f>
        <v>28.145638969956423</v>
      </c>
      <c r="R33" s="17">
        <f>(Data[[#This Row],[Lean_mass_g]]/Data[[#This Row],[Total_mass_g]])*100</f>
        <v>71.854361030043577</v>
      </c>
      <c r="S33" s="17">
        <v>1161.7770029999999</v>
      </c>
      <c r="T33" s="17">
        <v>6.5</v>
      </c>
      <c r="U33" s="17">
        <f>[1]Glucose!$AG$3</f>
        <v>5.0999999999999996</v>
      </c>
      <c r="V33" s="17">
        <f>'[1]Insulin+HOMA'!$AG$3</f>
        <v>10.216000000000001</v>
      </c>
      <c r="W33" s="17">
        <f>(Data[[#This Row],[Glucose (umol/L)]]*Data[[#This Row],[Insulin (umol/L)]])/22.5</f>
        <v>2.3156266666666667</v>
      </c>
      <c r="X33" s="17">
        <f>[1]NEFA!$AG$3</f>
        <v>362.8</v>
      </c>
      <c r="Y33" s="17">
        <f>[1]TAG!$AG$3</f>
        <v>1400.8</v>
      </c>
      <c r="Z33" s="17">
        <f>'[1]3-OHB'!$AG$3</f>
        <v>44.3</v>
      </c>
      <c r="AA33" s="17">
        <f>'[36]Apo B, HDL, Cholesterol, ALT'!$F$6</f>
        <v>6.64</v>
      </c>
      <c r="AB33" s="17">
        <f>'[36]Apo B, HDL, Cholesterol, ALT'!$M$6</f>
        <v>1.23</v>
      </c>
      <c r="AC33" s="17">
        <f>Data[[#This Row],[total_chol (umol/L)]]-Data[[#This Row],[HDL_chol (umol/L)]]</f>
        <v>5.41</v>
      </c>
      <c r="AD33" s="17">
        <f>Data[[#This Row],[Non_HDL (umol/L)]]-(Data[[#This Row],[TAG (umol/L)]]/2200)</f>
        <v>4.7732727272727278</v>
      </c>
      <c r="AE33" s="17">
        <v>1125.5231700000002</v>
      </c>
      <c r="AF33" s="50">
        <f>'[28]plasma H2O'!$K$4</f>
        <v>3.069720843640435E-3</v>
      </c>
      <c r="AG33" s="17">
        <f>[1]DNL_160!$AG$5</f>
        <v>11.574391529586288</v>
      </c>
      <c r="AH33" s="23">
        <f>(Data[[#This Row],[DNL (%)]]/100)*Data[[#This Row],[VLDL (umol/L)]]</f>
        <v>130.27245845201111</v>
      </c>
      <c r="AI33" s="17">
        <f>[4]SAMPLES!$L$51</f>
        <v>48.20074451215681</v>
      </c>
      <c r="AJ33" s="56">
        <f>(Data[[#This Row],[Gluconeogensis (%)]]/100)*Data[[#This Row],[Glucose (umol/L)]]</f>
        <v>2.4582379701199972</v>
      </c>
    </row>
    <row r="34" spans="1:37" s="15" customFormat="1" x14ac:dyDescent="0.25">
      <c r="A34" s="15">
        <v>33</v>
      </c>
      <c r="B34" s="15" t="s">
        <v>73</v>
      </c>
      <c r="C34" s="15" t="s">
        <v>74</v>
      </c>
      <c r="D34" s="15" t="s">
        <v>386</v>
      </c>
      <c r="F34" s="15" t="s">
        <v>228</v>
      </c>
      <c r="G34" s="15">
        <v>47</v>
      </c>
      <c r="H34" s="15">
        <v>178</v>
      </c>
      <c r="I34" s="15">
        <v>84.7</v>
      </c>
      <c r="J34" s="16">
        <f t="shared" si="0"/>
        <v>26.732735765686151</v>
      </c>
      <c r="K34" s="15">
        <v>98</v>
      </c>
      <c r="L34" s="15">
        <v>100</v>
      </c>
      <c r="M34" s="17">
        <f>Data[[#This Row],[Waist_Circumference]]/Data[[#This Row],[Hip_circumference]]</f>
        <v>0.98</v>
      </c>
      <c r="N34" s="18">
        <f>'[1]Anthro data'!$AH$27</f>
        <v>22676</v>
      </c>
      <c r="O34" s="18">
        <f>'[1]Anthro data'!$AH$28</f>
        <v>58393</v>
      </c>
      <c r="P34" s="18">
        <f t="shared" ref="P34:P65" si="2">N34+O34</f>
        <v>81069</v>
      </c>
      <c r="Q34" s="17">
        <f>(Data[[#This Row],[Total_fat_g]]/Data[[#This Row],[Total_mass_g]])*100</f>
        <v>27.971234380589376</v>
      </c>
      <c r="R34" s="17">
        <f>(Data[[#This Row],[Lean_mass_g]]/Data[[#This Row],[Total_mass_g]])*100</f>
        <v>72.028765619410635</v>
      </c>
      <c r="S34" s="17">
        <v>1461</v>
      </c>
      <c r="T34" s="17">
        <v>14.335920339999999</v>
      </c>
      <c r="U34" s="17">
        <f>[1]Glucose!$AH$3</f>
        <v>5.6040000000000001</v>
      </c>
      <c r="V34" s="17">
        <f>'[1]Insulin+HOMA'!$AH$3</f>
        <v>17.465499999999999</v>
      </c>
      <c r="W34" s="17">
        <f>(Data[[#This Row],[Glucose (umol/L)]]*Data[[#This Row],[Insulin (umol/L)]])/22.5</f>
        <v>4.3500738666666665</v>
      </c>
      <c r="X34" s="17">
        <f>[1]NEFA!$AH$3</f>
        <v>218.1</v>
      </c>
      <c r="Y34" s="17">
        <f>[1]TAG!$AH$3</f>
        <v>1904.6</v>
      </c>
      <c r="Z34" s="17">
        <f>'[1]3-OHB'!$AH$3</f>
        <v>20.8</v>
      </c>
      <c r="AA34" s="17">
        <f>'[37]Apo B, HDL, Cholesterol, ALT'!$F$6</f>
        <v>5.57</v>
      </c>
      <c r="AB34" s="17">
        <f>'[37]Apo B, HDL, Cholesterol, ALT'!$M$6</f>
        <v>1.03</v>
      </c>
      <c r="AC34" s="17">
        <f>Data[[#This Row],[total_chol (umol/L)]]-Data[[#This Row],[HDL_chol (umol/L)]]</f>
        <v>4.54</v>
      </c>
      <c r="AD34" s="17">
        <f>Data[[#This Row],[Non_HDL (umol/L)]]-(Data[[#This Row],[TAG (umol/L)]]/2200)</f>
        <v>3.6742727272727276</v>
      </c>
      <c r="AE34" s="17">
        <v>1516.1566875000003</v>
      </c>
      <c r="AF34" s="50">
        <f>'[28]plasma H2O'!$L$4</f>
        <v>3.0252370623537273E-3</v>
      </c>
      <c r="AG34" s="17">
        <f>[1]DNL_160!$AH$5</f>
        <v>18.691324817188438</v>
      </c>
      <c r="AH34" s="23">
        <f>(Data[[#This Row],[DNL (%)]]/100)*Data[[#This Row],[VLDL (umol/L)]]</f>
        <v>283.38977119814967</v>
      </c>
      <c r="AI34" s="17">
        <f>[4]SAMPLES!$L$52</f>
        <v>26.510622534428052</v>
      </c>
      <c r="AJ34" s="56">
        <f>(Data[[#This Row],[Gluconeogensis (%)]]/100)*Data[[#This Row],[Glucose (umol/L)]]</f>
        <v>1.485655286829348</v>
      </c>
    </row>
    <row r="35" spans="1:37" s="15" customFormat="1" x14ac:dyDescent="0.25">
      <c r="A35" s="15">
        <v>34</v>
      </c>
      <c r="B35" s="15" t="s">
        <v>75</v>
      </c>
      <c r="C35" s="15" t="s">
        <v>76</v>
      </c>
      <c r="D35" s="15" t="s">
        <v>386</v>
      </c>
      <c r="F35" s="15" t="s">
        <v>228</v>
      </c>
      <c r="G35" s="15">
        <v>44</v>
      </c>
      <c r="H35" s="15">
        <v>180</v>
      </c>
      <c r="I35" s="15">
        <v>80.7</v>
      </c>
      <c r="J35" s="16">
        <f t="shared" si="0"/>
        <v>24.907407407407408</v>
      </c>
      <c r="K35" s="15">
        <v>92</v>
      </c>
      <c r="L35" s="15">
        <v>102</v>
      </c>
      <c r="M35" s="17">
        <f>Data[[#This Row],[Waist_Circumference]]/Data[[#This Row],[Hip_circumference]]</f>
        <v>0.90196078431372551</v>
      </c>
      <c r="N35" s="18">
        <f>'[1]Anthro data'!$AI$27</f>
        <v>22342.615031023</v>
      </c>
      <c r="O35" s="18">
        <f>'[1]Anthro data'!$AI$28</f>
        <v>53993.128320848002</v>
      </c>
      <c r="P35" s="18">
        <f t="shared" si="2"/>
        <v>76335.743351871002</v>
      </c>
      <c r="Q35" s="17">
        <f>(Data[[#This Row],[Total_fat_g]]/Data[[#This Row],[Total_mass_g]])*100</f>
        <v>29.268877265050406</v>
      </c>
      <c r="R35" s="17">
        <f>(Data[[#This Row],[Lean_mass_g]]/Data[[#This Row],[Total_mass_g]])*100</f>
        <v>70.731122734949594</v>
      </c>
      <c r="S35" s="17">
        <v>1066.483303</v>
      </c>
      <c r="T35" s="17">
        <v>1.4</v>
      </c>
      <c r="U35" s="17">
        <f>[1]Glucose!$AI$3</f>
        <v>5.8630000000000004</v>
      </c>
      <c r="V35" s="17">
        <f>'[1]Insulin+HOMA'!$AI$3</f>
        <v>13.385999999999999</v>
      </c>
      <c r="W35" s="17">
        <f>(Data[[#This Row],[Glucose (umol/L)]]*Data[[#This Row],[Insulin (umol/L)]])/22.5</f>
        <v>3.4880941333333335</v>
      </c>
      <c r="X35" s="17">
        <f>[1]NEFA!$AI$3</f>
        <v>301.10000000000002</v>
      </c>
      <c r="Y35" s="17">
        <f>[1]TAG!$AI$3</f>
        <v>2356.6999999999998</v>
      </c>
      <c r="Z35" s="17">
        <f>'[1]3-OHB'!$AI$3</f>
        <v>39.1</v>
      </c>
      <c r="AA35" s="17">
        <f>'[38]Apo B, HDL, Cholesterol, ALT'!$F$6</f>
        <v>5.78</v>
      </c>
      <c r="AB35" s="17">
        <f>'[38]Apo B, HDL, Cholesterol, ALT'!$M$6</f>
        <v>0.83</v>
      </c>
      <c r="AC35" s="17">
        <f>Data[[#This Row],[total_chol (umol/L)]]-Data[[#This Row],[HDL_chol (umol/L)]]</f>
        <v>4.95</v>
      </c>
      <c r="AD35" s="17">
        <f>Data[[#This Row],[Non_HDL (umol/L)]]-(Data[[#This Row],[TAG (umol/L)]]/2200)</f>
        <v>3.8787727272727275</v>
      </c>
      <c r="AE35" s="17">
        <v>1704.3644249999998</v>
      </c>
      <c r="AF35" s="50">
        <f>'[28]plasma H2O'!$M$4</f>
        <v>3.1243115406888889E-3</v>
      </c>
      <c r="AG35" s="17">
        <f>[1]DNL_160!$AI$5</f>
        <v>5.6913027958844946</v>
      </c>
      <c r="AH35" s="23">
        <f>(Data[[#This Row],[DNL (%)]]/100)*Data[[#This Row],[VLDL (umol/L)]]</f>
        <v>97.000540172085678</v>
      </c>
      <c r="AI35" s="17">
        <f>[4]SAMPLES!$L$53</f>
        <v>27.126365299929482</v>
      </c>
      <c r="AJ35" s="56">
        <f>(Data[[#This Row],[Gluconeogensis (%)]]/100)*Data[[#This Row],[Glucose (umol/L)]]</f>
        <v>1.5904187975348658</v>
      </c>
    </row>
    <row r="36" spans="1:37" s="15" customFormat="1" x14ac:dyDescent="0.25">
      <c r="A36" s="15">
        <v>35</v>
      </c>
      <c r="B36" s="15" t="s">
        <v>77</v>
      </c>
      <c r="C36" s="15" t="s">
        <v>78</v>
      </c>
      <c r="D36" s="15" t="s">
        <v>386</v>
      </c>
      <c r="F36" s="15" t="s">
        <v>228</v>
      </c>
      <c r="G36" s="15">
        <v>33</v>
      </c>
      <c r="H36" s="15">
        <v>186</v>
      </c>
      <c r="I36" s="15">
        <v>107.8</v>
      </c>
      <c r="J36" s="16">
        <f t="shared" si="0"/>
        <v>31.159671638339688</v>
      </c>
      <c r="K36" s="15">
        <v>107</v>
      </c>
      <c r="L36" s="15">
        <v>103</v>
      </c>
      <c r="M36" s="17">
        <f>Data[[#This Row],[Waist_Circumference]]/Data[[#This Row],[Hip_circumference]]</f>
        <v>1.0388349514563107</v>
      </c>
      <c r="N36" s="18">
        <f>'[1]Anthro data'!$AJ$27</f>
        <v>36039.949872571</v>
      </c>
      <c r="O36" s="18">
        <f>'[1]Anthro data'!$AJ$28</f>
        <v>68245.108505305994</v>
      </c>
      <c r="P36" s="18">
        <f t="shared" si="2"/>
        <v>104285.05837787699</v>
      </c>
      <c r="Q36" s="17">
        <f>(Data[[#This Row],[Total_fat_g]]/Data[[#This Row],[Total_mass_g]])*100</f>
        <v>34.559073402423778</v>
      </c>
      <c r="R36" s="17">
        <f>(Data[[#This Row],[Lean_mass_g]]/Data[[#This Row],[Total_mass_g]])*100</f>
        <v>65.440926597576222</v>
      </c>
      <c r="S36" s="17">
        <v>1935.604313</v>
      </c>
      <c r="T36" s="17">
        <v>5.3</v>
      </c>
      <c r="U36" s="17">
        <f>[1]Glucose!$AJ$3</f>
        <v>5.2960000000000003</v>
      </c>
      <c r="V36" s="17">
        <f>'[1]Insulin+HOMA'!$AJ$3</f>
        <v>8.8659999999999997</v>
      </c>
      <c r="W36" s="17">
        <f>(Data[[#This Row],[Glucose (umol/L)]]*Data[[#This Row],[Insulin (umol/L)]])/22.5</f>
        <v>2.0868593777777775</v>
      </c>
      <c r="X36" s="17">
        <f>[1]NEFA!$AJ$3</f>
        <v>389.2</v>
      </c>
      <c r="Y36" s="17">
        <f>[1]TAG!$AJ$3</f>
        <v>1976.4</v>
      </c>
      <c r="Z36" s="17">
        <f>'[1]3-OHB'!$AJ$3</f>
        <v>64.3</v>
      </c>
      <c r="AA36" s="17">
        <f>'[39]Apo B, HDL, Cholesterol, ALT'!$F$6</f>
        <v>5.7</v>
      </c>
      <c r="AB36" s="17">
        <f>'[39]Apo B, HDL, Cholesterol, ALT'!$M$6</f>
        <v>0.87</v>
      </c>
      <c r="AC36" s="17">
        <f>Data[[#This Row],[total_chol (umol/L)]]-Data[[#This Row],[HDL_chol (umol/L)]]</f>
        <v>4.83</v>
      </c>
      <c r="AD36" s="17">
        <f>Data[[#This Row],[Non_HDL (umol/L)]]-(Data[[#This Row],[TAG (umol/L)]]/2200)</f>
        <v>3.9316363636363638</v>
      </c>
      <c r="AE36" s="17">
        <v>1289.5475287500001</v>
      </c>
      <c r="AF36" s="50">
        <f>'[28]plasma H2O'!$N$4</f>
        <v>3.2221535264160168E-3</v>
      </c>
      <c r="AG36" s="17">
        <f>[1]DNL_160!$AJ$5</f>
        <v>6.6305614763792668</v>
      </c>
      <c r="AH36" s="23">
        <f>(Data[[#This Row],[DNL (%)]]/100)*Data[[#This Row],[VLDL (umol/L)]]</f>
        <v>85.504241660898359</v>
      </c>
      <c r="AI36" s="17">
        <f>[4]SAMPLES!$L$54</f>
        <v>41.685434922937709</v>
      </c>
      <c r="AJ36" s="56">
        <f>(Data[[#This Row],[Gluconeogensis (%)]]/100)*Data[[#This Row],[Glucose (umol/L)]]</f>
        <v>2.2076606335187812</v>
      </c>
    </row>
    <row r="37" spans="1:37" s="15" customFormat="1" x14ac:dyDescent="0.25">
      <c r="A37" s="15">
        <v>36</v>
      </c>
      <c r="B37" s="15" t="s">
        <v>79</v>
      </c>
      <c r="C37" s="15" t="s">
        <v>80</v>
      </c>
      <c r="D37" s="15" t="s">
        <v>386</v>
      </c>
      <c r="F37" s="15" t="s">
        <v>228</v>
      </c>
      <c r="G37" s="15">
        <v>52</v>
      </c>
      <c r="H37" s="15">
        <v>182</v>
      </c>
      <c r="I37" s="15">
        <v>114.7</v>
      </c>
      <c r="J37" s="16">
        <f t="shared" si="0"/>
        <v>34.627460451636274</v>
      </c>
      <c r="K37" s="15">
        <v>127</v>
      </c>
      <c r="L37" s="15">
        <v>121</v>
      </c>
      <c r="M37" s="17">
        <f>Data[[#This Row],[Waist_Circumference]]/Data[[#This Row],[Hip_circumference]]</f>
        <v>1.0495867768595042</v>
      </c>
      <c r="N37" s="18">
        <f>'[1]Anthro data'!$AK$27</f>
        <v>52650.435560881997</v>
      </c>
      <c r="O37" s="18">
        <f>'[1]Anthro data'!$AK$28</f>
        <v>58426.35308157</v>
      </c>
      <c r="P37" s="18">
        <f t="shared" si="2"/>
        <v>111076.788642452</v>
      </c>
      <c r="Q37" s="17">
        <f>(Data[[#This Row],[Total_fat_g]]/Data[[#This Row],[Total_mass_g]])*100</f>
        <v>47.400033980420403</v>
      </c>
      <c r="R37" s="17">
        <f>(Data[[#This Row],[Lean_mass_g]]/Data[[#This Row],[Total_mass_g]])*100</f>
        <v>52.599966019579604</v>
      </c>
      <c r="S37" s="17">
        <v>3720.7962320000001</v>
      </c>
      <c r="T37" s="17">
        <v>22.410586169999998</v>
      </c>
      <c r="U37" s="17">
        <f>[1]Glucose!$AK$3</f>
        <v>6.093</v>
      </c>
      <c r="V37" s="17">
        <f>'[1]Insulin+HOMA'!$AK$3</f>
        <v>20.111000000000001</v>
      </c>
      <c r="W37" s="17">
        <f>(Data[[#This Row],[Glucose (umol/L)]]*Data[[#This Row],[Insulin (umol/L)]])/22.5</f>
        <v>5.4460588000000003</v>
      </c>
      <c r="X37" s="17">
        <f>[1]NEFA!$AK$3</f>
        <v>719.7</v>
      </c>
      <c r="Y37" s="17">
        <f>[1]TAG!$AK$3</f>
        <v>1788.8</v>
      </c>
      <c r="Z37" s="17">
        <f>'[1]3-OHB'!$AK$3</f>
        <v>204.1</v>
      </c>
      <c r="AA37" s="17">
        <f>'[40]Apo B, HDL, Cholesterol, ALT'!$F$6</f>
        <v>5.53</v>
      </c>
      <c r="AB37" s="17">
        <f>'[40]Apo B, HDL, Cholesterol, ALT'!$M$6</f>
        <v>0.99</v>
      </c>
      <c r="AC37" s="17">
        <f>Data[[#This Row],[total_chol (umol/L)]]-Data[[#This Row],[HDL_chol (umol/L)]]</f>
        <v>4.54</v>
      </c>
      <c r="AD37" s="17">
        <f>Data[[#This Row],[Non_HDL (umol/L)]]-(Data[[#This Row],[TAG (umol/L)]]/2200)</f>
        <v>3.7269090909090909</v>
      </c>
      <c r="AE37" s="17">
        <v>1069.25368875</v>
      </c>
      <c r="AF37" s="50">
        <f>'[28]plasma H2O'!$O$4</f>
        <v>3.9242687151871429E-3</v>
      </c>
      <c r="AG37" s="17">
        <f>[1]DNL_160!$AK$5</f>
        <v>8.3091128816447632</v>
      </c>
      <c r="AH37" s="23">
        <f>(Data[[#This Row],[DNL (%)]]/100)*Data[[#This Row],[VLDL (umol/L)]]</f>
        <v>88.845495989388056</v>
      </c>
      <c r="AI37" s="17">
        <f>[4]SAMPLES!$L$55</f>
        <v>42.05978602036339</v>
      </c>
      <c r="AJ37" s="56">
        <f>(Data[[#This Row],[Gluconeogensis (%)]]/100)*Data[[#This Row],[Glucose (umol/L)]]</f>
        <v>2.562702762220741</v>
      </c>
    </row>
    <row r="38" spans="1:37" s="15" customFormat="1" x14ac:dyDescent="0.25">
      <c r="A38" s="15">
        <v>37</v>
      </c>
      <c r="B38" s="15" t="s">
        <v>81</v>
      </c>
      <c r="C38" s="15" t="s">
        <v>82</v>
      </c>
      <c r="D38" s="15" t="s">
        <v>386</v>
      </c>
      <c r="F38" s="15" t="s">
        <v>228</v>
      </c>
      <c r="G38" s="15">
        <v>45</v>
      </c>
      <c r="H38" s="15">
        <v>167</v>
      </c>
      <c r="I38" s="15">
        <v>68.7</v>
      </c>
      <c r="J38" s="16">
        <f t="shared" si="0"/>
        <v>24.633367994549825</v>
      </c>
      <c r="K38" s="15">
        <v>88</v>
      </c>
      <c r="L38" s="15">
        <v>94</v>
      </c>
      <c r="M38" s="17">
        <f>Data[[#This Row],[Waist_Circumference]]/Data[[#This Row],[Hip_circumference]]</f>
        <v>0.93617021276595747</v>
      </c>
      <c r="N38" s="18">
        <f>'[1]Anthro data'!$AL$27</f>
        <v>22268.473157756001</v>
      </c>
      <c r="O38" s="18">
        <f>'[1]Anthro data'!$AL$28</f>
        <v>43750.139097555999</v>
      </c>
      <c r="P38" s="18">
        <f t="shared" si="2"/>
        <v>66018.612255312008</v>
      </c>
      <c r="Q38" s="17">
        <f>(Data[[#This Row],[Total_fat_g]]/Data[[#This Row],[Total_mass_g]])*100</f>
        <v>33.730598685773238</v>
      </c>
      <c r="R38" s="17">
        <f>(Data[[#This Row],[Lean_mass_g]]/Data[[#This Row],[Total_mass_g]])*100</f>
        <v>66.269401314226755</v>
      </c>
      <c r="S38" s="17">
        <v>1427.699296</v>
      </c>
      <c r="T38" s="17">
        <v>3.3</v>
      </c>
      <c r="U38" s="17">
        <f>[1]Glucose!$AL$3</f>
        <v>5.3689999999999998</v>
      </c>
      <c r="V38" s="17">
        <f>'[1]Insulin+HOMA'!$AL$3</f>
        <v>7.9964999999999993</v>
      </c>
      <c r="W38" s="17">
        <f>(Data[[#This Row],[Glucose (umol/L)]]*Data[[#This Row],[Insulin (umol/L)]])/22.5</f>
        <v>1.9081425999999997</v>
      </c>
      <c r="X38" s="17">
        <f>[1]NEFA!$AL$3</f>
        <v>324.8</v>
      </c>
      <c r="Y38" s="17">
        <f>[1]TAG!$AL$3</f>
        <v>1881</v>
      </c>
      <c r="Z38" s="17">
        <f>'[1]3-OHB'!$AL$3</f>
        <v>55.5</v>
      </c>
      <c r="AA38" s="17">
        <f>'[41]Apo B, HDL, Cholesterol, ALT'!$F$6</f>
        <v>6.96</v>
      </c>
      <c r="AB38" s="17">
        <f>'[41]Apo B, HDL, Cholesterol, ALT'!$M$6</f>
        <v>1.03</v>
      </c>
      <c r="AC38" s="17">
        <f>Data[[#This Row],[total_chol (umol/L)]]-Data[[#This Row],[HDL_chol (umol/L)]]</f>
        <v>5.93</v>
      </c>
      <c r="AD38" s="17">
        <f>Data[[#This Row],[Non_HDL (umol/L)]]-(Data[[#This Row],[TAG (umol/L)]]/2200)</f>
        <v>5.0749999999999993</v>
      </c>
      <c r="AE38" s="17">
        <v>1130.4689250000001</v>
      </c>
      <c r="AF38" s="50">
        <f>'[28]plasma H2O'!$P$4</f>
        <v>3.2160094714065563E-3</v>
      </c>
      <c r="AG38" s="17">
        <f>[1]DNL_160!$AL$5</f>
        <v>8.8789607287229337</v>
      </c>
      <c r="AH38" s="23">
        <f>(Data[[#This Row],[DNL (%)]]/100)*Data[[#This Row],[VLDL (umol/L)]]</f>
        <v>100.37389190116633</v>
      </c>
      <c r="AI38" s="17">
        <f>[4]SAMPLES!$L$56</f>
        <v>52.364683755724705</v>
      </c>
      <c r="AJ38" s="56">
        <f>(Data[[#This Row],[Gluconeogensis (%)]]/100)*Data[[#This Row],[Glucose (umol/L)]]</f>
        <v>2.8114598708448595</v>
      </c>
    </row>
    <row r="39" spans="1:37" s="15" customFormat="1" x14ac:dyDescent="0.25">
      <c r="A39" s="15">
        <v>38</v>
      </c>
      <c r="B39" s="15" t="s">
        <v>83</v>
      </c>
      <c r="C39" s="15" t="s">
        <v>84</v>
      </c>
      <c r="D39" s="15" t="s">
        <v>386</v>
      </c>
      <c r="F39" s="15" t="s">
        <v>228</v>
      </c>
      <c r="G39" s="15">
        <v>27</v>
      </c>
      <c r="H39" s="15">
        <v>185</v>
      </c>
      <c r="I39" s="15">
        <v>92.9</v>
      </c>
      <c r="J39" s="16">
        <f t="shared" si="0"/>
        <v>27.143900657414171</v>
      </c>
      <c r="K39" s="15">
        <v>92</v>
      </c>
      <c r="L39" s="15">
        <v>104</v>
      </c>
      <c r="M39" s="17">
        <f>Data[[#This Row],[Waist_Circumference]]/Data[[#This Row],[Hip_circumference]]</f>
        <v>0.88461538461538458</v>
      </c>
      <c r="N39" s="18">
        <f>'[1]Anthro data'!$AM$27</f>
        <v>21062.678204823998</v>
      </c>
      <c r="O39" s="18">
        <f>'[1]Anthro data'!$AM$28</f>
        <v>67952.615830025999</v>
      </c>
      <c r="P39" s="18">
        <f t="shared" si="2"/>
        <v>89015.294034849998</v>
      </c>
      <c r="Q39" s="17">
        <f>(Data[[#This Row],[Total_fat_g]]/Data[[#This Row],[Total_mass_g]])*100</f>
        <v>23.661864439360095</v>
      </c>
      <c r="R39" s="17">
        <f>(Data[[#This Row],[Lean_mass_g]]/Data[[#This Row],[Total_mass_g]])*100</f>
        <v>76.338135560639913</v>
      </c>
      <c r="S39" s="17">
        <v>735.1140805</v>
      </c>
      <c r="T39" s="17">
        <v>2.2000000000000002</v>
      </c>
      <c r="U39" s="17">
        <f>[1]Glucose!$AM$3</f>
        <v>4.6879999999999997</v>
      </c>
      <c r="V39" s="17">
        <f>'[1]Insulin+HOMA'!$AM$3</f>
        <v>12.083500000000001</v>
      </c>
      <c r="W39" s="17">
        <f>(Data[[#This Row],[Glucose (umol/L)]]*Data[[#This Row],[Insulin (umol/L)]])/22.5</f>
        <v>2.5176643555555556</v>
      </c>
      <c r="X39" s="17">
        <f>[1]NEFA!$AM$3</f>
        <v>171.7</v>
      </c>
      <c r="Y39" s="17">
        <f>[1]TAG!$AM$3</f>
        <v>1900.5</v>
      </c>
      <c r="Z39" s="17">
        <f>'[1]3-OHB'!$AM$3</f>
        <v>32.5</v>
      </c>
      <c r="AA39" s="17">
        <f>'[42]Apo B, HDL, Cholesterol, ALT'!$F$6</f>
        <v>3.29</v>
      </c>
      <c r="AB39" s="17">
        <f>'[42]Apo B, HDL, Cholesterol, ALT'!$M$6</f>
        <v>0.68</v>
      </c>
      <c r="AC39" s="17">
        <f>Data[[#This Row],[total_chol (umol/L)]]-Data[[#This Row],[HDL_chol (umol/L)]]</f>
        <v>2.61</v>
      </c>
      <c r="AD39" s="17">
        <f>Data[[#This Row],[Non_HDL (umol/L)]]-(Data[[#This Row],[TAG (umol/L)]]/2200)</f>
        <v>1.7461363636363636</v>
      </c>
      <c r="AE39" s="17">
        <v>1566.2246625000002</v>
      </c>
      <c r="AF39" s="50">
        <f>'[28]plasma H2O'!$Q$4</f>
        <v>2.8375269572662376E-3</v>
      </c>
      <c r="AG39" s="17">
        <f>[1]DNL_160!$AM$5</f>
        <v>5.5825567288415385</v>
      </c>
      <c r="AH39" s="23">
        <f>(Data[[#This Row],[DNL (%)]]/100)*Data[[#This Row],[VLDL (umol/L)]]</f>
        <v>87.435380285169444</v>
      </c>
      <c r="AI39" s="17">
        <f>[4]SAMPLES!$L$57</f>
        <v>32.584316984851249</v>
      </c>
      <c r="AJ39" s="56">
        <f>(Data[[#This Row],[Gluconeogensis (%)]]/100)*Data[[#This Row],[Glucose (umol/L)]]</f>
        <v>1.5275527802498263</v>
      </c>
    </row>
    <row r="40" spans="1:37" s="15" customFormat="1" x14ac:dyDescent="0.25">
      <c r="A40" s="15">
        <v>39</v>
      </c>
      <c r="B40" s="15" t="s">
        <v>85</v>
      </c>
      <c r="C40" s="15" t="s">
        <v>86</v>
      </c>
      <c r="D40" s="15" t="s">
        <v>386</v>
      </c>
      <c r="F40" s="15" t="s">
        <v>228</v>
      </c>
      <c r="G40" s="15">
        <v>46</v>
      </c>
      <c r="H40" s="15">
        <v>180</v>
      </c>
      <c r="I40" s="15">
        <v>89.2</v>
      </c>
      <c r="J40" s="16">
        <f t="shared" si="0"/>
        <v>27.530864197530864</v>
      </c>
      <c r="K40" s="15">
        <v>93</v>
      </c>
      <c r="L40" s="15">
        <v>102</v>
      </c>
      <c r="M40" s="17">
        <f>Data[[#This Row],[Waist_Circumference]]/Data[[#This Row],[Hip_circumference]]</f>
        <v>0.91176470588235292</v>
      </c>
      <c r="N40" s="18">
        <f>'[1]Anthro data'!$AN$27</f>
        <v>19578.981572150999</v>
      </c>
      <c r="O40" s="18">
        <f>'[1]Anthro data'!$AN$28</f>
        <v>63481.962302802</v>
      </c>
      <c r="P40" s="18">
        <f t="shared" si="2"/>
        <v>83060.943874952995</v>
      </c>
      <c r="Q40" s="17">
        <f>(Data[[#This Row],[Total_fat_g]]/Data[[#This Row],[Total_mass_g]])*100</f>
        <v>23.571826491192855</v>
      </c>
      <c r="R40" s="17">
        <f>(Data[[#This Row],[Lean_mass_g]]/Data[[#This Row],[Total_mass_g]])*100</f>
        <v>76.428173508807149</v>
      </c>
      <c r="S40" s="17">
        <v>1208.1452079999999</v>
      </c>
      <c r="T40" s="17">
        <v>1.5</v>
      </c>
      <c r="U40" s="17">
        <f>[1]Glucose!$AN$3</f>
        <v>5.665</v>
      </c>
      <c r="V40" s="17">
        <f>'[1]Insulin+HOMA'!$AN$3</f>
        <v>14.282499999999999</v>
      </c>
      <c r="W40" s="17">
        <f>(Data[[#This Row],[Glucose (umol/L)]]*Data[[#This Row],[Insulin (umol/L)]])/22.5</f>
        <v>3.5960161111111106</v>
      </c>
      <c r="X40" s="17">
        <f>[1]NEFA!$AN$3</f>
        <v>499.4</v>
      </c>
      <c r="Y40" s="17">
        <f>[1]TAG!$AN$3</f>
        <v>1666.1</v>
      </c>
      <c r="Z40" s="17">
        <f>'[1]3-OHB'!$AN$3</f>
        <v>70</v>
      </c>
      <c r="AA40" s="17">
        <f>'[43]Apo B, HDL, Cholesterol, ALT'!$F$6</f>
        <v>5.29</v>
      </c>
      <c r="AB40" s="17">
        <f>'[43]Apo B, HDL, Cholesterol, ALT'!$M$6</f>
        <v>0.97</v>
      </c>
      <c r="AC40" s="17">
        <f>Data[[#This Row],[total_chol (umol/L)]]-Data[[#This Row],[HDL_chol (umol/L)]]</f>
        <v>4.32</v>
      </c>
      <c r="AD40" s="17">
        <f>Data[[#This Row],[Non_HDL (umol/L)]]-(Data[[#This Row],[TAG (umol/L)]]/2200)</f>
        <v>3.5626818181818187</v>
      </c>
      <c r="AE40" s="17">
        <v>1128.3457199999998</v>
      </c>
      <c r="AF40" s="50">
        <f>'[28]plasma H2O'!$R$4</f>
        <v>3.0088575975497633E-3</v>
      </c>
      <c r="AG40" s="17">
        <f>[1]DNL_160!$AN$5</f>
        <v>7.988338328367969</v>
      </c>
      <c r="AH40" s="23">
        <f>(Data[[#This Row],[DNL (%)]]/100)*Data[[#This Row],[VLDL (umol/L)]]</f>
        <v>90.136073627259506</v>
      </c>
      <c r="AI40" s="17">
        <f>[4]SAMPLES!$L$58</f>
        <v>58.40136500883132</v>
      </c>
      <c r="AJ40" s="56">
        <f>(Data[[#This Row],[Gluconeogensis (%)]]/100)*Data[[#This Row],[Glucose (umol/L)]]</f>
        <v>3.3084373277502941</v>
      </c>
    </row>
    <row r="41" spans="1:37" s="15" customFormat="1" x14ac:dyDescent="0.25">
      <c r="A41" s="15">
        <v>40</v>
      </c>
      <c r="B41" s="15" t="s">
        <v>87</v>
      </c>
      <c r="C41" s="15" t="s">
        <v>88</v>
      </c>
      <c r="D41" s="15" t="s">
        <v>386</v>
      </c>
      <c r="F41" s="15" t="s">
        <v>228</v>
      </c>
      <c r="G41" s="15">
        <v>45</v>
      </c>
      <c r="H41" s="15">
        <v>179</v>
      </c>
      <c r="I41" s="15">
        <v>96.7</v>
      </c>
      <c r="J41" s="16">
        <f t="shared" si="0"/>
        <v>30.18008177023189</v>
      </c>
      <c r="K41" s="15">
        <v>103</v>
      </c>
      <c r="L41" s="15">
        <v>106</v>
      </c>
      <c r="M41" s="17">
        <f>Data[[#This Row],[Waist_Circumference]]/Data[[#This Row],[Hip_circumference]]</f>
        <v>0.97169811320754718</v>
      </c>
      <c r="N41" s="18">
        <f>'[1]Anthro data'!$AO$27</f>
        <v>29697</v>
      </c>
      <c r="O41" s="18">
        <f>'[1]Anthro data'!$AO$28</f>
        <v>65505</v>
      </c>
      <c r="P41" s="18">
        <f t="shared" si="2"/>
        <v>95202</v>
      </c>
      <c r="Q41" s="17">
        <f>(Data[[#This Row],[Total_fat_g]]/Data[[#This Row],[Total_mass_g]])*100</f>
        <v>31.193672401840299</v>
      </c>
      <c r="R41" s="17">
        <f>(Data[[#This Row],[Lean_mass_g]]/Data[[#This Row],[Total_mass_g]])*100</f>
        <v>68.806327598159697</v>
      </c>
      <c r="S41" s="17">
        <v>1794</v>
      </c>
      <c r="T41" s="17">
        <v>5.8</v>
      </c>
      <c r="U41" s="17">
        <f>[1]Glucose!$AO$3</f>
        <v>5.4089999999999998</v>
      </c>
      <c r="V41" s="17">
        <f>'[1]Insulin+HOMA'!$AO$3</f>
        <v>10.619</v>
      </c>
      <c r="W41" s="17">
        <f>(Data[[#This Row],[Glucose (umol/L)]]*Data[[#This Row],[Insulin (umol/L)]])/22.5</f>
        <v>2.5528076</v>
      </c>
      <c r="X41" s="17">
        <f>[1]NEFA!$AO$3</f>
        <v>513</v>
      </c>
      <c r="Y41" s="17">
        <f>[1]TAG!$AO$3</f>
        <v>2448.7000000000003</v>
      </c>
      <c r="Z41" s="17">
        <f>'[1]3-OHB'!$AO$3</f>
        <v>46</v>
      </c>
      <c r="AA41" s="17">
        <f>'[44]Apo B, HDL, Cholesterol, ALT'!$F$6</f>
        <v>5.57</v>
      </c>
      <c r="AB41" s="17">
        <f>'[44]Apo B, HDL, Cholesterol, ALT'!$M$6</f>
        <v>1.08</v>
      </c>
      <c r="AC41" s="17">
        <f>Data[[#This Row],[total_chol (umol/L)]]-Data[[#This Row],[HDL_chol (umol/L)]]</f>
        <v>4.49</v>
      </c>
      <c r="AD41" s="17">
        <f>Data[[#This Row],[Non_HDL (umol/L)]]-(Data[[#This Row],[TAG (umol/L)]]/2200)</f>
        <v>3.3769545454545455</v>
      </c>
      <c r="AE41" s="17">
        <v>1641.2204325000002</v>
      </c>
      <c r="AF41" s="50">
        <f>'[28]plasma H2O'!$S$4</f>
        <v>3.1389021086097512E-3</v>
      </c>
      <c r="AG41" s="17">
        <f>[1]DNL_160!$AO$5</f>
        <v>5.1193307099529992</v>
      </c>
      <c r="AH41" s="23">
        <f>(Data[[#This Row],[DNL (%)]]/100)*Data[[#This Row],[VLDL (umol/L)]]</f>
        <v>84.019501618995946</v>
      </c>
      <c r="AI41" s="17">
        <f>[4]SAMPLES!$L$59</f>
        <v>42.810769593382567</v>
      </c>
      <c r="AJ41" s="56">
        <f>(Data[[#This Row],[Gluconeogensis (%)]]/100)*Data[[#This Row],[Glucose (umol/L)]]</f>
        <v>2.315634527306063</v>
      </c>
    </row>
    <row r="42" spans="1:37" s="15" customFormat="1" x14ac:dyDescent="0.25">
      <c r="A42" s="15">
        <v>41</v>
      </c>
      <c r="B42" s="15" t="s">
        <v>89</v>
      </c>
      <c r="C42" s="15" t="s">
        <v>90</v>
      </c>
      <c r="D42" s="15" t="s">
        <v>386</v>
      </c>
      <c r="F42" s="15" t="s">
        <v>228</v>
      </c>
      <c r="G42" s="15">
        <v>48</v>
      </c>
      <c r="H42" s="15">
        <v>187</v>
      </c>
      <c r="I42" s="15">
        <v>88.2</v>
      </c>
      <c r="J42" s="16">
        <f t="shared" si="0"/>
        <v>25.22233978666819</v>
      </c>
      <c r="K42" s="15">
        <v>96</v>
      </c>
      <c r="L42" s="15">
        <v>100</v>
      </c>
      <c r="M42" s="17">
        <f>Data[[#This Row],[Waist_Circumference]]/Data[[#This Row],[Hip_circumference]]</f>
        <v>0.96</v>
      </c>
      <c r="N42" s="18">
        <f>'[1]Anthro data'!$AP$27</f>
        <v>23989.228831755001</v>
      </c>
      <c r="O42" s="18">
        <f>'[1]Anthro data'!$AP$28</f>
        <v>62032.984410883</v>
      </c>
      <c r="P42" s="18">
        <f t="shared" si="2"/>
        <v>86022.213242637998</v>
      </c>
      <c r="Q42" s="17">
        <f>(Data[[#This Row],[Total_fat_g]]/Data[[#This Row],[Total_mass_g]])*100</f>
        <v>27.887249034258094</v>
      </c>
      <c r="R42" s="17">
        <f>(Data[[#This Row],[Lean_mass_g]]/Data[[#This Row],[Total_mass_g]])*100</f>
        <v>72.11275096574191</v>
      </c>
      <c r="S42" s="17">
        <v>1869.0818650000001</v>
      </c>
      <c r="T42" s="17">
        <v>5.2</v>
      </c>
      <c r="U42" s="17">
        <f>[1]Glucose!$AP$3</f>
        <v>5.4909999999999997</v>
      </c>
      <c r="V42" s="17">
        <f>'[1]Insulin+HOMA'!$AP$3</f>
        <v>13.5745</v>
      </c>
      <c r="W42" s="17">
        <f>(Data[[#This Row],[Glucose (umol/L)]]*Data[[#This Row],[Insulin (umol/L)]])/22.5</f>
        <v>3.3127813111111108</v>
      </c>
      <c r="X42" s="17">
        <f>[1]NEFA!$AP$3</f>
        <v>381.2</v>
      </c>
      <c r="Y42" s="17">
        <f>[1]TAG!$AP$3</f>
        <v>4084.5</v>
      </c>
      <c r="Z42" s="17">
        <f>'[1]3-OHB'!$AP$3</f>
        <v>34.6</v>
      </c>
      <c r="AA42" s="17">
        <f>'[45]Apo B, HDL, Cholesterol, ALT'!$F$6</f>
        <v>6.26</v>
      </c>
      <c r="AB42" s="17">
        <f>'[45]Apo B, HDL, Cholesterol, ALT'!$M$6</f>
        <v>1.04</v>
      </c>
      <c r="AC42" s="17">
        <f>Data[[#This Row],[total_chol (umol/L)]]-Data[[#This Row],[HDL_chol (umol/L)]]</f>
        <v>5.22</v>
      </c>
      <c r="AD42" s="17">
        <f>Data[[#This Row],[Non_HDL (umol/L)]]-(Data[[#This Row],[TAG (umol/L)]]/2200)</f>
        <v>3.3634090909090908</v>
      </c>
      <c r="AE42" s="17">
        <v>1298.6619450000001</v>
      </c>
      <c r="AF42" s="50">
        <f>'[28]plasma H2O'!$T$4</f>
        <v>2.9471485337249116E-3</v>
      </c>
      <c r="AG42" s="17">
        <f>[1]DNL_160!$AP$5</f>
        <v>19.245080469266266</v>
      </c>
      <c r="AH42" s="23">
        <f>(Data[[#This Row],[DNL (%)]]/100)*Data[[#This Row],[VLDL (umol/L)]]</f>
        <v>249.92853633898841</v>
      </c>
      <c r="AI42" s="17">
        <f>[4]SAMPLES!$L$60</f>
        <v>33.338144132366821</v>
      </c>
      <c r="AJ42" s="56">
        <f>(Data[[#This Row],[Gluconeogensis (%)]]/100)*Data[[#This Row],[Glucose (umol/L)]]</f>
        <v>1.8305974943082619</v>
      </c>
    </row>
    <row r="43" spans="1:37" s="15" customFormat="1" x14ac:dyDescent="0.25">
      <c r="A43" s="15">
        <v>42</v>
      </c>
      <c r="B43" s="15" t="s">
        <v>355</v>
      </c>
      <c r="C43" s="15" t="s">
        <v>91</v>
      </c>
      <c r="D43" s="15" t="s">
        <v>386</v>
      </c>
      <c r="F43" s="15" t="s">
        <v>228</v>
      </c>
      <c r="G43" s="15">
        <v>35</v>
      </c>
      <c r="H43" s="15">
        <v>174</v>
      </c>
      <c r="I43" s="15">
        <v>101.3</v>
      </c>
      <c r="J43" s="16">
        <f t="shared" si="0"/>
        <v>33.458845289998678</v>
      </c>
      <c r="K43" s="15">
        <v>113</v>
      </c>
      <c r="L43" s="15">
        <v>111</v>
      </c>
      <c r="M43" s="17">
        <f>Data[[#This Row],[Waist_Circumference]]/Data[[#This Row],[Hip_circumference]]</f>
        <v>1.0180180180180181</v>
      </c>
      <c r="N43" s="18">
        <f>'[1]Anthro data'!$AQ$27</f>
        <v>33620.860036359998</v>
      </c>
      <c r="O43" s="18">
        <f>'[1]Anthro data'!$AQ$28</f>
        <v>58896.373600316001</v>
      </c>
      <c r="P43" s="18">
        <f t="shared" si="2"/>
        <v>92517.233636675999</v>
      </c>
      <c r="Q43" s="17">
        <f>(Data[[#This Row],[Total_fat_g]]/Data[[#This Row],[Total_mass_g]])*100</f>
        <v>36.340105205039229</v>
      </c>
      <c r="R43" s="17">
        <f>(Data[[#This Row],[Lean_mass_g]]/Data[[#This Row],[Total_mass_g]])*100</f>
        <v>63.659894794960771</v>
      </c>
      <c r="S43" s="17">
        <v>3089.9811580000001</v>
      </c>
      <c r="T43" s="17">
        <v>16.600000000000001</v>
      </c>
      <c r="U43" s="17">
        <f>[1]Glucose!$AQ$3</f>
        <v>5.6970000000000001</v>
      </c>
      <c r="V43" s="17">
        <f>'[1]Insulin+HOMA'!$AQ$3</f>
        <v>15.769500000000001</v>
      </c>
      <c r="W43" s="17">
        <f>(Data[[#This Row],[Glucose (umol/L)]]*Data[[#This Row],[Insulin (umol/L)]])/22.5</f>
        <v>3.9928374</v>
      </c>
      <c r="X43" s="17">
        <f>[1]NEFA!$AQ$3</f>
        <v>469.8</v>
      </c>
      <c r="Y43" s="17">
        <f>[1]TAG!$AQ$3</f>
        <v>2772.4</v>
      </c>
      <c r="Z43" s="17">
        <f>'[1]3-OHB'!$AQ$3</f>
        <v>66.3</v>
      </c>
      <c r="AA43" s="17">
        <f>'[46]Apo B, HDL, Cholesterol, ALT'!$F$6</f>
        <v>5.27</v>
      </c>
      <c r="AB43" s="17">
        <f>'[46]Apo B, HDL, Cholesterol, ALT'!$M$6</f>
        <v>0.85</v>
      </c>
      <c r="AC43" s="17">
        <f>Data[[#This Row],[total_chol (umol/L)]]-Data[[#This Row],[HDL_chol (umol/L)]]</f>
        <v>4.42</v>
      </c>
      <c r="AD43" s="17">
        <f>Data[[#This Row],[Non_HDL (umol/L)]]-(Data[[#This Row],[TAG (umol/L)]]/2200)</f>
        <v>3.1598181818181814</v>
      </c>
      <c r="AE43" s="17">
        <v>1549.8949950000003</v>
      </c>
      <c r="AF43" s="50">
        <f>'[28]plasma H2O'!$U$4</f>
        <v>1.9887722941756896E-3</v>
      </c>
      <c r="AG43" s="17">
        <f>[1]DNL_160!$AQ$5</f>
        <v>34.296880411390909</v>
      </c>
      <c r="AH43" s="23">
        <f>(Data[[#This Row],[DNL (%)]]/100)*Data[[#This Row],[VLDL (umol/L)]]</f>
        <v>531.56563293728323</v>
      </c>
      <c r="AI43" s="17">
        <f>[4]SAMPLES!$L$61</f>
        <v>65.148735337781744</v>
      </c>
      <c r="AJ43" s="56">
        <f>(Data[[#This Row],[Gluconeogensis (%)]]/100)*Data[[#This Row],[Glucose (umol/L)]]</f>
        <v>3.7115234521934264</v>
      </c>
    </row>
    <row r="44" spans="1:37" s="15" customFormat="1" x14ac:dyDescent="0.25">
      <c r="A44" s="15">
        <v>43</v>
      </c>
      <c r="B44" s="15" t="s">
        <v>360</v>
      </c>
      <c r="C44" s="15" t="s">
        <v>93</v>
      </c>
      <c r="D44" s="15" t="s">
        <v>386</v>
      </c>
      <c r="F44" s="15" t="s">
        <v>228</v>
      </c>
      <c r="G44" s="15">
        <v>31</v>
      </c>
      <c r="H44" s="15">
        <v>188</v>
      </c>
      <c r="I44" s="15">
        <v>97.7</v>
      </c>
      <c r="J44" s="16">
        <f t="shared" si="0"/>
        <v>27.642598460842013</v>
      </c>
      <c r="K44" s="15">
        <v>101</v>
      </c>
      <c r="L44" s="15">
        <v>102</v>
      </c>
      <c r="M44" s="17">
        <f>Data[[#This Row],[Waist_Circumference]]/Data[[#This Row],[Hip_circumference]]</f>
        <v>0.99019607843137258</v>
      </c>
      <c r="N44" s="18">
        <f>'[1]Anthro data'!$AR$27</f>
        <v>31096</v>
      </c>
      <c r="O44" s="18">
        <f>'[1]Anthro data'!$AR$28</f>
        <v>62336</v>
      </c>
      <c r="P44" s="18">
        <f t="shared" si="2"/>
        <v>93432</v>
      </c>
      <c r="Q44" s="17">
        <f>(Data[[#This Row],[Total_fat_g]]/Data[[#This Row],[Total_mass_g]])*100</f>
        <v>33.281959071838344</v>
      </c>
      <c r="R44" s="17">
        <f>(Data[[#This Row],[Lean_mass_g]]/Data[[#This Row],[Total_mass_g]])*100</f>
        <v>66.718040928161656</v>
      </c>
      <c r="S44" s="17"/>
      <c r="T44" s="17">
        <v>27.6</v>
      </c>
      <c r="U44" s="17">
        <f>[1]Glucose!$AR$3</f>
        <v>5.6950000000000003</v>
      </c>
      <c r="V44" s="17">
        <f>'[1]Insulin+HOMA'!$AR$3</f>
        <v>16.440999999999999</v>
      </c>
      <c r="W44" s="17">
        <f>(Data[[#This Row],[Glucose (umol/L)]]*Data[[#This Row],[Insulin (umol/L)]])/22.5</f>
        <v>4.1613997777777776</v>
      </c>
      <c r="X44" s="17">
        <f>[1]NEFA!$AR$3</f>
        <v>559.6</v>
      </c>
      <c r="Y44" s="17">
        <f>[1]TAG!$AR$3</f>
        <v>2068</v>
      </c>
      <c r="Z44" s="17">
        <f>'[1]3-OHB'!$AR$3</f>
        <v>39</v>
      </c>
      <c r="AA44" s="17">
        <f>'[47]Apo B, HDL, Cholesterol, ALT'!$F$6</f>
        <v>4.88</v>
      </c>
      <c r="AB44" s="17">
        <f>'[47]Apo B, HDL, Cholesterol, ALT'!$M$6</f>
        <v>0.99</v>
      </c>
      <c r="AC44" s="17">
        <f>Data[[#This Row],[total_chol (umol/L)]]-Data[[#This Row],[HDL_chol (umol/L)]]</f>
        <v>3.8899999999999997</v>
      </c>
      <c r="AD44" s="17">
        <f>Data[[#This Row],[Non_HDL (umol/L)]]-(Data[[#This Row],[TAG (umol/L)]]/2200)</f>
        <v>2.9499999999999997</v>
      </c>
      <c r="AE44" s="17">
        <v>1234.4110874999999</v>
      </c>
      <c r="AF44" s="50">
        <f>'[28]plasma H2O'!$V$4</f>
        <v>3.2017153059658945E-3</v>
      </c>
      <c r="AG44" s="17">
        <f>[1]DNL_160!$AR$5</f>
        <v>7.535185568459994</v>
      </c>
      <c r="AH44" s="23">
        <f>(Data[[#This Row],[DNL (%)]]/100)*Data[[#This Row],[VLDL (umol/L)]]</f>
        <v>93.015166120770061</v>
      </c>
      <c r="AI44" s="17">
        <f>[4]SAMPLES!$L$62</f>
        <v>38.000237093694018</v>
      </c>
      <c r="AJ44" s="56">
        <f>(Data[[#This Row],[Gluconeogensis (%)]]/100)*Data[[#This Row],[Glucose (umol/L)]]</f>
        <v>2.1641135024858742</v>
      </c>
    </row>
    <row r="45" spans="1:37" s="15" customFormat="1" x14ac:dyDescent="0.25">
      <c r="A45" s="15">
        <v>44</v>
      </c>
      <c r="B45" s="15" t="s">
        <v>359</v>
      </c>
      <c r="C45" s="15" t="s">
        <v>94</v>
      </c>
      <c r="D45" s="15" t="s">
        <v>386</v>
      </c>
      <c r="F45" s="15" t="s">
        <v>228</v>
      </c>
      <c r="G45" s="15">
        <v>29</v>
      </c>
      <c r="H45" s="15">
        <v>179</v>
      </c>
      <c r="I45" s="15">
        <v>94.6</v>
      </c>
      <c r="J45" s="16">
        <f t="shared" si="0"/>
        <v>29.52467151462189</v>
      </c>
      <c r="K45" s="15">
        <v>106</v>
      </c>
      <c r="L45" s="15">
        <v>103</v>
      </c>
      <c r="M45" s="17">
        <f>Data[[#This Row],[Waist_Circumference]]/Data[[#This Row],[Hip_circumference]]</f>
        <v>1.029126213592233</v>
      </c>
      <c r="N45" s="18">
        <f>'[1]Anthro data'!$AS$27</f>
        <v>37404.261645819999</v>
      </c>
      <c r="O45" s="18">
        <f>'[1]Anthro data'!$AS$28</f>
        <v>57942.709429862</v>
      </c>
      <c r="P45" s="18">
        <f t="shared" si="2"/>
        <v>95346.971075681999</v>
      </c>
      <c r="Q45" s="17">
        <f>(Data[[#This Row],[Total_fat_g]]/Data[[#This Row],[Total_mass_g]])*100</f>
        <v>39.229627563239774</v>
      </c>
      <c r="R45" s="17">
        <f>(Data[[#This Row],[Lean_mass_g]]/Data[[#This Row],[Total_mass_g]])*100</f>
        <v>60.770372436760226</v>
      </c>
      <c r="S45" s="17">
        <v>2389.4895569999999</v>
      </c>
      <c r="T45" s="17">
        <v>1.7</v>
      </c>
      <c r="U45" s="17">
        <f>[1]Glucose!$AS$3</f>
        <v>5.6520000000000001</v>
      </c>
      <c r="V45" s="17">
        <f>'[1]Insulin+HOMA'!$AS$3</f>
        <v>12.0875</v>
      </c>
      <c r="W45" s="17">
        <f>(Data[[#This Row],[Glucose (umol/L)]]*Data[[#This Row],[Insulin (umol/L)]])/22.5</f>
        <v>3.0363800000000003</v>
      </c>
      <c r="X45" s="17">
        <f>[1]NEFA!$AS$3</f>
        <v>411.6</v>
      </c>
      <c r="Y45" s="17">
        <f>[1]TAG!$AS$3</f>
        <v>1638.1</v>
      </c>
      <c r="Z45" s="17">
        <f>'[1]3-OHB'!$AS$3</f>
        <v>104.2</v>
      </c>
      <c r="AA45" s="17">
        <f>'[48]Apo B, HDL, Cholesterol, ALT'!$F$6</f>
        <v>5.68</v>
      </c>
      <c r="AB45" s="17">
        <f>'[48]Apo B, HDL, Cholesterol, ALT'!$M$6</f>
        <v>0.94</v>
      </c>
      <c r="AC45" s="17">
        <f>Data[[#This Row],[total_chol (umol/L)]]-Data[[#This Row],[HDL_chol (umol/L)]]</f>
        <v>4.74</v>
      </c>
      <c r="AD45" s="17">
        <f>Data[[#This Row],[Non_HDL (umol/L)]]-(Data[[#This Row],[TAG (umol/L)]]/2200)</f>
        <v>3.9954090909090914</v>
      </c>
      <c r="AE45" s="17">
        <v>870.66292500000009</v>
      </c>
      <c r="AF45" s="50">
        <f>'[28]plasma H2O'!$W$4</f>
        <v>1.9304021209642773E-3</v>
      </c>
      <c r="AG45" s="17">
        <f>[1]DNL_160!$AS$5</f>
        <v>5.7307271711598871</v>
      </c>
      <c r="AH45" s="23">
        <f>(Data[[#This Row],[DNL (%)]]/100)*Data[[#This Row],[VLDL (umol/L)]]</f>
        <v>49.895316812190437</v>
      </c>
      <c r="AI45" s="17">
        <f>[4]SAMPLES!$L$63</f>
        <v>75.74001494755997</v>
      </c>
      <c r="AJ45" s="56">
        <f>(Data[[#This Row],[Gluconeogensis (%)]]/100)*Data[[#This Row],[Glucose (umol/L)]]</f>
        <v>4.2808256448360895</v>
      </c>
    </row>
    <row r="46" spans="1:37" s="15" customFormat="1" ht="14.25" customHeight="1" x14ac:dyDescent="0.25">
      <c r="A46" s="15">
        <v>45</v>
      </c>
      <c r="B46" s="15" t="s">
        <v>358</v>
      </c>
      <c r="C46" s="15" t="s">
        <v>95</v>
      </c>
      <c r="D46" s="15" t="s">
        <v>386</v>
      </c>
      <c r="F46" s="15" t="s">
        <v>228</v>
      </c>
      <c r="G46" s="15">
        <v>37</v>
      </c>
      <c r="H46" s="15">
        <v>190</v>
      </c>
      <c r="I46" s="15">
        <v>96.35</v>
      </c>
      <c r="J46" s="16">
        <f t="shared" si="0"/>
        <v>26.689750692520775</v>
      </c>
      <c r="K46" s="15">
        <v>94</v>
      </c>
      <c r="L46" s="15">
        <v>111</v>
      </c>
      <c r="M46" s="17">
        <f>Data[[#This Row],[Waist_Circumference]]/Data[[#This Row],[Hip_circumference]]</f>
        <v>0.84684684684684686</v>
      </c>
      <c r="N46" s="18">
        <f>'[1]Anthro data'!$AT$27</f>
        <v>21220.093620142001</v>
      </c>
      <c r="O46" s="18">
        <f>'[1]Anthro data'!$AT$28</f>
        <v>72470.967732364006</v>
      </c>
      <c r="P46" s="18">
        <f t="shared" si="2"/>
        <v>93691.061352506003</v>
      </c>
      <c r="Q46" s="17">
        <f>(Data[[#This Row],[Total_fat_g]]/Data[[#This Row],[Total_mass_g]])*100</f>
        <v>22.649005480152368</v>
      </c>
      <c r="R46" s="17">
        <f>(Data[[#This Row],[Lean_mass_g]]/Data[[#This Row],[Total_mass_g]])*100</f>
        <v>77.350994519847632</v>
      </c>
      <c r="S46" s="17">
        <v>713.24954779999996</v>
      </c>
      <c r="T46" s="17">
        <v>2.7</v>
      </c>
      <c r="U46" s="17">
        <f>[1]Glucose!$AT$3</f>
        <v>5.117</v>
      </c>
      <c r="V46" s="17">
        <f>'[1]Insulin+HOMA'!$AT$3</f>
        <v>14.140499999999999</v>
      </c>
      <c r="W46" s="17">
        <f>(Data[[#This Row],[Glucose (umol/L)]]*Data[[#This Row],[Insulin (umol/L)]])/22.5</f>
        <v>3.2158639333333334</v>
      </c>
      <c r="X46" s="17">
        <f>[1]NEFA!$AT$3</f>
        <v>259.39999999999998</v>
      </c>
      <c r="Y46" s="17">
        <f>[1]TAG!$AT$3</f>
        <v>2138.7000000000003</v>
      </c>
      <c r="Z46" s="17">
        <f>'[1]3-OHB'!$AT$3</f>
        <v>63.2</v>
      </c>
      <c r="AA46" s="17">
        <f>'[49]Apo B, HDL, Cholesterol, ALT'!$F$6</f>
        <v>5.31</v>
      </c>
      <c r="AB46" s="17">
        <f>'[49]Apo B, HDL, Cholesterol, ALT'!$M$6</f>
        <v>1.03</v>
      </c>
      <c r="AC46" s="17">
        <f>Data[[#This Row],[total_chol (umol/L)]]-Data[[#This Row],[HDL_chol (umol/L)]]</f>
        <v>4.2799999999999994</v>
      </c>
      <c r="AD46" s="17">
        <f>Data[[#This Row],[Non_HDL (umol/L)]]-(Data[[#This Row],[TAG (umol/L)]]/2200)</f>
        <v>3.3078636363636358</v>
      </c>
      <c r="AE46" s="17">
        <v>1181.0977199999998</v>
      </c>
      <c r="AF46" s="50">
        <f>'[28]plasma H2O'!$X$4</f>
        <v>2.169393146972255E-3</v>
      </c>
      <c r="AG46" s="17">
        <f>[1]DNL_160!$AT$5</f>
        <v>11.938570347184735</v>
      </c>
      <c r="AH46" s="23">
        <f>(Data[[#This Row],[DNL (%)]]/100)*Data[[#This Row],[VLDL (umol/L)]]</f>
        <v>141.00618217119495</v>
      </c>
      <c r="AI46" s="17">
        <f>[4]SAMPLES!$L$64</f>
        <v>68.518289185393272</v>
      </c>
      <c r="AJ46" s="56">
        <f>(Data[[#This Row],[Gluconeogensis (%)]]/100)*Data[[#This Row],[Glucose (umol/L)]]</f>
        <v>3.5060808576165736</v>
      </c>
    </row>
    <row r="47" spans="1:37" s="15" customFormat="1" ht="14.25" customHeight="1" x14ac:dyDescent="0.25">
      <c r="A47" s="7">
        <v>62</v>
      </c>
      <c r="B47" s="7" t="s">
        <v>102</v>
      </c>
      <c r="C47" s="7" t="s">
        <v>103</v>
      </c>
      <c r="D47" s="7"/>
      <c r="E47" s="7"/>
      <c r="F47" s="7" t="s">
        <v>227</v>
      </c>
      <c r="G47" s="7">
        <v>59</v>
      </c>
      <c r="H47" s="7">
        <v>158</v>
      </c>
      <c r="I47" s="7">
        <v>65.599999999999994</v>
      </c>
      <c r="J47" s="8">
        <f t="shared" si="0"/>
        <v>26.277840089729203</v>
      </c>
      <c r="K47" s="7">
        <v>92</v>
      </c>
      <c r="L47" s="7">
        <v>100</v>
      </c>
      <c r="M47" s="9">
        <f>Data[[#This Row],[Waist_Circumference]]/Data[[#This Row],[Hip_circumference]]</f>
        <v>0.92</v>
      </c>
      <c r="N47" s="10">
        <v>24240</v>
      </c>
      <c r="O47" s="10">
        <v>38320</v>
      </c>
      <c r="P47" s="10">
        <f t="shared" si="2"/>
        <v>62560</v>
      </c>
      <c r="Q47" s="9">
        <f>(Data[[#This Row],[Total_fat_g]]/Data[[#This Row],[Total_mass_g]])*100</f>
        <v>38.746803069053712</v>
      </c>
      <c r="R47" s="9">
        <f>(Data[[#This Row],[Lean_mass_g]]/Data[[#This Row],[Total_mass_g]])*100</f>
        <v>61.253196930946295</v>
      </c>
      <c r="S47" s="9"/>
      <c r="T47" s="9">
        <v>6.21</v>
      </c>
      <c r="U47" s="9">
        <v>6.13</v>
      </c>
      <c r="V47" s="9">
        <v>13.25</v>
      </c>
      <c r="W47" s="9">
        <f>(Data[[#This Row],[Glucose (umol/L)]]*Data[[#This Row],[Insulin (umol/L)]])/22.5</f>
        <v>3.6098888888888889</v>
      </c>
      <c r="X47" s="9">
        <v>513.63</v>
      </c>
      <c r="Y47" s="9">
        <v>778.45</v>
      </c>
      <c r="Z47" s="9">
        <v>92.5</v>
      </c>
      <c r="AA47" s="9">
        <v>4.5</v>
      </c>
      <c r="AB47" s="9">
        <v>1.35</v>
      </c>
      <c r="AC47" s="9">
        <f>Data[[#This Row],[total_chol (umol/L)]]-Data[[#This Row],[HDL_chol (umol/L)]]</f>
        <v>3.15</v>
      </c>
      <c r="AD47" s="9">
        <f>Data[[#This Row],[Non_HDL (umol/L)]]-(Data[[#This Row],[TAG (umol/L)]]/2200)</f>
        <v>2.7961590909090908</v>
      </c>
      <c r="AE47" s="9">
        <v>225.53</v>
      </c>
      <c r="AF47" s="51">
        <v>6.1002370496629618E-3</v>
      </c>
      <c r="AG47" s="9">
        <v>4.5045330329051696</v>
      </c>
      <c r="AH47" s="23">
        <f>(Data[[#This Row],[DNL (%)]]/100)*Data[[#This Row],[VLDL (umol/L)]]</f>
        <v>10.159073349111029</v>
      </c>
      <c r="AI47" s="9">
        <f>[4]SAMPLES!$L$23</f>
        <v>31.018093873300582</v>
      </c>
      <c r="AJ47" s="57">
        <f>(Data[[#This Row],[Gluconeogensis (%)]]/100)*Data[[#This Row],[Glucose (umol/L)]]</f>
        <v>1.9014091544333258</v>
      </c>
      <c r="AK47" s="7"/>
    </row>
    <row r="48" spans="1:37" s="15" customFormat="1" ht="14.25" customHeight="1" x14ac:dyDescent="0.25">
      <c r="A48" s="7">
        <v>63</v>
      </c>
      <c r="B48" s="7" t="s">
        <v>99</v>
      </c>
      <c r="C48" s="7" t="s">
        <v>104</v>
      </c>
      <c r="D48" s="7"/>
      <c r="E48" s="7"/>
      <c r="F48" s="7" t="s">
        <v>227</v>
      </c>
      <c r="G48" s="7">
        <v>63</v>
      </c>
      <c r="H48" s="7">
        <v>163</v>
      </c>
      <c r="I48" s="7">
        <v>73.3</v>
      </c>
      <c r="J48" s="8">
        <f t="shared" si="0"/>
        <v>27.588543038879898</v>
      </c>
      <c r="K48" s="7">
        <v>82</v>
      </c>
      <c r="L48" s="7">
        <v>105</v>
      </c>
      <c r="M48" s="9">
        <f>Data[[#This Row],[Waist_Circumference]]/Data[[#This Row],[Hip_circumference]]</f>
        <v>0.78095238095238095</v>
      </c>
      <c r="N48" s="10">
        <v>26730</v>
      </c>
      <c r="O48" s="10">
        <v>43660</v>
      </c>
      <c r="P48" s="10">
        <f t="shared" si="2"/>
        <v>70390</v>
      </c>
      <c r="Q48" s="9">
        <f>(Data[[#This Row],[Total_fat_g]]/Data[[#This Row],[Total_mass_g]])*100</f>
        <v>37.974144054553207</v>
      </c>
      <c r="R48" s="9">
        <f>(Data[[#This Row],[Lean_mass_g]]/Data[[#This Row],[Total_mass_g]])*100</f>
        <v>62.025855945446793</v>
      </c>
      <c r="S48" s="9"/>
      <c r="T48" s="9">
        <v>0.68</v>
      </c>
      <c r="U48" s="9">
        <v>5.2</v>
      </c>
      <c r="V48" s="9">
        <v>11.94</v>
      </c>
      <c r="W48" s="9">
        <f>(Data[[#This Row],[Glucose (umol/L)]]*Data[[#This Row],[Insulin (umol/L)]])/22.5</f>
        <v>2.7594666666666665</v>
      </c>
      <c r="X48" s="9">
        <v>446.56</v>
      </c>
      <c r="Y48" s="9">
        <v>452.25</v>
      </c>
      <c r="Z48" s="9">
        <v>58.85</v>
      </c>
      <c r="AA48" s="9">
        <v>5.6</v>
      </c>
      <c r="AB48" s="9">
        <v>2.0299999999999998</v>
      </c>
      <c r="AC48" s="9">
        <f>Data[[#This Row],[total_chol (umol/L)]]-Data[[#This Row],[HDL_chol (umol/L)]]</f>
        <v>3.57</v>
      </c>
      <c r="AD48" s="9">
        <f>Data[[#This Row],[Non_HDL (umol/L)]]-(Data[[#This Row],[TAG (umol/L)]]/2200)</f>
        <v>3.364431818181818</v>
      </c>
      <c r="AE48" s="9">
        <v>89.53</v>
      </c>
      <c r="AF48" s="51">
        <v>4.6499762041988628E-3</v>
      </c>
      <c r="AG48" s="9">
        <v>5.0937719322015091</v>
      </c>
      <c r="AH48" s="23">
        <f>(Data[[#This Row],[DNL (%)]]/100)*Data[[#This Row],[VLDL (umol/L)]]</f>
        <v>4.5604540109000116</v>
      </c>
      <c r="AI48" s="9">
        <f>[4]SAMPLES!$L$24</f>
        <v>11.486768072295387</v>
      </c>
      <c r="AJ48" s="57">
        <f>(Data[[#This Row],[Gluconeogensis (%)]]/100)*Data[[#This Row],[Glucose (umol/L)]]</f>
        <v>0.59731193975936014</v>
      </c>
      <c r="AK48" s="7"/>
    </row>
    <row r="49" spans="1:37" s="15" customFormat="1" ht="14.25" customHeight="1" x14ac:dyDescent="0.25">
      <c r="A49" s="7">
        <v>64</v>
      </c>
      <c r="B49" s="7" t="s">
        <v>105</v>
      </c>
      <c r="C49" s="7" t="s">
        <v>106</v>
      </c>
      <c r="D49" s="7"/>
      <c r="E49" s="7"/>
      <c r="F49" s="7" t="s">
        <v>227</v>
      </c>
      <c r="G49" s="7">
        <v>45</v>
      </c>
      <c r="H49" s="7">
        <v>163</v>
      </c>
      <c r="I49" s="7">
        <v>60.2</v>
      </c>
      <c r="J49" s="8">
        <f t="shared" si="0"/>
        <v>22.657984869584858</v>
      </c>
      <c r="K49" s="7">
        <v>80</v>
      </c>
      <c r="L49" s="7">
        <v>92</v>
      </c>
      <c r="M49" s="9">
        <f>Data[[#This Row],[Waist_Circumference]]/Data[[#This Row],[Hip_circumference]]</f>
        <v>0.86956521739130432</v>
      </c>
      <c r="N49" s="10">
        <v>20770</v>
      </c>
      <c r="O49" s="10">
        <v>34640</v>
      </c>
      <c r="P49" s="10">
        <f t="shared" si="2"/>
        <v>55410</v>
      </c>
      <c r="Q49" s="9">
        <f>(Data[[#This Row],[Total_fat_g]]/Data[[#This Row],[Total_mass_g]])*100</f>
        <v>37.484208626601692</v>
      </c>
      <c r="R49" s="9">
        <f>(Data[[#This Row],[Lean_mass_g]]/Data[[#This Row],[Total_mass_g]])*100</f>
        <v>62.515791373398301</v>
      </c>
      <c r="S49" s="9">
        <v>492</v>
      </c>
      <c r="T49" s="9">
        <v>0.82</v>
      </c>
      <c r="U49" s="9">
        <v>5.28</v>
      </c>
      <c r="V49" s="9">
        <v>13.6</v>
      </c>
      <c r="W49" s="9">
        <f>(Data[[#This Row],[Glucose (umol/L)]]*Data[[#This Row],[Insulin (umol/L)]])/22.5</f>
        <v>3.1914666666666669</v>
      </c>
      <c r="X49" s="9">
        <v>451.59</v>
      </c>
      <c r="Y49" s="9">
        <v>1299.45</v>
      </c>
      <c r="Z49" s="9">
        <v>113.9</v>
      </c>
      <c r="AA49" s="9">
        <v>4.7</v>
      </c>
      <c r="AB49" s="9">
        <v>0.63</v>
      </c>
      <c r="AC49" s="9">
        <f>Data[[#This Row],[total_chol (umol/L)]]-Data[[#This Row],[HDL_chol (umol/L)]]</f>
        <v>4.07</v>
      </c>
      <c r="AD49" s="9">
        <f>Data[[#This Row],[Non_HDL (umol/L)]]-(Data[[#This Row],[TAG (umol/L)]]/2200)</f>
        <v>3.4793409090909093</v>
      </c>
      <c r="AE49" s="9">
        <v>569.89</v>
      </c>
      <c r="AF49" s="51">
        <v>4.8525991491632243E-3</v>
      </c>
      <c r="AG49" s="9">
        <v>6.1298125760839328</v>
      </c>
      <c r="AH49" s="23">
        <f>(Data[[#This Row],[DNL (%)]]/100)*Data[[#This Row],[VLDL (umol/L)]]</f>
        <v>34.933188889844729</v>
      </c>
      <c r="AI49" s="9">
        <f>[4]SAMPLES!$L$25</f>
        <v>22.313585695633837</v>
      </c>
      <c r="AJ49" s="57">
        <f>(Data[[#This Row],[Gluconeogensis (%)]]/100)*Data[[#This Row],[Glucose (umol/L)]]</f>
        <v>1.1781573247294665</v>
      </c>
      <c r="AK49" s="7"/>
    </row>
    <row r="50" spans="1:37" s="15" customFormat="1" ht="14.25" customHeight="1" x14ac:dyDescent="0.25">
      <c r="A50" s="7">
        <v>65</v>
      </c>
      <c r="B50" s="7" t="s">
        <v>107</v>
      </c>
      <c r="C50" s="7" t="s">
        <v>108</v>
      </c>
      <c r="D50" s="7"/>
      <c r="E50" s="7"/>
      <c r="F50" s="7" t="s">
        <v>227</v>
      </c>
      <c r="G50" s="7">
        <v>58</v>
      </c>
      <c r="H50" s="7">
        <v>157</v>
      </c>
      <c r="I50" s="7">
        <v>57.8</v>
      </c>
      <c r="J50" s="8">
        <f t="shared" si="0"/>
        <v>23.449227149174408</v>
      </c>
      <c r="K50" s="7">
        <v>74</v>
      </c>
      <c r="L50" s="7">
        <v>87</v>
      </c>
      <c r="M50" s="9">
        <f>Data[[#This Row],[Waist_Circumference]]/Data[[#This Row],[Hip_circumference]]</f>
        <v>0.85057471264367812</v>
      </c>
      <c r="N50" s="10">
        <v>17040</v>
      </c>
      <c r="O50" s="10">
        <v>39410</v>
      </c>
      <c r="P50" s="10">
        <f t="shared" si="2"/>
        <v>56450</v>
      </c>
      <c r="Q50" s="9">
        <f>(Data[[#This Row],[Total_fat_g]]/Data[[#This Row],[Total_mass_g]])*100</f>
        <v>30.186005314437551</v>
      </c>
      <c r="R50" s="9">
        <f>(Data[[#This Row],[Lean_mass_g]]/Data[[#This Row],[Total_mass_g]])*100</f>
        <v>69.813994685562449</v>
      </c>
      <c r="S50" s="9">
        <v>61</v>
      </c>
      <c r="T50" s="9">
        <v>0.53</v>
      </c>
      <c r="U50" s="9">
        <v>4.93</v>
      </c>
      <c r="V50" s="9">
        <v>11.7</v>
      </c>
      <c r="W50" s="9">
        <f>(Data[[#This Row],[Glucose (umol/L)]]*Data[[#This Row],[Insulin (umol/L)]])/22.5</f>
        <v>2.5635999999999997</v>
      </c>
      <c r="X50" s="9">
        <v>582.1</v>
      </c>
      <c r="Y50" s="9">
        <v>520.95000000000005</v>
      </c>
      <c r="Z50" s="9">
        <v>71.400000000000006</v>
      </c>
      <c r="AA50" s="9">
        <v>6</v>
      </c>
      <c r="AB50" s="9">
        <v>2.2200000000000002</v>
      </c>
      <c r="AC50" s="9">
        <f>Data[[#This Row],[total_chol (umol/L)]]-Data[[#This Row],[HDL_chol (umol/L)]]</f>
        <v>3.78</v>
      </c>
      <c r="AD50" s="9">
        <f>Data[[#This Row],[Non_HDL (umol/L)]]-(Data[[#This Row],[TAG (umol/L)]]/2200)</f>
        <v>3.5432045454545453</v>
      </c>
      <c r="AE50" s="9">
        <v>114.69</v>
      </c>
      <c r="AF50" s="51">
        <v>4.3623716603482764E-3</v>
      </c>
      <c r="AG50" s="9">
        <v>3.1314084947989143</v>
      </c>
      <c r="AH50" s="23">
        <f>(Data[[#This Row],[DNL (%)]]/100)*Data[[#This Row],[VLDL (umol/L)]]</f>
        <v>3.5914124026848748</v>
      </c>
      <c r="AI50" s="9">
        <f>[4]SAMPLES!$L$26</f>
        <v>9.3453372234787757</v>
      </c>
      <c r="AJ50" s="57">
        <f>(Data[[#This Row],[Gluconeogensis (%)]]/100)*Data[[#This Row],[Glucose (umol/L)]]</f>
        <v>0.46072512511750358</v>
      </c>
      <c r="AK50" s="7"/>
    </row>
    <row r="51" spans="1:37" s="15" customFormat="1" ht="14.25" customHeight="1" x14ac:dyDescent="0.25">
      <c r="A51" s="7">
        <v>66</v>
      </c>
      <c r="B51" s="7" t="s">
        <v>109</v>
      </c>
      <c r="C51" s="7" t="s">
        <v>110</v>
      </c>
      <c r="D51" s="7"/>
      <c r="E51" s="7"/>
      <c r="F51" s="7" t="s">
        <v>227</v>
      </c>
      <c r="G51" s="7">
        <v>42</v>
      </c>
      <c r="H51" s="7">
        <v>170</v>
      </c>
      <c r="I51" s="7">
        <v>65.7</v>
      </c>
      <c r="J51" s="8">
        <f t="shared" si="0"/>
        <v>22.733564013840834</v>
      </c>
      <c r="K51" s="7">
        <v>81</v>
      </c>
      <c r="L51" s="7">
        <v>101</v>
      </c>
      <c r="M51" s="9">
        <f>Data[[#This Row],[Waist_Circumference]]/Data[[#This Row],[Hip_circumference]]</f>
        <v>0.80198019801980203</v>
      </c>
      <c r="N51" s="10">
        <v>19400</v>
      </c>
      <c r="O51" s="10">
        <v>43060</v>
      </c>
      <c r="P51" s="10">
        <f t="shared" si="2"/>
        <v>62460</v>
      </c>
      <c r="Q51" s="9">
        <f>(Data[[#This Row],[Total_fat_g]]/Data[[#This Row],[Total_mass_g]])*100</f>
        <v>31.05987832212616</v>
      </c>
      <c r="R51" s="9">
        <f>(Data[[#This Row],[Lean_mass_g]]/Data[[#This Row],[Total_mass_g]])*100</f>
        <v>68.940121677873847</v>
      </c>
      <c r="S51" s="9">
        <v>191</v>
      </c>
      <c r="T51" s="9">
        <v>1.27</v>
      </c>
      <c r="U51" s="9">
        <v>4.74</v>
      </c>
      <c r="V51" s="9">
        <v>11.1</v>
      </c>
      <c r="W51" s="9">
        <f>(Data[[#This Row],[Glucose (umol/L)]]*Data[[#This Row],[Insulin (umol/L)]])/22.5</f>
        <v>2.3384</v>
      </c>
      <c r="X51" s="9">
        <v>720.33</v>
      </c>
      <c r="Y51" s="9">
        <v>493.1</v>
      </c>
      <c r="Z51" s="9">
        <v>86.6</v>
      </c>
      <c r="AA51" s="9">
        <v>5.5</v>
      </c>
      <c r="AB51" s="9">
        <v>1.76</v>
      </c>
      <c r="AC51" s="9">
        <f>Data[[#This Row],[total_chol (umol/L)]]-Data[[#This Row],[HDL_chol (umol/L)]]</f>
        <v>3.74</v>
      </c>
      <c r="AD51" s="9">
        <f>Data[[#This Row],[Non_HDL (umol/L)]]-(Data[[#This Row],[TAG (umol/L)]]/2200)</f>
        <v>3.5158636363636364</v>
      </c>
      <c r="AE51" s="9">
        <v>76.73</v>
      </c>
      <c r="AF51" s="51">
        <v>3.7003429861167197E-3</v>
      </c>
      <c r="AG51" s="9">
        <v>5.757408413193196</v>
      </c>
      <c r="AH51" s="23">
        <f>(Data[[#This Row],[DNL (%)]]/100)*Data[[#This Row],[VLDL (umol/L)]]</f>
        <v>4.4176594754431395</v>
      </c>
      <c r="AI51" s="9">
        <f>[4]SAMPLES!$L$27</f>
        <v>15.452422744157248</v>
      </c>
      <c r="AJ51" s="57">
        <f>(Data[[#This Row],[Gluconeogensis (%)]]/100)*Data[[#This Row],[Glucose (umol/L)]]</f>
        <v>0.73244483807305361</v>
      </c>
      <c r="AK51" s="7"/>
    </row>
    <row r="52" spans="1:37" s="15" customFormat="1" ht="14.25" customHeight="1" x14ac:dyDescent="0.25">
      <c r="A52" s="7">
        <v>67</v>
      </c>
      <c r="B52" s="7" t="s">
        <v>111</v>
      </c>
      <c r="C52" s="7" t="s">
        <v>112</v>
      </c>
      <c r="D52" s="7"/>
      <c r="E52" s="7"/>
      <c r="F52" s="7" t="s">
        <v>227</v>
      </c>
      <c r="G52" s="7">
        <v>42</v>
      </c>
      <c r="H52" s="7">
        <v>161</v>
      </c>
      <c r="I52" s="7">
        <v>61.4</v>
      </c>
      <c r="J52" s="8">
        <f t="shared" si="0"/>
        <v>23.687357740827895</v>
      </c>
      <c r="K52" s="7">
        <v>76</v>
      </c>
      <c r="L52" s="7">
        <v>96</v>
      </c>
      <c r="M52" s="9">
        <f>Data[[#This Row],[Waist_Circumference]]/Data[[#This Row],[Hip_circumference]]</f>
        <v>0.79166666666666663</v>
      </c>
      <c r="N52" s="10">
        <v>20440</v>
      </c>
      <c r="O52" s="10">
        <v>37400</v>
      </c>
      <c r="P52" s="10">
        <f t="shared" si="2"/>
        <v>57840</v>
      </c>
      <c r="Q52" s="9">
        <f>(Data[[#This Row],[Total_fat_g]]/Data[[#This Row],[Total_mass_g]])*100</f>
        <v>35.33886583679115</v>
      </c>
      <c r="R52" s="9">
        <f>(Data[[#This Row],[Lean_mass_g]]/Data[[#This Row],[Total_mass_g]])*100</f>
        <v>64.661134163208857</v>
      </c>
      <c r="S52" s="9"/>
      <c r="T52" s="9">
        <v>0.25</v>
      </c>
      <c r="U52" s="9">
        <v>4.49</v>
      </c>
      <c r="V52" s="9">
        <v>11.41</v>
      </c>
      <c r="W52" s="9">
        <f>(Data[[#This Row],[Glucose (umol/L)]]*Data[[#This Row],[Insulin (umol/L)]])/22.5</f>
        <v>2.276928888888889</v>
      </c>
      <c r="X52" s="9">
        <v>619.79999999999995</v>
      </c>
      <c r="Y52" s="9">
        <v>507.75</v>
      </c>
      <c r="Z52" s="9">
        <v>80.45</v>
      </c>
      <c r="AA52" s="9">
        <v>4</v>
      </c>
      <c r="AB52" s="9">
        <v>1.82</v>
      </c>
      <c r="AC52" s="9">
        <f>Data[[#This Row],[total_chol (umol/L)]]-Data[[#This Row],[HDL_chol (umol/L)]]</f>
        <v>2.1799999999999997</v>
      </c>
      <c r="AD52" s="9">
        <f>Data[[#This Row],[Non_HDL (umol/L)]]-(Data[[#This Row],[TAG (umol/L)]]/2200)</f>
        <v>1.9492045454545452</v>
      </c>
      <c r="AE52" s="9">
        <v>106.12</v>
      </c>
      <c r="AF52" s="51">
        <v>5.066166072970048E-3</v>
      </c>
      <c r="AG52" s="9">
        <v>4.8586021687719469</v>
      </c>
      <c r="AH52" s="23">
        <f>(Data[[#This Row],[DNL (%)]]/100)*Data[[#This Row],[VLDL (umol/L)]]</f>
        <v>5.1559486215007908</v>
      </c>
      <c r="AI52" s="9">
        <f>[4]SAMPLES!$L$28</f>
        <v>19.847583277295865</v>
      </c>
      <c r="AJ52" s="57">
        <f>(Data[[#This Row],[Gluconeogensis (%)]]/100)*Data[[#This Row],[Glucose (umol/L)]]</f>
        <v>0.89115648915058443</v>
      </c>
      <c r="AK52" s="7"/>
    </row>
    <row r="53" spans="1:37" s="15" customFormat="1" ht="14.25" customHeight="1" x14ac:dyDescent="0.25">
      <c r="A53" s="7">
        <v>68</v>
      </c>
      <c r="B53" s="7" t="s">
        <v>113</v>
      </c>
      <c r="C53" s="7" t="s">
        <v>114</v>
      </c>
      <c r="D53" s="7"/>
      <c r="E53" s="7"/>
      <c r="F53" s="7" t="s">
        <v>227</v>
      </c>
      <c r="G53" s="7">
        <v>56</v>
      </c>
      <c r="H53" s="7">
        <v>157</v>
      </c>
      <c r="I53" s="7">
        <v>65.3</v>
      </c>
      <c r="J53" s="8">
        <f t="shared" si="0"/>
        <v>26.491946934966933</v>
      </c>
      <c r="K53" s="7">
        <v>86</v>
      </c>
      <c r="L53" s="7">
        <v>101</v>
      </c>
      <c r="M53" s="9">
        <f>Data[[#This Row],[Waist_Circumference]]/Data[[#This Row],[Hip_circumference]]</f>
        <v>0.85148514851485146</v>
      </c>
      <c r="N53" s="10">
        <v>23460</v>
      </c>
      <c r="O53" s="10">
        <v>38390</v>
      </c>
      <c r="P53" s="10">
        <f t="shared" si="2"/>
        <v>61850</v>
      </c>
      <c r="Q53" s="9">
        <f>(Data[[#This Row],[Total_fat_g]]/Data[[#This Row],[Total_mass_g]])*100</f>
        <v>37.930476960388035</v>
      </c>
      <c r="R53" s="9">
        <f>(Data[[#This Row],[Lean_mass_g]]/Data[[#This Row],[Total_mass_g]])*100</f>
        <v>62.069523039611965</v>
      </c>
      <c r="S53" s="9"/>
      <c r="T53" s="9">
        <v>0.46</v>
      </c>
      <c r="U53" s="9">
        <v>4.78</v>
      </c>
      <c r="V53" s="9">
        <v>9.93</v>
      </c>
      <c r="W53" s="9">
        <f>(Data[[#This Row],[Glucose (umol/L)]]*Data[[#This Row],[Insulin (umol/L)]])/22.5</f>
        <v>2.1095733333333335</v>
      </c>
      <c r="X53" s="9">
        <v>702.04</v>
      </c>
      <c r="Y53" s="9">
        <v>664.55</v>
      </c>
      <c r="Z53" s="9">
        <v>77.55</v>
      </c>
      <c r="AA53" s="9">
        <v>5.4</v>
      </c>
      <c r="AB53" s="9">
        <v>1.63</v>
      </c>
      <c r="AC53" s="9">
        <f>Data[[#This Row],[total_chol (umol/L)]]-Data[[#This Row],[HDL_chol (umol/L)]]</f>
        <v>3.7700000000000005</v>
      </c>
      <c r="AD53" s="9">
        <f>Data[[#This Row],[Non_HDL (umol/L)]]-(Data[[#This Row],[TAG (umol/L)]]/2200)</f>
        <v>3.4679318181818188</v>
      </c>
      <c r="AE53" s="9">
        <v>162.26</v>
      </c>
      <c r="AF53" s="51">
        <v>5.4769570922502502E-3</v>
      </c>
      <c r="AG53" s="9">
        <v>11.257818962018103</v>
      </c>
      <c r="AH53" s="23">
        <f>(Data[[#This Row],[DNL (%)]]/100)*Data[[#This Row],[VLDL (umol/L)]]</f>
        <v>18.266937047770572</v>
      </c>
      <c r="AI53" s="9">
        <f>[4]SAMPLES!$L$29</f>
        <v>59.717984556117507</v>
      </c>
      <c r="AJ53" s="57">
        <f>(Data[[#This Row],[Gluconeogensis (%)]]/100)*Data[[#This Row],[Glucose (umol/L)]]</f>
        <v>2.8545196617824171</v>
      </c>
      <c r="AK53" s="7"/>
    </row>
    <row r="54" spans="1:37" s="15" customFormat="1" ht="14.25" customHeight="1" x14ac:dyDescent="0.25">
      <c r="A54" s="7">
        <v>69</v>
      </c>
      <c r="B54" s="7" t="s">
        <v>115</v>
      </c>
      <c r="C54" s="7" t="s">
        <v>116</v>
      </c>
      <c r="D54" s="7"/>
      <c r="E54" s="7"/>
      <c r="F54" s="7" t="s">
        <v>227</v>
      </c>
      <c r="G54" s="7">
        <v>56</v>
      </c>
      <c r="H54" s="7">
        <v>168.5</v>
      </c>
      <c r="I54" s="7">
        <v>72.5</v>
      </c>
      <c r="J54" s="8">
        <f t="shared" si="0"/>
        <v>25.535137229349555</v>
      </c>
      <c r="K54" s="7">
        <v>92</v>
      </c>
      <c r="L54" s="7">
        <v>99</v>
      </c>
      <c r="M54" s="9">
        <f>Data[[#This Row],[Waist_Circumference]]/Data[[#This Row],[Hip_circumference]]</f>
        <v>0.92929292929292928</v>
      </c>
      <c r="N54" s="10">
        <v>24910</v>
      </c>
      <c r="O54" s="10">
        <v>45970</v>
      </c>
      <c r="P54" s="10">
        <f t="shared" si="2"/>
        <v>70880</v>
      </c>
      <c r="Q54" s="9">
        <f>(Data[[#This Row],[Total_fat_g]]/Data[[#This Row],[Total_mass_g]])*100</f>
        <v>35.143905191873586</v>
      </c>
      <c r="R54" s="9">
        <f>(Data[[#This Row],[Lean_mass_g]]/Data[[#This Row],[Total_mass_g]])*100</f>
        <v>64.856094808126414</v>
      </c>
      <c r="S54" s="9"/>
      <c r="T54" s="9">
        <v>6.79</v>
      </c>
      <c r="U54" s="9">
        <v>5.1100000000000003</v>
      </c>
      <c r="V54" s="9">
        <v>10.52</v>
      </c>
      <c r="W54" s="9">
        <f>(Data[[#This Row],[Glucose (umol/L)]]*Data[[#This Row],[Insulin (umol/L)]])/22.5</f>
        <v>2.3892088888888892</v>
      </c>
      <c r="X54" s="9">
        <v>542.27</v>
      </c>
      <c r="Y54" s="9">
        <v>2481.4</v>
      </c>
      <c r="Z54" s="9">
        <v>26</v>
      </c>
      <c r="AA54" s="9">
        <v>7.9</v>
      </c>
      <c r="AB54" s="9">
        <v>1.25</v>
      </c>
      <c r="AC54" s="9">
        <f>Data[[#This Row],[total_chol (umol/L)]]-Data[[#This Row],[HDL_chol (umol/L)]]</f>
        <v>6.65</v>
      </c>
      <c r="AD54" s="9">
        <f>Data[[#This Row],[Non_HDL (umol/L)]]-(Data[[#This Row],[TAG (umol/L)]]/2200)</f>
        <v>5.5220909090909096</v>
      </c>
      <c r="AE54" s="9">
        <v>1090.27</v>
      </c>
      <c r="AF54" s="51">
        <v>4.9563384427968246E-3</v>
      </c>
      <c r="AG54" s="9">
        <v>19.060798022935053</v>
      </c>
      <c r="AH54" s="23">
        <f>(Data[[#This Row],[DNL (%)]]/100)*Data[[#This Row],[VLDL (umol/L)]]</f>
        <v>207.814162604654</v>
      </c>
      <c r="AI54" s="9">
        <f>[4]SAMPLES!$L$30</f>
        <v>46.002866972534925</v>
      </c>
      <c r="AJ54" s="57">
        <f>(Data[[#This Row],[Gluconeogensis (%)]]/100)*Data[[#This Row],[Glucose (umol/L)]]</f>
        <v>2.3507465022965346</v>
      </c>
      <c r="AK54" s="7"/>
    </row>
    <row r="55" spans="1:37" s="15" customFormat="1" ht="14.25" customHeight="1" x14ac:dyDescent="0.25">
      <c r="A55" s="7">
        <v>70</v>
      </c>
      <c r="B55" s="7" t="s">
        <v>117</v>
      </c>
      <c r="C55" s="7" t="s">
        <v>118</v>
      </c>
      <c r="D55" s="7"/>
      <c r="E55" s="7"/>
      <c r="F55" s="7" t="s">
        <v>227</v>
      </c>
      <c r="G55" s="7">
        <v>45</v>
      </c>
      <c r="H55" s="7">
        <v>165</v>
      </c>
      <c r="I55" s="7">
        <v>68.099999999999994</v>
      </c>
      <c r="J55" s="8">
        <f t="shared" si="0"/>
        <v>25.013774104683197</v>
      </c>
      <c r="K55" s="7">
        <v>78</v>
      </c>
      <c r="L55" s="7">
        <v>102</v>
      </c>
      <c r="M55" s="9">
        <f>Data[[#This Row],[Waist_Circumference]]/Data[[#This Row],[Hip_circumference]]</f>
        <v>0.76470588235294112</v>
      </c>
      <c r="N55" s="10">
        <v>25680</v>
      </c>
      <c r="O55" s="10">
        <v>42310</v>
      </c>
      <c r="P55" s="10">
        <f t="shared" si="2"/>
        <v>67990</v>
      </c>
      <c r="Q55" s="9">
        <f>(Data[[#This Row],[Total_fat_g]]/Data[[#This Row],[Total_mass_g]])*100</f>
        <v>37.770260332401826</v>
      </c>
      <c r="R55" s="9">
        <f>(Data[[#This Row],[Lean_mass_g]]/Data[[#This Row],[Total_mass_g]])*100</f>
        <v>62.229739667598174</v>
      </c>
      <c r="S55" s="9">
        <v>92</v>
      </c>
      <c r="T55" s="9">
        <v>0.67</v>
      </c>
      <c r="U55" s="9">
        <v>4.71</v>
      </c>
      <c r="V55" s="9">
        <v>9.23</v>
      </c>
      <c r="W55" s="9">
        <f>(Data[[#This Row],[Glucose (umol/L)]]*Data[[#This Row],[Insulin (umol/L)]])/22.5</f>
        <v>1.9321466666666667</v>
      </c>
      <c r="X55" s="9">
        <v>1074.24</v>
      </c>
      <c r="Y55" s="9">
        <v>482</v>
      </c>
      <c r="Z55" s="9">
        <v>140.6</v>
      </c>
      <c r="AA55" s="9">
        <v>4.7</v>
      </c>
      <c r="AB55" s="9">
        <v>2.48</v>
      </c>
      <c r="AC55" s="9">
        <f>Data[[#This Row],[total_chol (umol/L)]]-Data[[#This Row],[HDL_chol (umol/L)]]</f>
        <v>2.2200000000000002</v>
      </c>
      <c r="AD55" s="9">
        <f>Data[[#This Row],[Non_HDL (umol/L)]]-(Data[[#This Row],[TAG (umol/L)]]/2200)</f>
        <v>2.000909090909091</v>
      </c>
      <c r="AE55" s="9">
        <v>98.29</v>
      </c>
      <c r="AF55" s="51">
        <v>4.7274264396296676E-3</v>
      </c>
      <c r="AG55" s="9">
        <v>8.0827327679754699</v>
      </c>
      <c r="AH55" s="23">
        <f>(Data[[#This Row],[DNL (%)]]/100)*Data[[#This Row],[VLDL (umol/L)]]</f>
        <v>7.9445180376430899</v>
      </c>
      <c r="AI55" s="9">
        <f>[4]SAMPLES!$L$31</f>
        <v>37.48508346708784</v>
      </c>
      <c r="AJ55" s="57">
        <f>(Data[[#This Row],[Gluconeogensis (%)]]/100)*Data[[#This Row],[Glucose (umol/L)]]</f>
        <v>1.7655474312998372</v>
      </c>
      <c r="AK55" s="7"/>
    </row>
    <row r="56" spans="1:37" s="15" customFormat="1" ht="14.25" customHeight="1" x14ac:dyDescent="0.25">
      <c r="A56" s="7">
        <v>71</v>
      </c>
      <c r="B56" s="7" t="s">
        <v>101</v>
      </c>
      <c r="C56" s="7" t="s">
        <v>119</v>
      </c>
      <c r="D56" s="7"/>
      <c r="E56" s="7"/>
      <c r="F56" s="7" t="s">
        <v>227</v>
      </c>
      <c r="G56" s="7">
        <v>59</v>
      </c>
      <c r="H56" s="7">
        <v>150.5</v>
      </c>
      <c r="I56" s="7">
        <v>58.8</v>
      </c>
      <c r="J56" s="8">
        <f t="shared" si="0"/>
        <v>25.959978366684698</v>
      </c>
      <c r="K56" s="7">
        <v>76</v>
      </c>
      <c r="L56" s="7">
        <v>98</v>
      </c>
      <c r="M56" s="9">
        <f>Data[[#This Row],[Waist_Circumference]]/Data[[#This Row],[Hip_circumference]]</f>
        <v>0.77551020408163263</v>
      </c>
      <c r="N56" s="10">
        <v>21620</v>
      </c>
      <c r="O56" s="10">
        <v>34880</v>
      </c>
      <c r="P56" s="10">
        <f t="shared" si="2"/>
        <v>56500</v>
      </c>
      <c r="Q56" s="9">
        <f>(Data[[#This Row],[Total_fat_g]]/Data[[#This Row],[Total_mass_g]])*100</f>
        <v>38.265486725663713</v>
      </c>
      <c r="R56" s="9">
        <f>(Data[[#This Row],[Lean_mass_g]]/Data[[#This Row],[Total_mass_g]])*100</f>
        <v>61.73451327433628</v>
      </c>
      <c r="S56" s="9"/>
      <c r="T56" s="9">
        <v>1.63</v>
      </c>
      <c r="U56" s="9">
        <v>4.5</v>
      </c>
      <c r="V56" s="9">
        <v>10.38</v>
      </c>
      <c r="W56" s="9">
        <f>(Data[[#This Row],[Glucose (umol/L)]]*Data[[#This Row],[Insulin (umol/L)]])/22.5</f>
        <v>2.0760000000000001</v>
      </c>
      <c r="X56" s="9">
        <v>708.23</v>
      </c>
      <c r="Y56" s="9">
        <v>545.1</v>
      </c>
      <c r="Z56" s="9">
        <v>55.7</v>
      </c>
      <c r="AA56" s="9">
        <v>5.4</v>
      </c>
      <c r="AB56" s="9">
        <v>1.96</v>
      </c>
      <c r="AC56" s="9">
        <f>Data[[#This Row],[total_chol (umol/L)]]-Data[[#This Row],[HDL_chol (umol/L)]]</f>
        <v>3.4400000000000004</v>
      </c>
      <c r="AD56" s="9">
        <f>Data[[#This Row],[Non_HDL (umol/L)]]-(Data[[#This Row],[TAG (umol/L)]]/2200)</f>
        <v>3.1922272727272731</v>
      </c>
      <c r="AE56" s="9">
        <v>82.36</v>
      </c>
      <c r="AF56" s="51">
        <v>5.0014823504457833E-3</v>
      </c>
      <c r="AG56" s="9">
        <v>3.2961069686543563</v>
      </c>
      <c r="AH56" s="23">
        <f>(Data[[#This Row],[DNL (%)]]/100)*Data[[#This Row],[VLDL (umol/L)]]</f>
        <v>2.7146736993837277</v>
      </c>
      <c r="AI56" s="9">
        <f>[4]SAMPLES!$L$32</f>
        <v>38.826755464470445</v>
      </c>
      <c r="AJ56" s="57">
        <f>(Data[[#This Row],[Gluconeogensis (%)]]/100)*Data[[#This Row],[Glucose (umol/L)]]</f>
        <v>1.74720399590117</v>
      </c>
      <c r="AK56" s="7"/>
    </row>
    <row r="57" spans="1:37" s="15" customFormat="1" ht="14.25" customHeight="1" x14ac:dyDescent="0.25">
      <c r="A57" s="7">
        <v>72</v>
      </c>
      <c r="B57" s="7" t="s">
        <v>120</v>
      </c>
      <c r="C57" s="7" t="s">
        <v>121</v>
      </c>
      <c r="D57" s="7"/>
      <c r="E57" s="7"/>
      <c r="F57" s="7" t="s">
        <v>227</v>
      </c>
      <c r="G57" s="7">
        <v>38</v>
      </c>
      <c r="H57" s="7">
        <v>162</v>
      </c>
      <c r="I57" s="7">
        <v>86.5</v>
      </c>
      <c r="J57" s="8">
        <f t="shared" si="0"/>
        <v>32.95991464715744</v>
      </c>
      <c r="K57" s="7">
        <v>97</v>
      </c>
      <c r="L57" s="7">
        <v>101</v>
      </c>
      <c r="M57" s="9">
        <f>Data[[#This Row],[Waist_Circumference]]/Data[[#This Row],[Hip_circumference]]</f>
        <v>0.96039603960396036</v>
      </c>
      <c r="N57" s="10">
        <v>34530</v>
      </c>
      <c r="O57" s="10">
        <v>43870</v>
      </c>
      <c r="P57" s="10">
        <f t="shared" si="2"/>
        <v>78400</v>
      </c>
      <c r="Q57" s="9">
        <f>(Data[[#This Row],[Total_fat_g]]/Data[[#This Row],[Total_mass_g]])*100</f>
        <v>44.04336734693878</v>
      </c>
      <c r="R57" s="9">
        <f>(Data[[#This Row],[Lean_mass_g]]/Data[[#This Row],[Total_mass_g]])*100</f>
        <v>55.95663265306122</v>
      </c>
      <c r="S57" s="9"/>
      <c r="T57" s="9">
        <v>1.86</v>
      </c>
      <c r="U57" s="9">
        <v>5.0599999999999996</v>
      </c>
      <c r="V57" s="9">
        <v>13.39</v>
      </c>
      <c r="W57" s="9">
        <f>(Data[[#This Row],[Glucose (umol/L)]]*Data[[#This Row],[Insulin (umol/L)]])/22.5</f>
        <v>3.0112622222222223</v>
      </c>
      <c r="X57" s="9">
        <v>873.99</v>
      </c>
      <c r="Y57" s="9">
        <v>822.35</v>
      </c>
      <c r="Z57" s="9">
        <v>42.15</v>
      </c>
      <c r="AA57" s="9">
        <v>4.8</v>
      </c>
      <c r="AB57" s="9">
        <v>1.38</v>
      </c>
      <c r="AC57" s="9">
        <f>Data[[#This Row],[total_chol (umol/L)]]-Data[[#This Row],[HDL_chol (umol/L)]]</f>
        <v>3.42</v>
      </c>
      <c r="AD57" s="9">
        <f>Data[[#This Row],[Non_HDL (umol/L)]]-(Data[[#This Row],[TAG (umol/L)]]/2200)</f>
        <v>3.0462045454545454</v>
      </c>
      <c r="AE57" s="9">
        <v>210.62</v>
      </c>
      <c r="AF57" s="51">
        <v>5.5173085534148732E-3</v>
      </c>
      <c r="AG57" s="9">
        <v>13.424200957780711</v>
      </c>
      <c r="AH57" s="23">
        <f>(Data[[#This Row],[DNL (%)]]/100)*Data[[#This Row],[VLDL (umol/L)]]</f>
        <v>28.274052057277732</v>
      </c>
      <c r="AI57" s="9">
        <f>[4]SAMPLES!$L$33</f>
        <v>51.586455054375627</v>
      </c>
      <c r="AJ57" s="57">
        <f>(Data[[#This Row],[Gluconeogensis (%)]]/100)*Data[[#This Row],[Glucose (umol/L)]]</f>
        <v>2.6102746257514062</v>
      </c>
      <c r="AK57" s="7"/>
    </row>
    <row r="58" spans="1:37" s="15" customFormat="1" ht="14.25" customHeight="1" x14ac:dyDescent="0.25">
      <c r="A58" s="7">
        <v>73</v>
      </c>
      <c r="B58" s="7" t="s">
        <v>109</v>
      </c>
      <c r="C58" s="7" t="s">
        <v>122</v>
      </c>
      <c r="D58" s="7"/>
      <c r="E58" s="7"/>
      <c r="F58" s="7" t="s">
        <v>227</v>
      </c>
      <c r="G58" s="7">
        <v>35</v>
      </c>
      <c r="H58" s="7">
        <v>163</v>
      </c>
      <c r="I58" s="7">
        <v>61.1</v>
      </c>
      <c r="J58" s="8">
        <f t="shared" si="0"/>
        <v>22.996725507170012</v>
      </c>
      <c r="K58" s="7">
        <v>75</v>
      </c>
      <c r="L58" s="7">
        <v>96</v>
      </c>
      <c r="M58" s="9">
        <f>Data[[#This Row],[Waist_Circumference]]/Data[[#This Row],[Hip_circumference]]</f>
        <v>0.78125</v>
      </c>
      <c r="N58" s="10">
        <v>23040</v>
      </c>
      <c r="O58" s="10">
        <v>37440</v>
      </c>
      <c r="P58" s="10">
        <f t="shared" si="2"/>
        <v>60480</v>
      </c>
      <c r="Q58" s="9">
        <f>(Data[[#This Row],[Total_fat_g]]/Data[[#This Row],[Total_mass_g]])*100</f>
        <v>38.095238095238095</v>
      </c>
      <c r="R58" s="9">
        <f>(Data[[#This Row],[Lean_mass_g]]/Data[[#This Row],[Total_mass_g]])*100</f>
        <v>61.904761904761905</v>
      </c>
      <c r="S58" s="9">
        <v>189</v>
      </c>
      <c r="T58" s="9">
        <v>0.6</v>
      </c>
      <c r="U58" s="9">
        <v>4.8</v>
      </c>
      <c r="V58" s="9">
        <v>11.55</v>
      </c>
      <c r="W58" s="9">
        <f>(Data[[#This Row],[Glucose (umol/L)]]*Data[[#This Row],[Insulin (umol/L)]])/22.5</f>
        <v>2.4640000000000004</v>
      </c>
      <c r="X58" s="9">
        <v>363.09</v>
      </c>
      <c r="Y58" s="9">
        <v>1598.25</v>
      </c>
      <c r="Z58" s="9">
        <v>36.85</v>
      </c>
      <c r="AA58" s="9">
        <v>6.2</v>
      </c>
      <c r="AB58" s="9">
        <v>1.08</v>
      </c>
      <c r="AC58" s="9">
        <f>Data[[#This Row],[total_chol (umol/L)]]-Data[[#This Row],[HDL_chol (umol/L)]]</f>
        <v>5.12</v>
      </c>
      <c r="AD58" s="9">
        <f>Data[[#This Row],[Non_HDL (umol/L)]]-(Data[[#This Row],[TAG (umol/L)]]/2200)</f>
        <v>4.3935227272727273</v>
      </c>
      <c r="AE58" s="9">
        <v>693.54</v>
      </c>
      <c r="AF58" s="51">
        <v>5.050854081618642E-3</v>
      </c>
      <c r="AG58" s="9">
        <v>25.684341570628916</v>
      </c>
      <c r="AH58" s="23">
        <f>(Data[[#This Row],[DNL (%)]]/100)*Data[[#This Row],[VLDL (umol/L)]]</f>
        <v>178.13118252893977</v>
      </c>
      <c r="AI58" s="9">
        <f>[4]SAMPLES!$L$34</f>
        <v>30.313087475784648</v>
      </c>
      <c r="AJ58" s="57">
        <f>(Data[[#This Row],[Gluconeogensis (%)]]/100)*Data[[#This Row],[Glucose (umol/L)]]</f>
        <v>1.4550281988376632</v>
      </c>
      <c r="AK58" s="7"/>
    </row>
    <row r="59" spans="1:37" s="15" customFormat="1" ht="14.25" customHeight="1" x14ac:dyDescent="0.25">
      <c r="A59" s="7">
        <v>74</v>
      </c>
      <c r="B59" s="7" t="s">
        <v>123</v>
      </c>
      <c r="C59" s="7" t="s">
        <v>124</v>
      </c>
      <c r="D59" s="7"/>
      <c r="E59" s="7"/>
      <c r="F59" s="7" t="s">
        <v>227</v>
      </c>
      <c r="G59" s="7">
        <v>57</v>
      </c>
      <c r="H59" s="7">
        <v>169</v>
      </c>
      <c r="I59" s="7">
        <v>85.1</v>
      </c>
      <c r="J59" s="8">
        <f t="shared" si="0"/>
        <v>29.795875494555514</v>
      </c>
      <c r="K59" s="7">
        <v>95</v>
      </c>
      <c r="L59" s="7">
        <v>109</v>
      </c>
      <c r="M59" s="9">
        <f>Data[[#This Row],[Waist_Circumference]]/Data[[#This Row],[Hip_circumference]]</f>
        <v>0.87155963302752293</v>
      </c>
      <c r="N59" s="10">
        <v>34140</v>
      </c>
      <c r="O59" s="10">
        <v>43630</v>
      </c>
      <c r="P59" s="10">
        <f t="shared" si="2"/>
        <v>77770</v>
      </c>
      <c r="Q59" s="9">
        <f>(Data[[#This Row],[Total_fat_g]]/Data[[#This Row],[Total_mass_g]])*100</f>
        <v>43.898675581843897</v>
      </c>
      <c r="R59" s="9">
        <f>(Data[[#This Row],[Lean_mass_g]]/Data[[#This Row],[Total_mass_g]])*100</f>
        <v>56.101324418156103</v>
      </c>
      <c r="S59" s="9"/>
      <c r="T59" s="9">
        <v>5.37</v>
      </c>
      <c r="U59" s="9">
        <v>5.05</v>
      </c>
      <c r="V59" s="9">
        <v>10.06</v>
      </c>
      <c r="W59" s="9">
        <f>(Data[[#This Row],[Glucose (umol/L)]]*Data[[#This Row],[Insulin (umol/L)]])/22.5</f>
        <v>2.257911111111111</v>
      </c>
      <c r="X59" s="9">
        <v>986.81</v>
      </c>
      <c r="Y59" s="9">
        <v>1370.1</v>
      </c>
      <c r="Z59" s="9">
        <v>177.25</v>
      </c>
      <c r="AA59" s="9">
        <v>6.3</v>
      </c>
      <c r="AB59" s="9">
        <v>1.52</v>
      </c>
      <c r="AC59" s="9">
        <f>Data[[#This Row],[total_chol (umol/L)]]-Data[[#This Row],[HDL_chol (umol/L)]]</f>
        <v>4.7799999999999994</v>
      </c>
      <c r="AD59" s="9">
        <f>Data[[#This Row],[Non_HDL (umol/L)]]-(Data[[#This Row],[TAG (umol/L)]]/2200)</f>
        <v>4.1572272727272725</v>
      </c>
      <c r="AE59" s="9">
        <v>482.99</v>
      </c>
      <c r="AF59" s="51">
        <v>5.343762457156751E-3</v>
      </c>
      <c r="AG59" s="9">
        <v>0.9553927959092392</v>
      </c>
      <c r="AH59" s="23">
        <f>(Data[[#This Row],[DNL (%)]]/100)*Data[[#This Row],[VLDL (umol/L)]]</f>
        <v>4.6144516649620346</v>
      </c>
      <c r="AI59" s="9">
        <f>[4]SAMPLES!$L$35</f>
        <v>27.650864034437824</v>
      </c>
      <c r="AJ59" s="57">
        <f>(Data[[#This Row],[Gluconeogensis (%)]]/100)*Data[[#This Row],[Glucose (umol/L)]]</f>
        <v>1.3963686337391099</v>
      </c>
      <c r="AK59" s="7"/>
    </row>
    <row r="60" spans="1:37" s="15" customFormat="1" ht="14.25" customHeight="1" x14ac:dyDescent="0.25">
      <c r="A60" s="7">
        <v>75</v>
      </c>
      <c r="B60" s="7" t="s">
        <v>113</v>
      </c>
      <c r="C60" s="7" t="s">
        <v>125</v>
      </c>
      <c r="D60" s="7"/>
      <c r="E60" s="7"/>
      <c r="F60" s="7" t="s">
        <v>227</v>
      </c>
      <c r="G60" s="7">
        <v>41</v>
      </c>
      <c r="H60" s="7">
        <v>171</v>
      </c>
      <c r="I60" s="7">
        <v>60.6</v>
      </c>
      <c r="J60" s="8">
        <f t="shared" si="0"/>
        <v>20.72432543346671</v>
      </c>
      <c r="K60" s="7">
        <v>76</v>
      </c>
      <c r="L60" s="7">
        <v>91</v>
      </c>
      <c r="M60" s="9">
        <f>Data[[#This Row],[Waist_Circumference]]/Data[[#This Row],[Hip_circumference]]</f>
        <v>0.8351648351648352</v>
      </c>
      <c r="N60" s="10">
        <v>19280</v>
      </c>
      <c r="O60" s="10">
        <v>40040</v>
      </c>
      <c r="P60" s="10">
        <f t="shared" si="2"/>
        <v>59320</v>
      </c>
      <c r="Q60" s="9">
        <f>(Data[[#This Row],[Total_fat_g]]/Data[[#This Row],[Total_mass_g]])*100</f>
        <v>32.501685772083619</v>
      </c>
      <c r="R60" s="9">
        <f>(Data[[#This Row],[Lean_mass_g]]/Data[[#This Row],[Total_mass_g]])*100</f>
        <v>67.498314227916396</v>
      </c>
      <c r="S60" s="9">
        <v>226</v>
      </c>
      <c r="T60" s="9">
        <v>0.46</v>
      </c>
      <c r="U60" s="9">
        <v>4.6900000000000004</v>
      </c>
      <c r="V60" s="9">
        <v>9.4</v>
      </c>
      <c r="W60" s="9">
        <f>(Data[[#This Row],[Glucose (umol/L)]]*Data[[#This Row],[Insulin (umol/L)]])/22.5</f>
        <v>1.9593777777777781</v>
      </c>
      <c r="X60" s="9">
        <v>701.06</v>
      </c>
      <c r="Y60" s="9">
        <v>772.15</v>
      </c>
      <c r="Z60" s="9">
        <v>113.5</v>
      </c>
      <c r="AA60" s="9">
        <v>4.8</v>
      </c>
      <c r="AB60" s="9">
        <v>1.76</v>
      </c>
      <c r="AC60" s="9">
        <f>Data[[#This Row],[total_chol (umol/L)]]-Data[[#This Row],[HDL_chol (umol/L)]]</f>
        <v>3.04</v>
      </c>
      <c r="AD60" s="9">
        <f>Data[[#This Row],[Non_HDL (umol/L)]]-(Data[[#This Row],[TAG (umol/L)]]/2200)</f>
        <v>2.6890227272727274</v>
      </c>
      <c r="AE60" s="9">
        <v>146.69999999999999</v>
      </c>
      <c r="AF60" s="51">
        <v>3.8256250210377744E-3</v>
      </c>
      <c r="AG60" s="9">
        <v>7.1995882882606681</v>
      </c>
      <c r="AH60" s="23">
        <f>(Data[[#This Row],[DNL (%)]]/100)*Data[[#This Row],[VLDL (umol/L)]]</f>
        <v>10.561796018878399</v>
      </c>
      <c r="AI60" s="9">
        <f>[4]SAMPLES!$L$36</f>
        <v>23.069957058018666</v>
      </c>
      <c r="AJ60" s="57">
        <f>(Data[[#This Row],[Gluconeogensis (%)]]/100)*Data[[#This Row],[Glucose (umol/L)]]</f>
        <v>1.0819809860210756</v>
      </c>
      <c r="AK60" s="7"/>
    </row>
    <row r="61" spans="1:37" s="15" customFormat="1" ht="14.25" customHeight="1" x14ac:dyDescent="0.25">
      <c r="A61" s="7">
        <v>76</v>
      </c>
      <c r="B61" s="7" t="s">
        <v>126</v>
      </c>
      <c r="C61" s="7" t="s">
        <v>127</v>
      </c>
      <c r="D61" s="7"/>
      <c r="E61" s="7"/>
      <c r="F61" s="7" t="s">
        <v>227</v>
      </c>
      <c r="G61" s="7">
        <v>58</v>
      </c>
      <c r="H61" s="7">
        <v>150.5</v>
      </c>
      <c r="I61" s="7">
        <v>50.5</v>
      </c>
      <c r="J61" s="8">
        <f t="shared" si="0"/>
        <v>22.295559651659477</v>
      </c>
      <c r="K61" s="7">
        <v>74</v>
      </c>
      <c r="L61" s="7">
        <v>92</v>
      </c>
      <c r="M61" s="9">
        <f>Data[[#This Row],[Waist_Circumference]]/Data[[#This Row],[Hip_circumference]]</f>
        <v>0.80434782608695654</v>
      </c>
      <c r="N61" s="10">
        <v>20020</v>
      </c>
      <c r="O61" s="10">
        <v>27180</v>
      </c>
      <c r="P61" s="10">
        <f t="shared" si="2"/>
        <v>47200</v>
      </c>
      <c r="Q61" s="9">
        <f>(Data[[#This Row],[Total_fat_g]]/Data[[#This Row],[Total_mass_g]])*100</f>
        <v>42.415254237288138</v>
      </c>
      <c r="R61" s="9">
        <f>(Data[[#This Row],[Lean_mass_g]]/Data[[#This Row],[Total_mass_g]])*100</f>
        <v>57.584745762711862</v>
      </c>
      <c r="S61" s="9"/>
      <c r="T61" s="9">
        <v>0.88</v>
      </c>
      <c r="U61" s="9">
        <v>5.94</v>
      </c>
      <c r="V61" s="9">
        <v>11.81</v>
      </c>
      <c r="W61" s="9">
        <f>(Data[[#This Row],[Glucose (umol/L)]]*Data[[#This Row],[Insulin (umol/L)]])/22.5</f>
        <v>3.1178400000000006</v>
      </c>
      <c r="X61" s="9">
        <v>698.06</v>
      </c>
      <c r="Y61" s="9">
        <v>965.05</v>
      </c>
      <c r="Z61" s="9">
        <v>90.6</v>
      </c>
      <c r="AA61" s="9">
        <v>5</v>
      </c>
      <c r="AB61" s="9">
        <v>1.65</v>
      </c>
      <c r="AC61" s="9">
        <f>Data[[#This Row],[total_chol (umol/L)]]-Data[[#This Row],[HDL_chol (umol/L)]]</f>
        <v>3.35</v>
      </c>
      <c r="AD61" s="9">
        <f>Data[[#This Row],[Non_HDL (umol/L)]]-(Data[[#This Row],[TAG (umol/L)]]/2200)</f>
        <v>2.9113409090909093</v>
      </c>
      <c r="AE61" s="9">
        <v>164.58</v>
      </c>
      <c r="AF61" s="51">
        <v>5.1957907482602095E-3</v>
      </c>
      <c r="AG61" s="9">
        <v>10.08655137446395</v>
      </c>
      <c r="AH61" s="23">
        <f>(Data[[#This Row],[DNL (%)]]/100)*Data[[#This Row],[VLDL (umol/L)]]</f>
        <v>16.60044625209277</v>
      </c>
      <c r="AI61" s="65">
        <f>[4]SAMPLES!$L$37</f>
        <v>29.950862917735467</v>
      </c>
      <c r="AJ61" s="57">
        <f>(Data[[#This Row],[Gluconeogensis (%)]]/100)*Data[[#This Row],[Glucose (umol/L)]]</f>
        <v>1.7790812573134869</v>
      </c>
      <c r="AK61" s="7"/>
    </row>
    <row r="62" spans="1:37" s="15" customFormat="1" ht="14.25" customHeight="1" x14ac:dyDescent="0.25">
      <c r="A62" s="7">
        <v>77</v>
      </c>
      <c r="B62" s="7" t="s">
        <v>128</v>
      </c>
      <c r="C62" s="7" t="s">
        <v>129</v>
      </c>
      <c r="D62" s="7"/>
      <c r="E62" s="7"/>
      <c r="F62" s="7" t="s">
        <v>227</v>
      </c>
      <c r="G62" s="7">
        <v>40</v>
      </c>
      <c r="H62" s="7">
        <v>169</v>
      </c>
      <c r="I62" s="7">
        <v>85.1</v>
      </c>
      <c r="J62" s="8">
        <f t="shared" si="0"/>
        <v>29.795875494555514</v>
      </c>
      <c r="K62" s="7">
        <v>103</v>
      </c>
      <c r="L62" s="7">
        <v>114</v>
      </c>
      <c r="M62" s="9">
        <f>Data[[#This Row],[Waist_Circumference]]/Data[[#This Row],[Hip_circumference]]</f>
        <v>0.90350877192982459</v>
      </c>
      <c r="N62" s="10">
        <v>33900</v>
      </c>
      <c r="O62" s="10">
        <v>48450</v>
      </c>
      <c r="P62" s="10">
        <f t="shared" si="2"/>
        <v>82350</v>
      </c>
      <c r="Q62" s="9">
        <f>(Data[[#This Row],[Total_fat_g]]/Data[[#This Row],[Total_mass_g]])*100</f>
        <v>41.165755919854277</v>
      </c>
      <c r="R62" s="9">
        <f>(Data[[#This Row],[Lean_mass_g]]/Data[[#This Row],[Total_mass_g]])*100</f>
        <v>58.834244080145716</v>
      </c>
      <c r="S62" s="9">
        <v>445</v>
      </c>
      <c r="T62" s="9">
        <v>2.4300000000000002</v>
      </c>
      <c r="U62" s="9">
        <v>5.01</v>
      </c>
      <c r="V62" s="9">
        <v>13.09</v>
      </c>
      <c r="W62" s="9">
        <f>(Data[[#This Row],[Glucose (umol/L)]]*Data[[#This Row],[Insulin (umol/L)]])/22.5</f>
        <v>2.9147066666666666</v>
      </c>
      <c r="X62" s="9">
        <v>601.45000000000005</v>
      </c>
      <c r="Y62" s="9">
        <v>546.54999999999995</v>
      </c>
      <c r="Z62" s="9">
        <v>79.5</v>
      </c>
      <c r="AA62" s="9">
        <v>5.7</v>
      </c>
      <c r="AB62" s="9">
        <v>1.72</v>
      </c>
      <c r="AC62" s="9">
        <f>Data[[#This Row],[total_chol (umol/L)]]-Data[[#This Row],[HDL_chol (umol/L)]]</f>
        <v>3.9800000000000004</v>
      </c>
      <c r="AD62" s="9">
        <f>Data[[#This Row],[Non_HDL (umol/L)]]-(Data[[#This Row],[TAG (umol/L)]]/2200)</f>
        <v>3.7315681818181821</v>
      </c>
      <c r="AE62" s="9">
        <v>102.76</v>
      </c>
      <c r="AF62" s="51">
        <v>4.0055211945665093E-3</v>
      </c>
      <c r="AG62" s="9">
        <v>9.2160378888174854</v>
      </c>
      <c r="AH62" s="23">
        <f>(Data[[#This Row],[DNL (%)]]/100)*Data[[#This Row],[VLDL (umol/L)]]</f>
        <v>9.4704005345488493</v>
      </c>
      <c r="AI62" s="9">
        <f>[4]SAMPLES!$L$38</f>
        <v>33.748037937492029</v>
      </c>
      <c r="AJ62" s="57">
        <f>(Data[[#This Row],[Gluconeogensis (%)]]/100)*Data[[#This Row],[Glucose (umol/L)]]</f>
        <v>1.6907767006683507</v>
      </c>
      <c r="AK62" s="7"/>
    </row>
    <row r="63" spans="1:37" s="15" customFormat="1" ht="14.25" customHeight="1" x14ac:dyDescent="0.25">
      <c r="A63" s="7">
        <v>78</v>
      </c>
      <c r="B63" s="7" t="s">
        <v>130</v>
      </c>
      <c r="C63" s="7" t="s">
        <v>131</v>
      </c>
      <c r="D63" s="7"/>
      <c r="E63" s="7"/>
      <c r="F63" s="7" t="s">
        <v>227</v>
      </c>
      <c r="G63" s="7">
        <v>58</v>
      </c>
      <c r="H63" s="7">
        <v>162</v>
      </c>
      <c r="I63" s="7">
        <v>75.7</v>
      </c>
      <c r="J63" s="8">
        <f t="shared" si="0"/>
        <v>28.844688309708882</v>
      </c>
      <c r="K63" s="7">
        <v>86</v>
      </c>
      <c r="L63" s="7">
        <v>107</v>
      </c>
      <c r="M63" s="9">
        <f>Data[[#This Row],[Waist_Circumference]]/Data[[#This Row],[Hip_circumference]]</f>
        <v>0.80373831775700932</v>
      </c>
      <c r="N63" s="10">
        <v>29690</v>
      </c>
      <c r="O63" s="10">
        <v>43720</v>
      </c>
      <c r="P63" s="10">
        <f t="shared" si="2"/>
        <v>73410</v>
      </c>
      <c r="Q63" s="9">
        <f>(Data[[#This Row],[Total_fat_g]]/Data[[#This Row],[Total_mass_g]])*100</f>
        <v>40.444081187849065</v>
      </c>
      <c r="R63" s="9">
        <f>(Data[[#This Row],[Lean_mass_g]]/Data[[#This Row],[Total_mass_g]])*100</f>
        <v>59.555918812150935</v>
      </c>
      <c r="S63" s="9"/>
      <c r="T63" s="9">
        <v>0.99</v>
      </c>
      <c r="U63" s="9">
        <v>5.07</v>
      </c>
      <c r="V63" s="9">
        <v>15.27</v>
      </c>
      <c r="W63" s="9">
        <f>(Data[[#This Row],[Glucose (umol/L)]]*Data[[#This Row],[Insulin (umol/L)]])/22.5</f>
        <v>3.4408400000000006</v>
      </c>
      <c r="X63" s="9">
        <v>577.44000000000005</v>
      </c>
      <c r="Y63" s="9">
        <v>819.18</v>
      </c>
      <c r="Z63" s="9">
        <v>31.3</v>
      </c>
      <c r="AA63" s="9">
        <v>5.9</v>
      </c>
      <c r="AB63" s="9">
        <v>1.18</v>
      </c>
      <c r="AC63" s="9">
        <f>Data[[#This Row],[total_chol (umol/L)]]-Data[[#This Row],[HDL_chol (umol/L)]]</f>
        <v>4.7200000000000006</v>
      </c>
      <c r="AD63" s="9">
        <f>Data[[#This Row],[Non_HDL (umol/L)]]-(Data[[#This Row],[TAG (umol/L)]]/2200)</f>
        <v>4.3476454545454555</v>
      </c>
      <c r="AE63" s="9">
        <v>212.19</v>
      </c>
      <c r="AF63" s="51">
        <v>5.2830928491828556E-3</v>
      </c>
      <c r="AG63" s="9">
        <v>15.058991248891369</v>
      </c>
      <c r="AH63" s="23">
        <f>(Data[[#This Row],[DNL (%)]]/100)*Data[[#This Row],[VLDL (umol/L)]]</f>
        <v>31.953673531022595</v>
      </c>
      <c r="AI63" s="9">
        <f>[4]SAMPLES!$L$39</f>
        <v>22.143936430773085</v>
      </c>
      <c r="AJ63" s="57">
        <f>(Data[[#This Row],[Gluconeogensis (%)]]/100)*Data[[#This Row],[Glucose (umol/L)]]</f>
        <v>1.1226975770401955</v>
      </c>
      <c r="AK63" s="7"/>
    </row>
    <row r="64" spans="1:37" s="15" customFormat="1" ht="14.25" customHeight="1" x14ac:dyDescent="0.25">
      <c r="A64" s="7">
        <v>79</v>
      </c>
      <c r="B64" s="7" t="s">
        <v>132</v>
      </c>
      <c r="C64" s="7" t="s">
        <v>133</v>
      </c>
      <c r="D64" s="7"/>
      <c r="E64" s="7"/>
      <c r="F64" s="7" t="s">
        <v>227</v>
      </c>
      <c r="G64" s="7">
        <v>55</v>
      </c>
      <c r="H64" s="7">
        <v>172</v>
      </c>
      <c r="I64" s="7">
        <v>69</v>
      </c>
      <c r="J64" s="8">
        <f t="shared" si="0"/>
        <v>23.323418063818284</v>
      </c>
      <c r="K64" s="7">
        <v>88</v>
      </c>
      <c r="L64" s="7">
        <v>102</v>
      </c>
      <c r="M64" s="9">
        <f>Data[[#This Row],[Waist_Circumference]]/Data[[#This Row],[Hip_circumference]]</f>
        <v>0.86274509803921573</v>
      </c>
      <c r="N64" s="10">
        <v>21960</v>
      </c>
      <c r="O64" s="10">
        <v>45240</v>
      </c>
      <c r="P64" s="10">
        <f t="shared" si="2"/>
        <v>67200</v>
      </c>
      <c r="Q64" s="9">
        <f>(Data[[#This Row],[Total_fat_g]]/Data[[#This Row],[Total_mass_g]])*100</f>
        <v>32.678571428571431</v>
      </c>
      <c r="R64" s="9">
        <f>(Data[[#This Row],[Lean_mass_g]]/Data[[#This Row],[Total_mass_g]])*100</f>
        <v>67.321428571428584</v>
      </c>
      <c r="S64" s="9">
        <v>189</v>
      </c>
      <c r="T64" s="9">
        <v>0.71</v>
      </c>
      <c r="U64" s="9">
        <v>4.45</v>
      </c>
      <c r="V64" s="9">
        <v>7.06</v>
      </c>
      <c r="W64" s="9">
        <f>(Data[[#This Row],[Glucose (umol/L)]]*Data[[#This Row],[Insulin (umol/L)]])/22.5</f>
        <v>1.3963111111111111</v>
      </c>
      <c r="X64" s="9">
        <v>697.46</v>
      </c>
      <c r="Y64" s="9">
        <v>548.95000000000005</v>
      </c>
      <c r="Z64" s="9">
        <v>26.9</v>
      </c>
      <c r="AA64" s="9">
        <v>6.3</v>
      </c>
      <c r="AB64" s="9">
        <v>1.74</v>
      </c>
      <c r="AC64" s="9">
        <f>Data[[#This Row],[total_chol (umol/L)]]-Data[[#This Row],[HDL_chol (umol/L)]]</f>
        <v>4.5599999999999996</v>
      </c>
      <c r="AD64" s="9">
        <f>Data[[#This Row],[Non_HDL (umol/L)]]-(Data[[#This Row],[TAG (umol/L)]]/2200)</f>
        <v>4.3104772727272724</v>
      </c>
      <c r="AE64" s="9">
        <v>110.79</v>
      </c>
      <c r="AF64" s="51">
        <v>4.507389333968043E-3</v>
      </c>
      <c r="AG64" s="9">
        <v>1.7764800718457481</v>
      </c>
      <c r="AH64" s="23">
        <f>(Data[[#This Row],[DNL (%)]]/100)*Data[[#This Row],[VLDL (umol/L)]]</f>
        <v>1.9681622715979046</v>
      </c>
      <c r="AI64" s="65">
        <f>[4]SAMPLES!$L$40</f>
        <v>5.1547763079577109</v>
      </c>
      <c r="AJ64" s="57">
        <f>(Data[[#This Row],[Gluconeogensis (%)]]/100)*Data[[#This Row],[Glucose (umol/L)]]</f>
        <v>0.22938754570411815</v>
      </c>
      <c r="AK64" s="7"/>
    </row>
    <row r="65" spans="1:37" s="15" customFormat="1" ht="14.25" customHeight="1" x14ac:dyDescent="0.25">
      <c r="A65" s="7">
        <v>80</v>
      </c>
      <c r="B65" s="7" t="s">
        <v>134</v>
      </c>
      <c r="C65" s="7" t="s">
        <v>135</v>
      </c>
      <c r="D65" s="7"/>
      <c r="E65" s="7"/>
      <c r="F65" s="7" t="s">
        <v>227</v>
      </c>
      <c r="G65" s="7">
        <v>38</v>
      </c>
      <c r="H65" s="7">
        <v>176</v>
      </c>
      <c r="I65" s="7">
        <v>96.7</v>
      </c>
      <c r="J65" s="8">
        <f t="shared" si="0"/>
        <v>31.217716942148762</v>
      </c>
      <c r="K65" s="7">
        <v>109</v>
      </c>
      <c r="L65" s="7">
        <v>116</v>
      </c>
      <c r="M65" s="9">
        <f>Data[[#This Row],[Waist_Circumference]]/Data[[#This Row],[Hip_circumference]]</f>
        <v>0.93965517241379315</v>
      </c>
      <c r="N65" s="10">
        <v>36370</v>
      </c>
      <c r="O65" s="10">
        <v>54630</v>
      </c>
      <c r="P65" s="10">
        <f t="shared" si="2"/>
        <v>91000</v>
      </c>
      <c r="Q65" s="9">
        <f>(Data[[#This Row],[Total_fat_g]]/Data[[#This Row],[Total_mass_g]])*100</f>
        <v>39.967032967032964</v>
      </c>
      <c r="R65" s="9">
        <f>(Data[[#This Row],[Lean_mass_g]]/Data[[#This Row],[Total_mass_g]])*100</f>
        <v>60.032967032967036</v>
      </c>
      <c r="S65" s="9">
        <v>498</v>
      </c>
      <c r="T65" s="9">
        <v>1.18</v>
      </c>
      <c r="U65" s="9">
        <v>4.74</v>
      </c>
      <c r="V65" s="9">
        <v>10.49</v>
      </c>
      <c r="W65" s="9">
        <f>(Data[[#This Row],[Glucose (umol/L)]]*Data[[#This Row],[Insulin (umol/L)]])/22.5</f>
        <v>2.2098933333333335</v>
      </c>
      <c r="X65" s="9">
        <v>691.16</v>
      </c>
      <c r="Y65" s="9">
        <v>1135.5</v>
      </c>
      <c r="Z65" s="9">
        <v>28.15</v>
      </c>
      <c r="AA65" s="9">
        <v>4.4000000000000004</v>
      </c>
      <c r="AB65" s="9">
        <v>1.73</v>
      </c>
      <c r="AC65" s="9">
        <f>Data[[#This Row],[total_chol (umol/L)]]-Data[[#This Row],[HDL_chol (umol/L)]]</f>
        <v>2.6700000000000004</v>
      </c>
      <c r="AD65" s="9">
        <f>Data[[#This Row],[Non_HDL (umol/L)]]-(Data[[#This Row],[TAG (umol/L)]]/2200)</f>
        <v>2.1538636363636368</v>
      </c>
      <c r="AE65" s="9">
        <v>528.64</v>
      </c>
      <c r="AF65" s="51">
        <v>5.0072525346752886E-3</v>
      </c>
      <c r="AG65" s="9">
        <v>35.475814811861298</v>
      </c>
      <c r="AH65" s="23">
        <f>(Data[[#This Row],[DNL (%)]]/100)*Data[[#This Row],[VLDL (umol/L)]]</f>
        <v>187.53934742142357</v>
      </c>
      <c r="AI65" s="65">
        <f>[4]SAMPLES!$L$41</f>
        <v>13.745488070476716</v>
      </c>
      <c r="AJ65" s="57">
        <f>(Data[[#This Row],[Gluconeogensis (%)]]/100)*Data[[#This Row],[Glucose (umol/L)]]</f>
        <v>0.65153613454059633</v>
      </c>
      <c r="AK65" s="7"/>
    </row>
    <row r="66" spans="1:37" s="7" customFormat="1" x14ac:dyDescent="0.25">
      <c r="A66" s="7">
        <v>81</v>
      </c>
      <c r="B66" s="7" t="s">
        <v>96</v>
      </c>
      <c r="C66" s="7" t="s">
        <v>136</v>
      </c>
      <c r="F66" s="7" t="s">
        <v>227</v>
      </c>
      <c r="G66" s="7">
        <v>59</v>
      </c>
      <c r="H66" s="7">
        <v>159.5</v>
      </c>
      <c r="I66" s="7">
        <v>56.5</v>
      </c>
      <c r="J66" s="8">
        <f t="shared" ref="J66:J129" si="3">I66/((H66/100)*(H66/100))</f>
        <v>22.20890124900502</v>
      </c>
      <c r="K66" s="7">
        <v>75</v>
      </c>
      <c r="L66" s="7">
        <v>95</v>
      </c>
      <c r="M66" s="9">
        <f>Data[[#This Row],[Waist_Circumference]]/Data[[#This Row],[Hip_circumference]]</f>
        <v>0.78947368421052633</v>
      </c>
      <c r="N66" s="10">
        <v>20200</v>
      </c>
      <c r="O66" s="10">
        <v>33220</v>
      </c>
      <c r="P66" s="10">
        <f t="shared" ref="P66:P94" si="4">N66+O66</f>
        <v>53420</v>
      </c>
      <c r="Q66" s="9">
        <f>(Data[[#This Row],[Total_fat_g]]/Data[[#This Row],[Total_mass_g]])*100</f>
        <v>37.813552976413327</v>
      </c>
      <c r="R66" s="9">
        <f>(Data[[#This Row],[Lean_mass_g]]/Data[[#This Row],[Total_mass_g]])*100</f>
        <v>62.186447023586666</v>
      </c>
      <c r="S66" s="9"/>
      <c r="T66" s="9">
        <v>2.1</v>
      </c>
      <c r="U66" s="9">
        <v>5.76</v>
      </c>
      <c r="V66" s="9">
        <v>13.87</v>
      </c>
      <c r="W66" s="9">
        <f>(Data[[#This Row],[Glucose (umol/L)]]*Data[[#This Row],[Insulin (umol/L)]])/22.5</f>
        <v>3.5507200000000001</v>
      </c>
      <c r="X66" s="9">
        <v>761.67</v>
      </c>
      <c r="Y66" s="9">
        <v>755.05</v>
      </c>
      <c r="Z66" s="9">
        <v>55.75</v>
      </c>
      <c r="AA66" s="9">
        <v>4.5</v>
      </c>
      <c r="AB66" s="9">
        <v>1.74</v>
      </c>
      <c r="AC66" s="9">
        <f>Data[[#This Row],[total_chol (umol/L)]]-Data[[#This Row],[HDL_chol (umol/L)]]</f>
        <v>2.76</v>
      </c>
      <c r="AD66" s="9">
        <f>Data[[#This Row],[Non_HDL (umol/L)]]-(Data[[#This Row],[TAG (umol/L)]]/2200)</f>
        <v>2.4167954545454542</v>
      </c>
      <c r="AE66" s="9">
        <v>211.15</v>
      </c>
      <c r="AF66" s="51">
        <v>5.0827619269818141E-3</v>
      </c>
      <c r="AG66" s="9">
        <v>2.3385639160600737</v>
      </c>
      <c r="AH66" s="23">
        <f>(Data[[#This Row],[DNL (%)]]/100)*Data[[#This Row],[VLDL (umol/L)]]</f>
        <v>4.9378777087608459</v>
      </c>
      <c r="AI66" s="65">
        <f>[4]SAMPLES!$L$42</f>
        <v>27.341035206591147</v>
      </c>
      <c r="AJ66" s="57">
        <f>(Data[[#This Row],[Gluconeogensis (%)]]/100)*Data[[#This Row],[Glucose (umol/L)]]</f>
        <v>1.57484362789965</v>
      </c>
    </row>
    <row r="67" spans="1:37" s="7" customFormat="1" x14ac:dyDescent="0.25">
      <c r="A67" s="7">
        <v>82</v>
      </c>
      <c r="B67" s="7" t="s">
        <v>137</v>
      </c>
      <c r="C67" s="7" t="s">
        <v>138</v>
      </c>
      <c r="F67" s="7" t="s">
        <v>227</v>
      </c>
      <c r="G67" s="7">
        <v>42</v>
      </c>
      <c r="H67" s="7">
        <v>161</v>
      </c>
      <c r="I67" s="7">
        <v>62.2</v>
      </c>
      <c r="J67" s="8">
        <f t="shared" si="3"/>
        <v>23.9959878091123</v>
      </c>
      <c r="K67" s="7">
        <v>87</v>
      </c>
      <c r="L67" s="7">
        <v>89</v>
      </c>
      <c r="M67" s="9">
        <f>Data[[#This Row],[Waist_Circumference]]/Data[[#This Row],[Hip_circumference]]</f>
        <v>0.97752808988764039</v>
      </c>
      <c r="N67" s="10">
        <v>22200</v>
      </c>
      <c r="O67" s="10">
        <v>35730</v>
      </c>
      <c r="P67" s="10">
        <f t="shared" si="4"/>
        <v>57930</v>
      </c>
      <c r="Q67" s="9">
        <f>(Data[[#This Row],[Total_fat_g]]/Data[[#This Row],[Total_mass_g]])*100</f>
        <v>38.322112894873122</v>
      </c>
      <c r="R67" s="9">
        <f>(Data[[#This Row],[Lean_mass_g]]/Data[[#This Row],[Total_mass_g]])*100</f>
        <v>61.677887105126871</v>
      </c>
      <c r="S67" s="9">
        <v>607</v>
      </c>
      <c r="T67" s="9">
        <v>0.77</v>
      </c>
      <c r="U67" s="9">
        <v>4.87</v>
      </c>
      <c r="V67" s="9">
        <v>15.14</v>
      </c>
      <c r="W67" s="9">
        <f>(Data[[#This Row],[Glucose (umol/L)]]*Data[[#This Row],[Insulin (umol/L)]])/22.5</f>
        <v>3.2769688888888893</v>
      </c>
      <c r="X67" s="9">
        <v>419.5</v>
      </c>
      <c r="Y67" s="9">
        <v>607</v>
      </c>
      <c r="Z67" s="9">
        <v>47.05</v>
      </c>
      <c r="AA67" s="9">
        <v>4.7</v>
      </c>
      <c r="AB67" s="9">
        <v>1.31</v>
      </c>
      <c r="AC67" s="9">
        <f>Data[[#This Row],[total_chol (umol/L)]]-Data[[#This Row],[HDL_chol (umol/L)]]</f>
        <v>3.39</v>
      </c>
      <c r="AD67" s="9">
        <f>Data[[#This Row],[Non_HDL (umol/L)]]-(Data[[#This Row],[TAG (umol/L)]]/2200)</f>
        <v>3.1140909090909092</v>
      </c>
      <c r="AE67" s="9">
        <v>178.45</v>
      </c>
      <c r="AF67" s="51">
        <v>4.8555184742651528E-3</v>
      </c>
      <c r="AG67" s="9">
        <v>9.1882332649116965</v>
      </c>
      <c r="AH67" s="23">
        <f>(Data[[#This Row],[DNL (%)]]/100)*Data[[#This Row],[VLDL (umol/L)]]</f>
        <v>16.396402261234922</v>
      </c>
      <c r="AI67" s="9">
        <f>[4]SAMPLES!$L$65</f>
        <v>11.966451886422485</v>
      </c>
      <c r="AJ67" s="57">
        <f>(Data[[#This Row],[Gluconeogensis (%)]]/100)*Data[[#This Row],[Glucose (umol/L)]]</f>
        <v>0.58276620686877512</v>
      </c>
    </row>
    <row r="68" spans="1:37" s="7" customFormat="1" x14ac:dyDescent="0.25">
      <c r="A68" s="7">
        <v>83</v>
      </c>
      <c r="B68" s="7" t="s">
        <v>139</v>
      </c>
      <c r="C68" s="7" t="s">
        <v>140</v>
      </c>
      <c r="F68" s="7" t="s">
        <v>227</v>
      </c>
      <c r="G68" s="7">
        <v>35</v>
      </c>
      <c r="H68" s="7">
        <v>159</v>
      </c>
      <c r="I68" s="7">
        <v>56.5</v>
      </c>
      <c r="J68" s="8">
        <f t="shared" si="3"/>
        <v>22.348799493690912</v>
      </c>
      <c r="K68" s="7">
        <v>69</v>
      </c>
      <c r="L68" s="7">
        <v>93</v>
      </c>
      <c r="M68" s="9">
        <f>Data[[#This Row],[Waist_Circumference]]/Data[[#This Row],[Hip_circumference]]</f>
        <v>0.74193548387096775</v>
      </c>
      <c r="N68" s="10">
        <v>13050</v>
      </c>
      <c r="O68" s="10">
        <v>37320</v>
      </c>
      <c r="P68" s="10">
        <f t="shared" si="4"/>
        <v>50370</v>
      </c>
      <c r="Q68" s="9">
        <f>(Data[[#This Row],[Total_fat_g]]/Data[[#This Row],[Total_mass_g]])*100</f>
        <v>25.908278737343661</v>
      </c>
      <c r="R68" s="9">
        <f>(Data[[#This Row],[Lean_mass_g]]/Data[[#This Row],[Total_mass_g]])*100</f>
        <v>74.091721262656336</v>
      </c>
      <c r="S68" s="9">
        <v>87</v>
      </c>
      <c r="T68" s="9">
        <v>0.41</v>
      </c>
      <c r="U68" s="9">
        <v>4.3099999999999996</v>
      </c>
      <c r="V68" s="9">
        <v>10.51</v>
      </c>
      <c r="W68" s="9">
        <f>(Data[[#This Row],[Glucose (umol/L)]]*Data[[#This Row],[Insulin (umol/L)]])/22.5</f>
        <v>2.0132488888888886</v>
      </c>
      <c r="X68" s="9">
        <v>669.06</v>
      </c>
      <c r="Y68" s="9">
        <v>331.15</v>
      </c>
      <c r="Z68" s="9">
        <v>30.15</v>
      </c>
      <c r="AA68" s="9">
        <v>4.3</v>
      </c>
      <c r="AB68" s="9">
        <v>1.52</v>
      </c>
      <c r="AC68" s="9">
        <f>Data[[#This Row],[total_chol (umol/L)]]-Data[[#This Row],[HDL_chol (umol/L)]]</f>
        <v>2.78</v>
      </c>
      <c r="AD68" s="9">
        <f>Data[[#This Row],[Non_HDL (umol/L)]]-(Data[[#This Row],[TAG (umol/L)]]/2200)</f>
        <v>2.6294772727272724</v>
      </c>
      <c r="AE68" s="9">
        <v>38.53</v>
      </c>
      <c r="AF68" s="51">
        <v>4.3370674872932552E-3</v>
      </c>
      <c r="AG68" s="9">
        <v>5.5598941990837174</v>
      </c>
      <c r="AH68" s="23">
        <f>(Data[[#This Row],[DNL (%)]]/100)*Data[[#This Row],[VLDL (umol/L)]]</f>
        <v>2.1422272349069562</v>
      </c>
      <c r="AI68" s="9">
        <f>[4]SAMPLES!$L$66</f>
        <v>18.92882408492201</v>
      </c>
      <c r="AJ68" s="57">
        <f>(Data[[#This Row],[Gluconeogensis (%)]]/100)*Data[[#This Row],[Glucose (umol/L)]]</f>
        <v>0.81583231806013856</v>
      </c>
    </row>
    <row r="69" spans="1:37" s="7" customFormat="1" x14ac:dyDescent="0.25">
      <c r="A69" s="7">
        <v>84</v>
      </c>
      <c r="B69" s="7" t="s">
        <v>141</v>
      </c>
      <c r="C69" s="7" t="s">
        <v>142</v>
      </c>
      <c r="F69" s="7" t="s">
        <v>227</v>
      </c>
      <c r="G69" s="7">
        <v>40</v>
      </c>
      <c r="H69" s="7">
        <v>164</v>
      </c>
      <c r="I69" s="7">
        <v>74.099999999999994</v>
      </c>
      <c r="J69" s="8">
        <f t="shared" si="3"/>
        <v>27.55056513979774</v>
      </c>
      <c r="K69" s="7">
        <v>76</v>
      </c>
      <c r="L69" s="7">
        <v>101</v>
      </c>
      <c r="M69" s="9">
        <f>Data[[#This Row],[Waist_Circumference]]/Data[[#This Row],[Hip_circumference]]</f>
        <v>0.75247524752475248</v>
      </c>
      <c r="N69" s="10">
        <v>25210</v>
      </c>
      <c r="O69" s="10">
        <v>47800</v>
      </c>
      <c r="P69" s="10">
        <f t="shared" si="4"/>
        <v>73010</v>
      </c>
      <c r="Q69" s="9">
        <f>(Data[[#This Row],[Total_fat_g]]/Data[[#This Row],[Total_mass_g]])*100</f>
        <v>34.529516504588415</v>
      </c>
      <c r="R69" s="9">
        <f>(Data[[#This Row],[Lean_mass_g]]/Data[[#This Row],[Total_mass_g]])*100</f>
        <v>65.470483495411585</v>
      </c>
      <c r="S69" s="9">
        <v>162</v>
      </c>
      <c r="T69" s="9">
        <v>0.49</v>
      </c>
      <c r="U69" s="9">
        <v>4.8600000000000003</v>
      </c>
      <c r="V69" s="9">
        <v>9.82</v>
      </c>
      <c r="W69" s="9">
        <f>(Data[[#This Row],[Glucose (umol/L)]]*Data[[#This Row],[Insulin (umol/L)]])/22.5</f>
        <v>2.1211200000000003</v>
      </c>
      <c r="X69" s="9">
        <v>432.73</v>
      </c>
      <c r="Y69" s="9">
        <v>1060.3</v>
      </c>
      <c r="Z69" s="9">
        <v>28.9</v>
      </c>
      <c r="AA69" s="9">
        <v>5.8</v>
      </c>
      <c r="AB69" s="9">
        <v>1.64</v>
      </c>
      <c r="AC69" s="9">
        <f>Data[[#This Row],[total_chol (umol/L)]]-Data[[#This Row],[HDL_chol (umol/L)]]</f>
        <v>4.16</v>
      </c>
      <c r="AD69" s="9">
        <f>Data[[#This Row],[Non_HDL (umol/L)]]-(Data[[#This Row],[TAG (umol/L)]]/2200)</f>
        <v>3.6780454545454546</v>
      </c>
      <c r="AE69" s="9">
        <v>356.74</v>
      </c>
      <c r="AF69" s="51">
        <v>4.9118152711567758E-3</v>
      </c>
      <c r="AG69" s="9">
        <v>11.290030750990647</v>
      </c>
      <c r="AH69" s="23">
        <f>(Data[[#This Row],[DNL (%)]]/100)*Data[[#This Row],[VLDL (umol/L)]]</f>
        <v>40.276055701084033</v>
      </c>
      <c r="AI69" s="9">
        <f>[4]SAMPLES!$L$67</f>
        <v>12.160992436128595</v>
      </c>
      <c r="AJ69" s="57">
        <f>(Data[[#This Row],[Gluconeogensis (%)]]/100)*Data[[#This Row],[Glucose (umol/L)]]</f>
        <v>0.59102423239584978</v>
      </c>
    </row>
    <row r="70" spans="1:37" s="7" customFormat="1" x14ac:dyDescent="0.25">
      <c r="A70" s="7">
        <v>85</v>
      </c>
      <c r="B70" s="7" t="s">
        <v>97</v>
      </c>
      <c r="C70" s="7" t="s">
        <v>143</v>
      </c>
      <c r="F70" s="7" t="s">
        <v>227</v>
      </c>
      <c r="G70" s="7">
        <v>59</v>
      </c>
      <c r="H70" s="7">
        <v>177</v>
      </c>
      <c r="I70" s="7">
        <v>80.2</v>
      </c>
      <c r="J70" s="8">
        <f t="shared" si="3"/>
        <v>25.599285007501038</v>
      </c>
      <c r="K70" s="7">
        <v>89</v>
      </c>
      <c r="L70" s="7">
        <v>105</v>
      </c>
      <c r="M70" s="9">
        <f>Data[[#This Row],[Waist_Circumference]]/Data[[#This Row],[Hip_circumference]]</f>
        <v>0.84761904761904761</v>
      </c>
      <c r="N70" s="10">
        <v>29290</v>
      </c>
      <c r="O70" s="10">
        <v>45550</v>
      </c>
      <c r="P70" s="10">
        <f t="shared" si="4"/>
        <v>74840</v>
      </c>
      <c r="Q70" s="9">
        <f>(Data[[#This Row],[Total_fat_g]]/Data[[#This Row],[Total_mass_g]])*100</f>
        <v>39.136825227151256</v>
      </c>
      <c r="R70" s="9">
        <f>(Data[[#This Row],[Lean_mass_g]]/Data[[#This Row],[Total_mass_g]])*100</f>
        <v>60.863174772848751</v>
      </c>
      <c r="S70" s="9"/>
      <c r="T70" s="9">
        <v>1.5</v>
      </c>
      <c r="U70" s="9">
        <v>5.88</v>
      </c>
      <c r="V70" s="9">
        <v>10.43</v>
      </c>
      <c r="W70" s="9">
        <f>(Data[[#This Row],[Glucose (umol/L)]]*Data[[#This Row],[Insulin (umol/L)]])/22.5</f>
        <v>2.7257066666666665</v>
      </c>
      <c r="X70" s="9">
        <v>584.86</v>
      </c>
      <c r="Y70" s="9">
        <v>767.45</v>
      </c>
      <c r="Z70" s="9">
        <v>69.650000000000006</v>
      </c>
      <c r="AA70" s="9">
        <v>5.8</v>
      </c>
      <c r="AB70" s="9">
        <v>1.62</v>
      </c>
      <c r="AC70" s="9">
        <f>Data[[#This Row],[total_chol (umol/L)]]-Data[[#This Row],[HDL_chol (umol/L)]]</f>
        <v>4.18</v>
      </c>
      <c r="AD70" s="9">
        <f>Data[[#This Row],[Non_HDL (umol/L)]]-(Data[[#This Row],[TAG (umol/L)]]/2200)</f>
        <v>3.8311590909090905</v>
      </c>
      <c r="AE70" s="9">
        <v>180.59</v>
      </c>
      <c r="AF70" s="51">
        <v>5.2456420356865943E-3</v>
      </c>
      <c r="AG70" s="9">
        <v>6.8758374232947252</v>
      </c>
      <c r="AH70" s="23">
        <f>(Data[[#This Row],[DNL (%)]]/100)*Data[[#This Row],[VLDL (umol/L)]]</f>
        <v>12.417074802727946</v>
      </c>
      <c r="AI70" s="9">
        <f>[4]SAMPLES!$L$68</f>
        <v>24.216856965153553</v>
      </c>
      <c r="AJ70" s="57">
        <f>(Data[[#This Row],[Gluconeogensis (%)]]/100)*Data[[#This Row],[Glucose (umol/L)]]</f>
        <v>1.4239511895510291</v>
      </c>
    </row>
    <row r="71" spans="1:37" s="7" customFormat="1" x14ac:dyDescent="0.25">
      <c r="A71" s="7">
        <v>86</v>
      </c>
      <c r="B71" s="7" t="s">
        <v>144</v>
      </c>
      <c r="C71" s="7" t="s">
        <v>145</v>
      </c>
      <c r="F71" s="7" t="s">
        <v>227</v>
      </c>
      <c r="G71" s="7">
        <v>59</v>
      </c>
      <c r="H71" s="7">
        <v>152</v>
      </c>
      <c r="I71" s="7">
        <v>65.8</v>
      </c>
      <c r="J71" s="8">
        <f t="shared" si="3"/>
        <v>28.479916897506925</v>
      </c>
      <c r="K71" s="7">
        <v>94</v>
      </c>
      <c r="L71" s="7">
        <v>102</v>
      </c>
      <c r="M71" s="9">
        <f>Data[[#This Row],[Waist_Circumference]]/Data[[#This Row],[Hip_circumference]]</f>
        <v>0.92156862745098034</v>
      </c>
      <c r="N71" s="10">
        <v>26930</v>
      </c>
      <c r="O71" s="10">
        <v>36990</v>
      </c>
      <c r="P71" s="10">
        <f t="shared" si="4"/>
        <v>63920</v>
      </c>
      <c r="Q71" s="9">
        <f>(Data[[#This Row],[Total_fat_g]]/Data[[#This Row],[Total_mass_g]])*100</f>
        <v>42.130788485607006</v>
      </c>
      <c r="R71" s="9">
        <f>(Data[[#This Row],[Lean_mass_g]]/Data[[#This Row],[Total_mass_g]])*100</f>
        <v>57.869211514392994</v>
      </c>
      <c r="S71" s="9"/>
      <c r="T71" s="9">
        <v>3.21</v>
      </c>
      <c r="U71" s="9">
        <v>5.0599999999999996</v>
      </c>
      <c r="V71" s="9">
        <v>12.73</v>
      </c>
      <c r="W71" s="9">
        <f>(Data[[#This Row],[Glucose (umol/L)]]*Data[[#This Row],[Insulin (umol/L)]])/22.5</f>
        <v>2.8628355555555554</v>
      </c>
      <c r="X71" s="9">
        <v>654.64</v>
      </c>
      <c r="Y71" s="9">
        <v>911.6</v>
      </c>
      <c r="Z71" s="9">
        <v>43.05</v>
      </c>
      <c r="AA71" s="9">
        <v>6.5</v>
      </c>
      <c r="AB71" s="9">
        <v>1.53</v>
      </c>
      <c r="AC71" s="9">
        <f>Data[[#This Row],[total_chol (umol/L)]]-Data[[#This Row],[HDL_chol (umol/L)]]</f>
        <v>4.97</v>
      </c>
      <c r="AD71" s="9">
        <f>Data[[#This Row],[Non_HDL (umol/L)]]-(Data[[#This Row],[TAG (umol/L)]]/2200)</f>
        <v>4.5556363636363635</v>
      </c>
      <c r="AE71" s="9">
        <v>349.67</v>
      </c>
      <c r="AF71" s="51">
        <v>5.0471467824375459E-3</v>
      </c>
      <c r="AG71" s="9">
        <v>15.341701266001637</v>
      </c>
      <c r="AH71" s="23">
        <f>(Data[[#This Row],[DNL (%)]]/100)*Data[[#This Row],[VLDL (umol/L)]]</f>
        <v>53.645326816827925</v>
      </c>
      <c r="AI71" s="9">
        <f>[4]SAMPLES!$L$69</f>
        <v>27.39138832238794</v>
      </c>
      <c r="AJ71" s="57">
        <f>(Data[[#This Row],[Gluconeogensis (%)]]/100)*Data[[#This Row],[Glucose (umol/L)]]</f>
        <v>1.3860042491128295</v>
      </c>
    </row>
    <row r="72" spans="1:37" s="7" customFormat="1" x14ac:dyDescent="0.25">
      <c r="A72" s="7">
        <v>87</v>
      </c>
      <c r="B72" s="7" t="s">
        <v>146</v>
      </c>
      <c r="C72" s="7" t="s">
        <v>147</v>
      </c>
      <c r="F72" s="7" t="s">
        <v>227</v>
      </c>
      <c r="G72" s="7">
        <v>40</v>
      </c>
      <c r="H72" s="7">
        <v>174</v>
      </c>
      <c r="I72" s="7">
        <v>63.3</v>
      </c>
      <c r="J72" s="8">
        <f t="shared" si="3"/>
        <v>20.907649623464128</v>
      </c>
      <c r="K72" s="7">
        <v>72</v>
      </c>
      <c r="L72" s="7">
        <v>93</v>
      </c>
      <c r="M72" s="9">
        <f>Data[[#This Row],[Waist_Circumference]]/Data[[#This Row],[Hip_circumference]]</f>
        <v>0.77419354838709675</v>
      </c>
      <c r="N72" s="10">
        <v>14970</v>
      </c>
      <c r="O72" s="10">
        <v>45330</v>
      </c>
      <c r="P72" s="10">
        <f t="shared" si="4"/>
        <v>60300</v>
      </c>
      <c r="Q72" s="9">
        <f>(Data[[#This Row],[Total_fat_g]]/Data[[#This Row],[Total_mass_g]])*100</f>
        <v>24.82587064676617</v>
      </c>
      <c r="R72" s="9">
        <f>(Data[[#This Row],[Lean_mass_g]]/Data[[#This Row],[Total_mass_g]])*100</f>
        <v>75.174129353233837</v>
      </c>
      <c r="S72" s="9"/>
      <c r="T72" s="9">
        <v>0.44</v>
      </c>
      <c r="U72" s="9">
        <v>5.18</v>
      </c>
      <c r="V72" s="9">
        <v>6.33</v>
      </c>
      <c r="W72" s="9">
        <f>(Data[[#This Row],[Glucose (umol/L)]]*Data[[#This Row],[Insulin (umol/L)]])/22.5</f>
        <v>1.4573066666666668</v>
      </c>
      <c r="X72" s="9">
        <v>697.59</v>
      </c>
      <c r="Y72" s="9">
        <v>421.85</v>
      </c>
      <c r="Z72" s="9">
        <v>60.55</v>
      </c>
      <c r="AA72" s="9">
        <v>4.2</v>
      </c>
      <c r="AB72" s="9">
        <v>1.82</v>
      </c>
      <c r="AC72" s="9">
        <f>Data[[#This Row],[total_chol (umol/L)]]-Data[[#This Row],[HDL_chol (umol/L)]]</f>
        <v>2.38</v>
      </c>
      <c r="AD72" s="9">
        <f>Data[[#This Row],[Non_HDL (umol/L)]]-(Data[[#This Row],[TAG (umol/L)]]/2200)</f>
        <v>2.18825</v>
      </c>
      <c r="AE72" s="9">
        <v>64.66</v>
      </c>
      <c r="AF72" s="51">
        <v>4.3485475075570575E-3</v>
      </c>
      <c r="AG72" s="9">
        <v>0.26654668186942893</v>
      </c>
      <c r="AH72" s="23">
        <f>(Data[[#This Row],[DNL (%)]]/100)*Data[[#This Row],[VLDL (umol/L)]]</f>
        <v>0.17234908449677275</v>
      </c>
      <c r="AI72" s="9">
        <f>[4]SAMPLES!$L$70</f>
        <v>27.984098532348213</v>
      </c>
      <c r="AJ72" s="57">
        <f>(Data[[#This Row],[Gluconeogensis (%)]]/100)*Data[[#This Row],[Glucose (umol/L)]]</f>
        <v>1.4495763039756373</v>
      </c>
    </row>
    <row r="73" spans="1:37" s="7" customFormat="1" x14ac:dyDescent="0.25">
      <c r="A73" s="7">
        <v>88</v>
      </c>
      <c r="B73" s="7" t="s">
        <v>148</v>
      </c>
      <c r="C73" s="7" t="s">
        <v>149</v>
      </c>
      <c r="F73" s="7" t="s">
        <v>227</v>
      </c>
      <c r="G73" s="7">
        <v>38</v>
      </c>
      <c r="H73" s="7">
        <v>161.5</v>
      </c>
      <c r="I73" s="7">
        <v>63</v>
      </c>
      <c r="J73" s="8">
        <f t="shared" si="3"/>
        <v>24.154357848728541</v>
      </c>
      <c r="K73" s="7">
        <v>83</v>
      </c>
      <c r="L73" s="7">
        <v>92</v>
      </c>
      <c r="M73" s="9">
        <f>Data[[#This Row],[Waist_Circumference]]/Data[[#This Row],[Hip_circumference]]</f>
        <v>0.90217391304347827</v>
      </c>
      <c r="N73" s="10">
        <v>14490</v>
      </c>
      <c r="O73" s="10">
        <v>45680</v>
      </c>
      <c r="P73" s="10">
        <f t="shared" si="4"/>
        <v>60170</v>
      </c>
      <c r="Q73" s="9">
        <f>(Data[[#This Row],[Total_fat_g]]/Data[[#This Row],[Total_mass_g]])*100</f>
        <v>24.081768323084592</v>
      </c>
      <c r="R73" s="9">
        <f>(Data[[#This Row],[Lean_mass_g]]/Data[[#This Row],[Total_mass_g]])*100</f>
        <v>75.918231676915411</v>
      </c>
      <c r="S73" s="9"/>
      <c r="T73" s="9">
        <v>0.56000000000000005</v>
      </c>
      <c r="U73" s="9">
        <v>6.16</v>
      </c>
      <c r="V73" s="9">
        <v>9.94</v>
      </c>
      <c r="W73" s="9">
        <f>(Data[[#This Row],[Glucose (umol/L)]]*Data[[#This Row],[Insulin (umol/L)]])/22.5</f>
        <v>2.7213511111111108</v>
      </c>
      <c r="X73" s="9">
        <v>131.93</v>
      </c>
      <c r="Y73" s="9">
        <v>672.65</v>
      </c>
      <c r="Z73" s="9">
        <v>33.85</v>
      </c>
      <c r="AA73" s="9">
        <v>4.7</v>
      </c>
      <c r="AB73" s="9">
        <v>1.67</v>
      </c>
      <c r="AC73" s="9">
        <f>Data[[#This Row],[total_chol (umol/L)]]-Data[[#This Row],[HDL_chol (umol/L)]]</f>
        <v>3.0300000000000002</v>
      </c>
      <c r="AD73" s="9">
        <f>Data[[#This Row],[Non_HDL (umol/L)]]-(Data[[#This Row],[TAG (umol/L)]]/2200)</f>
        <v>2.7242500000000005</v>
      </c>
      <c r="AE73" s="9">
        <v>96.77</v>
      </c>
      <c r="AF73" s="51">
        <v>4.2385500191714567E-3</v>
      </c>
      <c r="AG73" s="9">
        <v>4.7883012949371446</v>
      </c>
      <c r="AH73" s="23">
        <f>(Data[[#This Row],[DNL (%)]]/100)*Data[[#This Row],[VLDL (umol/L)]]</f>
        <v>4.6336391631106748</v>
      </c>
      <c r="AI73" s="9">
        <f>[4]SAMPLES!$L$71</f>
        <v>13.534691800456248</v>
      </c>
      <c r="AJ73" s="57">
        <f>(Data[[#This Row],[Gluconeogensis (%)]]/100)*Data[[#This Row],[Glucose (umol/L)]]</f>
        <v>0.83373701490810481</v>
      </c>
    </row>
    <row r="74" spans="1:37" s="7" customFormat="1" x14ac:dyDescent="0.25">
      <c r="A74" s="7">
        <v>89</v>
      </c>
      <c r="B74" s="7" t="s">
        <v>150</v>
      </c>
      <c r="C74" s="7" t="s">
        <v>151</v>
      </c>
      <c r="F74" s="7" t="s">
        <v>227</v>
      </c>
      <c r="G74" s="7">
        <v>43</v>
      </c>
      <c r="H74" s="7">
        <v>169</v>
      </c>
      <c r="I74" s="7">
        <v>73</v>
      </c>
      <c r="J74" s="8">
        <f t="shared" si="3"/>
        <v>25.559329155141629</v>
      </c>
      <c r="K74" s="7">
        <v>80</v>
      </c>
      <c r="L74" s="7">
        <v>96</v>
      </c>
      <c r="M74" s="9">
        <f>Data[[#This Row],[Waist_Circumference]]/Data[[#This Row],[Hip_circumference]]</f>
        <v>0.83333333333333337</v>
      </c>
      <c r="N74" s="10">
        <v>18420</v>
      </c>
      <c r="O74" s="10">
        <v>51170</v>
      </c>
      <c r="P74" s="10">
        <f t="shared" si="4"/>
        <v>69590</v>
      </c>
      <c r="Q74" s="9">
        <f>(Data[[#This Row],[Total_fat_g]]/Data[[#This Row],[Total_mass_g]])*100</f>
        <v>26.469320304641471</v>
      </c>
      <c r="R74" s="9">
        <f>(Data[[#This Row],[Lean_mass_g]]/Data[[#This Row],[Total_mass_g]])*100</f>
        <v>73.530679695358529</v>
      </c>
      <c r="S74" s="9"/>
      <c r="T74" s="9">
        <v>0.46</v>
      </c>
      <c r="U74" s="9">
        <v>4.99</v>
      </c>
      <c r="V74" s="9">
        <v>3.92</v>
      </c>
      <c r="W74" s="9">
        <f>(Data[[#This Row],[Glucose (umol/L)]]*Data[[#This Row],[Insulin (umol/L)]])/22.5</f>
        <v>0.86936888888888886</v>
      </c>
      <c r="X74" s="9">
        <v>650.36</v>
      </c>
      <c r="Y74" s="9">
        <v>873.95</v>
      </c>
      <c r="Z74" s="9">
        <v>111.55</v>
      </c>
      <c r="AA74" s="9">
        <v>4.5</v>
      </c>
      <c r="AB74" s="9">
        <v>1.6</v>
      </c>
      <c r="AC74" s="9">
        <f>Data[[#This Row],[total_chol (umol/L)]]-Data[[#This Row],[HDL_chol (umol/L)]]</f>
        <v>2.9</v>
      </c>
      <c r="AD74" s="9">
        <f>Data[[#This Row],[Non_HDL (umol/L)]]-(Data[[#This Row],[TAG (umol/L)]]/2200)</f>
        <v>2.5027499999999998</v>
      </c>
      <c r="AE74" s="9">
        <v>276.01</v>
      </c>
      <c r="AF74" s="51">
        <v>4.6096165717890158E-3</v>
      </c>
      <c r="AG74" s="9">
        <v>4.8860305237895494</v>
      </c>
      <c r="AH74" s="23">
        <f>(Data[[#This Row],[DNL (%)]]/100)*Data[[#This Row],[VLDL (umol/L)]]</f>
        <v>13.485932848711535</v>
      </c>
      <c r="AI74" s="9">
        <f>[4]SAMPLES!$L$238</f>
        <v>29.533094124647423</v>
      </c>
      <c r="AJ74" s="57">
        <f>(Data[[#This Row],[Gluconeogensis (%)]]/100)*Data[[#This Row],[Glucose (umol/L)]]</f>
        <v>1.4737013968199066</v>
      </c>
    </row>
    <row r="75" spans="1:37" s="7" customFormat="1" x14ac:dyDescent="0.25">
      <c r="A75" s="7">
        <v>90</v>
      </c>
      <c r="B75" s="7" t="s">
        <v>152</v>
      </c>
      <c r="C75" s="7" t="s">
        <v>153</v>
      </c>
      <c r="F75" s="7" t="s">
        <v>227</v>
      </c>
      <c r="G75" s="7">
        <v>41</v>
      </c>
      <c r="H75" s="7">
        <v>172</v>
      </c>
      <c r="I75" s="7">
        <v>64.05</v>
      </c>
      <c r="J75" s="8">
        <f t="shared" si="3"/>
        <v>21.650216333153057</v>
      </c>
      <c r="K75" s="7">
        <v>79</v>
      </c>
      <c r="L75" s="7">
        <v>97</v>
      </c>
      <c r="M75" s="9">
        <f>Data[[#This Row],[Waist_Circumference]]/Data[[#This Row],[Hip_circumference]]</f>
        <v>0.81443298969072164</v>
      </c>
      <c r="N75" s="10">
        <v>23720</v>
      </c>
      <c r="O75" s="10">
        <v>39660</v>
      </c>
      <c r="P75" s="10">
        <f t="shared" si="4"/>
        <v>63380</v>
      </c>
      <c r="Q75" s="9">
        <f>(Data[[#This Row],[Total_fat_g]]/Data[[#This Row],[Total_mass_g]])*100</f>
        <v>37.425055222467655</v>
      </c>
      <c r="R75" s="9">
        <f>(Data[[#This Row],[Lean_mass_g]]/Data[[#This Row],[Total_mass_g]])*100</f>
        <v>62.574944777532352</v>
      </c>
      <c r="S75" s="9">
        <v>390</v>
      </c>
      <c r="T75" s="9">
        <v>1.52</v>
      </c>
      <c r="U75" s="9">
        <v>4.78</v>
      </c>
      <c r="V75" s="9">
        <v>20.79</v>
      </c>
      <c r="W75" s="9">
        <f>(Data[[#This Row],[Glucose (umol/L)]]*Data[[#This Row],[Insulin (umol/L)]])/22.5</f>
        <v>4.4167199999999998</v>
      </c>
      <c r="X75" s="9">
        <v>736.82</v>
      </c>
      <c r="Y75" s="9">
        <v>1085.3499999999999</v>
      </c>
      <c r="Z75" s="9">
        <v>25</v>
      </c>
      <c r="AA75" s="9">
        <v>5.0999999999999996</v>
      </c>
      <c r="AB75" s="9">
        <v>1.44</v>
      </c>
      <c r="AC75" s="9">
        <f>Data[[#This Row],[total_chol (umol/L)]]-Data[[#This Row],[HDL_chol (umol/L)]]</f>
        <v>3.6599999999999997</v>
      </c>
      <c r="AD75" s="9">
        <f>Data[[#This Row],[Non_HDL (umol/L)]]-(Data[[#This Row],[TAG (umol/L)]]/2200)</f>
        <v>3.1666590909090906</v>
      </c>
      <c r="AE75" s="9">
        <v>292.91000000000003</v>
      </c>
      <c r="AF75" s="51">
        <v>4.5000846644386288E-3</v>
      </c>
      <c r="AG75" s="9">
        <v>8.8281167332723012</v>
      </c>
      <c r="AH75" s="23">
        <f>(Data[[#This Row],[DNL (%)]]/100)*Data[[#This Row],[VLDL (umol/L)]]</f>
        <v>25.8584367234279</v>
      </c>
      <c r="AI75" s="9">
        <f>[4]SAMPLES!$L$239</f>
        <v>23.487683473091366</v>
      </c>
      <c r="AJ75" s="57">
        <f>(Data[[#This Row],[Gluconeogensis (%)]]/100)*Data[[#This Row],[Glucose (umol/L)]]</f>
        <v>1.1227112700137674</v>
      </c>
    </row>
    <row r="76" spans="1:37" s="7" customFormat="1" x14ac:dyDescent="0.25">
      <c r="A76" s="7">
        <v>91</v>
      </c>
      <c r="B76" s="7" t="s">
        <v>154</v>
      </c>
      <c r="C76" s="7" t="s">
        <v>155</v>
      </c>
      <c r="F76" s="7" t="s">
        <v>227</v>
      </c>
      <c r="G76" s="7">
        <v>42</v>
      </c>
      <c r="H76" s="7">
        <v>163</v>
      </c>
      <c r="I76" s="7">
        <v>55.9</v>
      </c>
      <c r="J76" s="8">
        <f t="shared" si="3"/>
        <v>21.039557378900223</v>
      </c>
      <c r="K76" s="7">
        <v>77</v>
      </c>
      <c r="L76" s="7">
        <v>89</v>
      </c>
      <c r="M76" s="9">
        <f>Data[[#This Row],[Waist_Circumference]]/Data[[#This Row],[Hip_circumference]]</f>
        <v>0.8651685393258427</v>
      </c>
      <c r="N76" s="10">
        <v>13220</v>
      </c>
      <c r="O76" s="10">
        <v>39190</v>
      </c>
      <c r="P76" s="10">
        <f t="shared" si="4"/>
        <v>52410</v>
      </c>
      <c r="Q76" s="9">
        <f>(Data[[#This Row],[Total_fat_g]]/Data[[#This Row],[Total_mass_g]])*100</f>
        <v>25.224193856134324</v>
      </c>
      <c r="R76" s="9">
        <f>(Data[[#This Row],[Lean_mass_g]]/Data[[#This Row],[Total_mass_g]])*100</f>
        <v>74.77580614386568</v>
      </c>
      <c r="S76" s="9"/>
      <c r="T76" s="9">
        <v>0.27</v>
      </c>
      <c r="U76" s="9">
        <v>4.88</v>
      </c>
      <c r="V76" s="9">
        <v>10.210000000000001</v>
      </c>
      <c r="W76" s="9">
        <f>(Data[[#This Row],[Glucose (umol/L)]]*Data[[#This Row],[Insulin (umol/L)]])/22.5</f>
        <v>2.2144355555555557</v>
      </c>
      <c r="X76" s="9">
        <v>710.56</v>
      </c>
      <c r="Y76" s="9">
        <v>610.75</v>
      </c>
      <c r="Z76" s="9">
        <v>69.599999999999994</v>
      </c>
      <c r="AA76" s="9">
        <v>5.6</v>
      </c>
      <c r="AB76" s="9">
        <v>2.61</v>
      </c>
      <c r="AC76" s="9">
        <f>Data[[#This Row],[total_chol (umol/L)]]-Data[[#This Row],[HDL_chol (umol/L)]]</f>
        <v>2.9899999999999998</v>
      </c>
      <c r="AD76" s="9">
        <f>Data[[#This Row],[Non_HDL (umol/L)]]-(Data[[#This Row],[TAG (umol/L)]]/2200)</f>
        <v>2.7123863636363632</v>
      </c>
      <c r="AE76" s="9">
        <v>75.209999999999994</v>
      </c>
      <c r="AF76" s="51">
        <v>4.0487797281077188E-3</v>
      </c>
      <c r="AG76" s="9">
        <v>3.362404793011295</v>
      </c>
      <c r="AH76" s="23">
        <f>(Data[[#This Row],[DNL (%)]]/100)*Data[[#This Row],[VLDL (umol/L)]]</f>
        <v>2.5288646448237948</v>
      </c>
      <c r="AI76" s="9">
        <f>[4]SAMPLES!$L$240</f>
        <v>24.717424485795167</v>
      </c>
      <c r="AJ76" s="57">
        <f>(Data[[#This Row],[Gluconeogensis (%)]]/100)*Data[[#This Row],[Glucose (umol/L)]]</f>
        <v>1.2062103149068042</v>
      </c>
    </row>
    <row r="77" spans="1:37" s="7" customFormat="1" x14ac:dyDescent="0.25">
      <c r="A77" s="7">
        <v>92</v>
      </c>
      <c r="B77" s="7" t="s">
        <v>156</v>
      </c>
      <c r="C77" s="7" t="s">
        <v>157</v>
      </c>
      <c r="F77" s="7" t="s">
        <v>227</v>
      </c>
      <c r="G77" s="7">
        <v>39</v>
      </c>
      <c r="H77" s="7">
        <v>157</v>
      </c>
      <c r="I77" s="7">
        <v>65.599999999999994</v>
      </c>
      <c r="J77" s="8">
        <f t="shared" si="3"/>
        <v>26.613655726398633</v>
      </c>
      <c r="K77" s="7">
        <v>93</v>
      </c>
      <c r="L77" s="7">
        <v>97</v>
      </c>
      <c r="M77" s="9">
        <f>Data[[#This Row],[Waist_Circumference]]/Data[[#This Row],[Hip_circumference]]</f>
        <v>0.95876288659793818</v>
      </c>
      <c r="N77" s="10">
        <v>24230</v>
      </c>
      <c r="O77" s="10">
        <v>37670</v>
      </c>
      <c r="P77" s="10">
        <f t="shared" si="4"/>
        <v>61900</v>
      </c>
      <c r="Q77" s="9">
        <f>(Data[[#This Row],[Total_fat_g]]/Data[[#This Row],[Total_mass_g]])*100</f>
        <v>39.143780290791597</v>
      </c>
      <c r="R77" s="9">
        <f>(Data[[#This Row],[Lean_mass_g]]/Data[[#This Row],[Total_mass_g]])*100</f>
        <v>60.856219709208403</v>
      </c>
      <c r="S77" s="9">
        <v>1058</v>
      </c>
      <c r="T77" s="9">
        <v>11.45</v>
      </c>
      <c r="U77" s="9">
        <v>5.35</v>
      </c>
      <c r="V77" s="9">
        <v>29.26</v>
      </c>
      <c r="W77" s="9">
        <f>(Data[[#This Row],[Glucose (umol/L)]]*Data[[#This Row],[Insulin (umol/L)]])/22.5</f>
        <v>6.9573777777777774</v>
      </c>
      <c r="X77" s="9">
        <v>457.95</v>
      </c>
      <c r="Y77" s="9">
        <v>4510.3999999999996</v>
      </c>
      <c r="Z77" s="9">
        <v>13.55</v>
      </c>
      <c r="AA77" s="9">
        <v>5.0999999999999996</v>
      </c>
      <c r="AB77" s="9">
        <v>1.31</v>
      </c>
      <c r="AC77" s="9">
        <f>Data[[#This Row],[total_chol (umol/L)]]-Data[[#This Row],[HDL_chol (umol/L)]]</f>
        <v>3.7899999999999996</v>
      </c>
      <c r="AD77" s="9">
        <f>Data[[#This Row],[Non_HDL (umol/L)]]-(Data[[#This Row],[TAG (umol/L)]]/2200)</f>
        <v>1.7398181818181815</v>
      </c>
      <c r="AE77" s="9">
        <v>2082.71</v>
      </c>
      <c r="AF77" s="51">
        <v>4.8912743689080995E-3</v>
      </c>
      <c r="AG77" s="9">
        <v>22.967615516523857</v>
      </c>
      <c r="AH77" s="23">
        <f>(Data[[#This Row],[DNL (%)]]/100)*Data[[#This Row],[VLDL (umol/L)]]</f>
        <v>478.34882512419404</v>
      </c>
      <c r="AI77" s="9">
        <f>[4]SAMPLES!$L$241</f>
        <v>16.086414074136709</v>
      </c>
      <c r="AJ77" s="57">
        <f>(Data[[#This Row],[Gluconeogensis (%)]]/100)*Data[[#This Row],[Glucose (umol/L)]]</f>
        <v>0.86062315296631386</v>
      </c>
    </row>
    <row r="78" spans="1:37" s="7" customFormat="1" x14ac:dyDescent="0.25">
      <c r="A78" s="7">
        <v>93</v>
      </c>
      <c r="B78" s="7" t="s">
        <v>158</v>
      </c>
      <c r="C78" s="7" t="s">
        <v>159</v>
      </c>
      <c r="F78" s="7" t="s">
        <v>227</v>
      </c>
      <c r="G78" s="7">
        <v>63</v>
      </c>
      <c r="H78" s="7">
        <v>158</v>
      </c>
      <c r="I78" s="7">
        <v>56.75</v>
      </c>
      <c r="J78" s="8">
        <f t="shared" si="3"/>
        <v>22.73273513859958</v>
      </c>
      <c r="K78" s="7">
        <v>80</v>
      </c>
      <c r="L78" s="7">
        <v>94</v>
      </c>
      <c r="M78" s="9">
        <f>Data[[#This Row],[Waist_Circumference]]/Data[[#This Row],[Hip_circumference]]</f>
        <v>0.85106382978723405</v>
      </c>
      <c r="N78" s="10">
        <v>15530</v>
      </c>
      <c r="O78" s="10">
        <v>37960</v>
      </c>
      <c r="P78" s="10">
        <f t="shared" si="4"/>
        <v>53490</v>
      </c>
      <c r="Q78" s="9">
        <f>(Data[[#This Row],[Total_fat_g]]/Data[[#This Row],[Total_mass_g]])*100</f>
        <v>29.033464198915688</v>
      </c>
      <c r="R78" s="9">
        <f>(Data[[#This Row],[Lean_mass_g]]/Data[[#This Row],[Total_mass_g]])*100</f>
        <v>70.966535801084319</v>
      </c>
      <c r="S78" s="9"/>
      <c r="T78" s="9">
        <v>1.7</v>
      </c>
      <c r="U78" s="9">
        <v>5.08</v>
      </c>
      <c r="V78" s="9">
        <v>9.43</v>
      </c>
      <c r="W78" s="9">
        <f>(Data[[#This Row],[Glucose (umol/L)]]*Data[[#This Row],[Insulin (umol/L)]])/22.5</f>
        <v>2.1290844444444446</v>
      </c>
      <c r="X78" s="9">
        <v>562.51</v>
      </c>
      <c r="Y78" s="9">
        <v>630.15</v>
      </c>
      <c r="Z78" s="9">
        <v>36.5</v>
      </c>
      <c r="AA78" s="9">
        <v>6.2</v>
      </c>
      <c r="AB78" s="9">
        <v>2.62</v>
      </c>
      <c r="AC78" s="9">
        <f>Data[[#This Row],[total_chol (umol/L)]]-Data[[#This Row],[HDL_chol (umol/L)]]</f>
        <v>3.58</v>
      </c>
      <c r="AD78" s="9">
        <f>Data[[#This Row],[Non_HDL (umol/L)]]-(Data[[#This Row],[TAG (umol/L)]]/2200)</f>
        <v>3.2935681818181819</v>
      </c>
      <c r="AE78" s="9">
        <v>153.16</v>
      </c>
      <c r="AF78" s="51">
        <v>4.3935518817907054E-3</v>
      </c>
      <c r="AG78" s="9">
        <v>8.2397706338311831</v>
      </c>
      <c r="AH78" s="23">
        <f>(Data[[#This Row],[DNL (%)]]/100)*Data[[#This Row],[VLDL (umol/L)]]</f>
        <v>12.620032702775841</v>
      </c>
      <c r="AI78" s="9">
        <f>[4]SAMPLES!$L$242</f>
        <v>17.164176777349216</v>
      </c>
      <c r="AJ78" s="57">
        <f>(Data[[#This Row],[Gluconeogensis (%)]]/100)*Data[[#This Row],[Glucose (umol/L)]]</f>
        <v>0.87194018028934017</v>
      </c>
    </row>
    <row r="79" spans="1:37" s="7" customFormat="1" x14ac:dyDescent="0.25">
      <c r="A79" s="7">
        <v>94</v>
      </c>
      <c r="B79" s="7" t="s">
        <v>160</v>
      </c>
      <c r="C79" s="7" t="s">
        <v>161</v>
      </c>
      <c r="F79" s="7" t="s">
        <v>227</v>
      </c>
      <c r="G79" s="7">
        <v>45</v>
      </c>
      <c r="H79" s="7">
        <v>163</v>
      </c>
      <c r="I79" s="7">
        <v>53.6</v>
      </c>
      <c r="J79" s="8">
        <f t="shared" si="3"/>
        <v>20.17388686062705</v>
      </c>
      <c r="K79" s="7">
        <v>73</v>
      </c>
      <c r="L79" s="7">
        <v>89</v>
      </c>
      <c r="M79" s="9">
        <f>Data[[#This Row],[Waist_Circumference]]/Data[[#This Row],[Hip_circumference]]</f>
        <v>0.8202247191011236</v>
      </c>
      <c r="N79" s="10">
        <v>12260</v>
      </c>
      <c r="O79" s="10">
        <v>38230</v>
      </c>
      <c r="P79" s="10">
        <f t="shared" si="4"/>
        <v>50490</v>
      </c>
      <c r="Q79" s="9">
        <f>(Data[[#This Row],[Total_fat_g]]/Data[[#This Row],[Total_mass_g]])*100</f>
        <v>24.282036046741929</v>
      </c>
      <c r="R79" s="9">
        <f>(Data[[#This Row],[Lean_mass_g]]/Data[[#This Row],[Total_mass_g]])*100</f>
        <v>75.717963953258078</v>
      </c>
      <c r="S79" s="9"/>
      <c r="T79" s="9">
        <v>0.79</v>
      </c>
      <c r="U79" s="9">
        <v>5.25</v>
      </c>
      <c r="V79" s="9">
        <v>7.8</v>
      </c>
      <c r="W79" s="9">
        <f>(Data[[#This Row],[Glucose (umol/L)]]*Data[[#This Row],[Insulin (umol/L)]])/22.5</f>
        <v>1.8199999999999998</v>
      </c>
      <c r="X79" s="9">
        <v>543.29999999999995</v>
      </c>
      <c r="Y79" s="9">
        <v>696.6</v>
      </c>
      <c r="Z79" s="9">
        <v>163.65</v>
      </c>
      <c r="AA79" s="9">
        <v>4.7</v>
      </c>
      <c r="AB79" s="9">
        <v>1.72</v>
      </c>
      <c r="AC79" s="9">
        <f>Data[[#This Row],[total_chol (umol/L)]]-Data[[#This Row],[HDL_chol (umol/L)]]</f>
        <v>2.9800000000000004</v>
      </c>
      <c r="AD79" s="9">
        <f>Data[[#This Row],[Non_HDL (umol/L)]]-(Data[[#This Row],[TAG (umol/L)]]/2200)</f>
        <v>2.6633636363636368</v>
      </c>
      <c r="AE79" s="9">
        <v>105.11</v>
      </c>
      <c r="AF79" s="51">
        <v>4.2939544957694923E-3</v>
      </c>
      <c r="AG79" s="9">
        <v>6.1714673562815907</v>
      </c>
      <c r="AH79" s="23">
        <f>(Data[[#This Row],[DNL (%)]]/100)*Data[[#This Row],[VLDL (umol/L)]]</f>
        <v>6.4868293381875803</v>
      </c>
      <c r="AI79" s="9">
        <f>[4]SAMPLES!$L$243</f>
        <v>36.859689901046202</v>
      </c>
      <c r="AJ79" s="57">
        <f>(Data[[#This Row],[Gluconeogensis (%)]]/100)*Data[[#This Row],[Glucose (umol/L)]]</f>
        <v>1.9351337198049254</v>
      </c>
    </row>
    <row r="80" spans="1:37" s="7" customFormat="1" x14ac:dyDescent="0.25">
      <c r="A80" s="7">
        <v>95</v>
      </c>
      <c r="B80" s="7" t="s">
        <v>162</v>
      </c>
      <c r="C80" s="7" t="s">
        <v>163</v>
      </c>
      <c r="F80" s="7" t="s">
        <v>227</v>
      </c>
      <c r="G80" s="7">
        <v>40</v>
      </c>
      <c r="H80" s="7">
        <v>155</v>
      </c>
      <c r="I80" s="7">
        <v>53.75</v>
      </c>
      <c r="J80" s="8">
        <f t="shared" si="3"/>
        <v>22.372528616024972</v>
      </c>
      <c r="K80" s="7">
        <v>75</v>
      </c>
      <c r="L80" s="7">
        <v>90</v>
      </c>
      <c r="M80" s="9">
        <f>Data[[#This Row],[Waist_Circumference]]/Data[[#This Row],[Hip_circumference]]</f>
        <v>0.83333333333333337</v>
      </c>
      <c r="N80" s="10">
        <v>15020</v>
      </c>
      <c r="O80" s="10">
        <v>33610</v>
      </c>
      <c r="P80" s="10">
        <f t="shared" si="4"/>
        <v>48630</v>
      </c>
      <c r="Q80" s="9">
        <f>(Data[[#This Row],[Total_fat_g]]/Data[[#This Row],[Total_mass_g]])*100</f>
        <v>30.886284186716018</v>
      </c>
      <c r="R80" s="9">
        <f>(Data[[#This Row],[Lean_mass_g]]/Data[[#This Row],[Total_mass_g]])*100</f>
        <v>69.113715813283989</v>
      </c>
      <c r="S80" s="9">
        <v>166</v>
      </c>
      <c r="T80" s="9">
        <v>0.44</v>
      </c>
      <c r="U80" s="9">
        <v>4.59</v>
      </c>
      <c r="V80" s="9">
        <v>3.13</v>
      </c>
      <c r="W80" s="9">
        <f>(Data[[#This Row],[Glucose (umol/L)]]*Data[[#This Row],[Insulin (umol/L)]])/22.5</f>
        <v>0.63851999999999998</v>
      </c>
      <c r="X80" s="9">
        <v>496.89</v>
      </c>
      <c r="Y80" s="9">
        <v>493.35</v>
      </c>
      <c r="Z80" s="9">
        <v>56.5</v>
      </c>
      <c r="AA80" s="9">
        <v>4.5</v>
      </c>
      <c r="AB80" s="9">
        <v>1.43</v>
      </c>
      <c r="AC80" s="9">
        <f>Data[[#This Row],[total_chol (umol/L)]]-Data[[#This Row],[HDL_chol (umol/L)]]</f>
        <v>3.0700000000000003</v>
      </c>
      <c r="AD80" s="9">
        <f>Data[[#This Row],[Non_HDL (umol/L)]]-(Data[[#This Row],[TAG (umol/L)]]/2200)</f>
        <v>2.8457500000000002</v>
      </c>
      <c r="AE80" s="9">
        <v>70.28</v>
      </c>
      <c r="AF80" s="51">
        <v>4.9526745261198272E-3</v>
      </c>
      <c r="AG80" s="9">
        <v>8.8794998531281877</v>
      </c>
      <c r="AH80" s="23">
        <f>(Data[[#This Row],[DNL (%)]]/100)*Data[[#This Row],[VLDL (umol/L)]]</f>
        <v>6.2405124967784902</v>
      </c>
      <c r="AI80" s="9">
        <f>[4]SAMPLES!$L$244</f>
        <v>25.654003967705062</v>
      </c>
      <c r="AJ80" s="57">
        <f>(Data[[#This Row],[Gluconeogensis (%)]]/100)*Data[[#This Row],[Glucose (umol/L)]]</f>
        <v>1.1775187821176625</v>
      </c>
    </row>
    <row r="81" spans="1:37" s="7" customFormat="1" x14ac:dyDescent="0.25">
      <c r="A81" s="7">
        <v>96</v>
      </c>
      <c r="B81" s="7" t="s">
        <v>164</v>
      </c>
      <c r="C81" s="7" t="s">
        <v>165</v>
      </c>
      <c r="F81" s="7" t="s">
        <v>227</v>
      </c>
      <c r="G81" s="7">
        <v>59</v>
      </c>
      <c r="H81" s="7">
        <v>163</v>
      </c>
      <c r="I81" s="7">
        <v>57.15</v>
      </c>
      <c r="J81" s="8">
        <f t="shared" si="3"/>
        <v>21.510030486657385</v>
      </c>
      <c r="K81" s="7">
        <v>71</v>
      </c>
      <c r="L81" s="7">
        <v>92</v>
      </c>
      <c r="M81" s="9">
        <f>Data[[#This Row],[Waist_Circumference]]/Data[[#This Row],[Hip_circumference]]</f>
        <v>0.77173913043478259</v>
      </c>
      <c r="N81" s="10">
        <v>20380</v>
      </c>
      <c r="O81" s="10">
        <v>33940</v>
      </c>
      <c r="P81" s="10">
        <f t="shared" si="4"/>
        <v>54320</v>
      </c>
      <c r="Q81" s="9">
        <f>(Data[[#This Row],[Total_fat_g]]/Data[[#This Row],[Total_mass_g]])*100</f>
        <v>37.518409425625919</v>
      </c>
      <c r="R81" s="9">
        <f>(Data[[#This Row],[Lean_mass_g]]/Data[[#This Row],[Total_mass_g]])*100</f>
        <v>62.481590574374081</v>
      </c>
      <c r="S81" s="9"/>
      <c r="T81" s="9">
        <v>0.62</v>
      </c>
      <c r="U81" s="9">
        <v>4.24</v>
      </c>
      <c r="V81" s="9">
        <v>10.96</v>
      </c>
      <c r="W81" s="9">
        <f>(Data[[#This Row],[Glucose (umol/L)]]*Data[[#This Row],[Insulin (umol/L)]])/22.5</f>
        <v>2.0653511111111111</v>
      </c>
      <c r="X81" s="9">
        <v>417.96</v>
      </c>
      <c r="Y81" s="9">
        <v>1157.2</v>
      </c>
      <c r="Z81" s="9">
        <v>22.45</v>
      </c>
      <c r="AA81" s="9">
        <v>6.8</v>
      </c>
      <c r="AB81" s="9">
        <v>1.41</v>
      </c>
      <c r="AC81" s="9">
        <f>Data[[#This Row],[total_chol (umol/L)]]-Data[[#This Row],[HDL_chol (umol/L)]]</f>
        <v>5.39</v>
      </c>
      <c r="AD81" s="9">
        <f>Data[[#This Row],[Non_HDL (umol/L)]]-(Data[[#This Row],[TAG (umol/L)]]/2200)</f>
        <v>4.8639999999999999</v>
      </c>
      <c r="AE81" s="9">
        <v>419.89</v>
      </c>
      <c r="AF81" s="51">
        <v>5.196424340378817E-3</v>
      </c>
      <c r="AG81" s="9">
        <v>16.567225799444088</v>
      </c>
      <c r="AH81" s="23">
        <f>(Data[[#This Row],[DNL (%)]]/100)*Data[[#This Row],[VLDL (umol/L)]]</f>
        <v>69.564124409285782</v>
      </c>
      <c r="AI81" s="9">
        <f>[4]SAMPLES!$L$245</f>
        <v>16.54043276443204</v>
      </c>
      <c r="AJ81" s="57">
        <f>(Data[[#This Row],[Gluconeogensis (%)]]/100)*Data[[#This Row],[Glucose (umol/L)]]</f>
        <v>0.70131434921191849</v>
      </c>
    </row>
    <row r="82" spans="1:37" s="7" customFormat="1" x14ac:dyDescent="0.25">
      <c r="A82" s="7">
        <v>97</v>
      </c>
      <c r="B82" s="7" t="s">
        <v>166</v>
      </c>
      <c r="C82" s="7" t="s">
        <v>167</v>
      </c>
      <c r="F82" s="7" t="s">
        <v>227</v>
      </c>
      <c r="G82" s="7">
        <v>61</v>
      </c>
      <c r="H82" s="7">
        <v>166</v>
      </c>
      <c r="I82" s="7">
        <v>62.2</v>
      </c>
      <c r="J82" s="8">
        <f t="shared" si="3"/>
        <v>22.572216577151984</v>
      </c>
      <c r="K82" s="7">
        <v>78</v>
      </c>
      <c r="L82" s="7">
        <v>102</v>
      </c>
      <c r="M82" s="9">
        <f>Data[[#This Row],[Waist_Circumference]]/Data[[#This Row],[Hip_circumference]]</f>
        <v>0.76470588235294112</v>
      </c>
      <c r="N82" s="10">
        <v>20960</v>
      </c>
      <c r="O82" s="10">
        <v>36530</v>
      </c>
      <c r="P82" s="10">
        <f t="shared" si="4"/>
        <v>57490</v>
      </c>
      <c r="Q82" s="9">
        <f>(Data[[#This Row],[Total_fat_g]]/Data[[#This Row],[Total_mass_g]])*100</f>
        <v>36.458514524265091</v>
      </c>
      <c r="R82" s="9">
        <f>(Data[[#This Row],[Lean_mass_g]]/Data[[#This Row],[Total_mass_g]])*100</f>
        <v>63.541485475734916</v>
      </c>
      <c r="S82" s="9"/>
      <c r="T82" s="9">
        <v>0.84</v>
      </c>
      <c r="U82" s="9">
        <v>5.04</v>
      </c>
      <c r="V82" s="9">
        <v>11.33</v>
      </c>
      <c r="W82" s="9">
        <f>(Data[[#This Row],[Glucose (umol/L)]]*Data[[#This Row],[Insulin (umol/L)]])/22.5</f>
        <v>2.5379200000000002</v>
      </c>
      <c r="X82" s="9">
        <v>728.46</v>
      </c>
      <c r="Y82" s="9">
        <v>872.25</v>
      </c>
      <c r="Z82" s="9">
        <v>66.25</v>
      </c>
      <c r="AA82" s="9">
        <v>5.3</v>
      </c>
      <c r="AB82" s="9">
        <v>1.49</v>
      </c>
      <c r="AC82" s="9">
        <f>Data[[#This Row],[total_chol (umol/L)]]-Data[[#This Row],[HDL_chol (umol/L)]]</f>
        <v>3.8099999999999996</v>
      </c>
      <c r="AD82" s="9">
        <f>Data[[#This Row],[Non_HDL (umol/L)]]-(Data[[#This Row],[TAG (umol/L)]]/2200)</f>
        <v>3.4135227272727269</v>
      </c>
      <c r="AE82" s="9">
        <v>152.6</v>
      </c>
      <c r="AF82" s="51">
        <v>3.3057923255605075E-3</v>
      </c>
      <c r="AG82" s="9">
        <v>0.94187294814668587</v>
      </c>
      <c r="AH82" s="23">
        <f>(Data[[#This Row],[DNL (%)]]/100)*Data[[#This Row],[VLDL (umol/L)]]</f>
        <v>1.4372981188718426</v>
      </c>
      <c r="AI82" s="9">
        <f>[4]SAMPLES!$L$246</f>
        <v>32.488771999192686</v>
      </c>
      <c r="AJ82" s="57">
        <f>(Data[[#This Row],[Gluconeogensis (%)]]/100)*Data[[#This Row],[Glucose (umol/L)]]</f>
        <v>1.6374341087593112</v>
      </c>
    </row>
    <row r="83" spans="1:37" s="7" customFormat="1" x14ac:dyDescent="0.25">
      <c r="A83" s="7">
        <v>98</v>
      </c>
      <c r="B83" s="7" t="s">
        <v>168</v>
      </c>
      <c r="C83" s="7" t="s">
        <v>169</v>
      </c>
      <c r="F83" s="7" t="s">
        <v>227</v>
      </c>
      <c r="G83" s="7">
        <v>40</v>
      </c>
      <c r="H83" s="7">
        <v>169</v>
      </c>
      <c r="I83" s="7">
        <v>82.15</v>
      </c>
      <c r="J83" s="8">
        <f t="shared" si="3"/>
        <v>28.762998494450478</v>
      </c>
      <c r="K83" s="7">
        <v>97</v>
      </c>
      <c r="L83" s="7">
        <v>104</v>
      </c>
      <c r="M83" s="9">
        <f>Data[[#This Row],[Waist_Circumference]]/Data[[#This Row],[Hip_circumference]]</f>
        <v>0.93269230769230771</v>
      </c>
      <c r="N83" s="10">
        <v>30440</v>
      </c>
      <c r="O83" s="10">
        <v>48090</v>
      </c>
      <c r="P83" s="10">
        <f t="shared" si="4"/>
        <v>78530</v>
      </c>
      <c r="Q83" s="9">
        <f>(Data[[#This Row],[Total_fat_g]]/Data[[#This Row],[Total_mass_g]])*100</f>
        <v>38.762256462498407</v>
      </c>
      <c r="R83" s="9">
        <f>(Data[[#This Row],[Lean_mass_g]]/Data[[#This Row],[Total_mass_g]])*100</f>
        <v>61.237743537501586</v>
      </c>
      <c r="S83" s="9"/>
      <c r="T83" s="9">
        <v>1.88</v>
      </c>
      <c r="U83" s="9">
        <v>5.55</v>
      </c>
      <c r="V83" s="9">
        <v>11.92</v>
      </c>
      <c r="W83" s="9">
        <f>(Data[[#This Row],[Glucose (umol/L)]]*Data[[#This Row],[Insulin (umol/L)]])/22.5</f>
        <v>2.9402666666666661</v>
      </c>
      <c r="X83" s="9">
        <v>648.37</v>
      </c>
      <c r="Y83" s="9">
        <v>1794</v>
      </c>
      <c r="Z83" s="9">
        <v>77</v>
      </c>
      <c r="AA83" s="9">
        <v>5.6</v>
      </c>
      <c r="AB83" s="9">
        <v>1.02</v>
      </c>
      <c r="AC83" s="9">
        <f>Data[[#This Row],[total_chol (umol/L)]]-Data[[#This Row],[HDL_chol (umol/L)]]</f>
        <v>4.58</v>
      </c>
      <c r="AD83" s="9">
        <f>Data[[#This Row],[Non_HDL (umol/L)]]-(Data[[#This Row],[TAG (umol/L)]]/2200)</f>
        <v>3.7645454545454546</v>
      </c>
      <c r="AE83" s="9">
        <v>580.84</v>
      </c>
      <c r="AF83" s="51">
        <v>3.689054983687295E-3</v>
      </c>
      <c r="AG83" s="9">
        <v>10.602616804735556</v>
      </c>
      <c r="AH83" s="23">
        <f>(Data[[#This Row],[DNL (%)]]/100)*Data[[#This Row],[VLDL (umol/L)]]</f>
        <v>61.584239448626001</v>
      </c>
      <c r="AI83" s="9">
        <f>[4]SAMPLES!$L$247</f>
        <v>34.464231805192455</v>
      </c>
      <c r="AJ83" s="57">
        <f>(Data[[#This Row],[Gluconeogensis (%)]]/100)*Data[[#This Row],[Glucose (umol/L)]]</f>
        <v>1.912764865188181</v>
      </c>
    </row>
    <row r="84" spans="1:37" s="7" customFormat="1" x14ac:dyDescent="0.25">
      <c r="A84" s="7">
        <v>99</v>
      </c>
      <c r="B84" s="7" t="s">
        <v>170</v>
      </c>
      <c r="C84" s="7" t="s">
        <v>171</v>
      </c>
      <c r="F84" s="7" t="s">
        <v>227</v>
      </c>
      <c r="G84" s="7">
        <v>44</v>
      </c>
      <c r="H84" s="7">
        <v>175</v>
      </c>
      <c r="I84" s="7">
        <v>71</v>
      </c>
      <c r="J84" s="8">
        <f t="shared" si="3"/>
        <v>23.183673469387756</v>
      </c>
      <c r="K84" s="7">
        <v>82</v>
      </c>
      <c r="L84" s="7">
        <v>100</v>
      </c>
      <c r="M84" s="9">
        <f>Data[[#This Row],[Waist_Circumference]]/Data[[#This Row],[Hip_circumference]]</f>
        <v>0.82</v>
      </c>
      <c r="N84" s="10">
        <v>24680</v>
      </c>
      <c r="O84" s="10">
        <v>41790</v>
      </c>
      <c r="P84" s="10">
        <f t="shared" si="4"/>
        <v>66470</v>
      </c>
      <c r="Q84" s="9">
        <f>(Data[[#This Row],[Total_fat_g]]/Data[[#This Row],[Total_mass_g]])*100</f>
        <v>37.129532119753272</v>
      </c>
      <c r="R84" s="9">
        <f>(Data[[#This Row],[Lean_mass_g]]/Data[[#This Row],[Total_mass_g]])*100</f>
        <v>62.870467880246728</v>
      </c>
      <c r="S84" s="9"/>
      <c r="T84" s="9">
        <v>0.72</v>
      </c>
      <c r="U84" s="9">
        <v>5.69</v>
      </c>
      <c r="V84" s="9">
        <v>12.25</v>
      </c>
      <c r="W84" s="9">
        <f>(Data[[#This Row],[Glucose (umol/L)]]*Data[[#This Row],[Insulin (umol/L)]])/22.5</f>
        <v>3.0978888888888889</v>
      </c>
      <c r="X84" s="9">
        <v>524.61</v>
      </c>
      <c r="Y84" s="9">
        <v>855.05</v>
      </c>
      <c r="Z84" s="9">
        <v>53.75</v>
      </c>
      <c r="AA84" s="9">
        <v>4.9000000000000004</v>
      </c>
      <c r="AB84" s="9">
        <v>1.24</v>
      </c>
      <c r="AC84" s="9">
        <f>Data[[#This Row],[total_chol (umol/L)]]-Data[[#This Row],[HDL_chol (umol/L)]]</f>
        <v>3.66</v>
      </c>
      <c r="AD84" s="9">
        <f>Data[[#This Row],[Non_HDL (umol/L)]]-(Data[[#This Row],[TAG (umol/L)]]/2200)</f>
        <v>3.2713409090909091</v>
      </c>
      <c r="AE84" s="9">
        <v>187.3</v>
      </c>
      <c r="AF84" s="51">
        <v>4.0621275519744614E-3</v>
      </c>
      <c r="AG84" s="9">
        <v>7.625873961593288</v>
      </c>
      <c r="AH84" s="23">
        <f>(Data[[#This Row],[DNL (%)]]/100)*Data[[#This Row],[VLDL (umol/L)]]</f>
        <v>14.28326193006423</v>
      </c>
      <c r="AI84" s="9">
        <f>[4]SAMPLES!$L$248</f>
        <v>33.532529640957691</v>
      </c>
      <c r="AJ84" s="57">
        <f>(Data[[#This Row],[Gluconeogensis (%)]]/100)*Data[[#This Row],[Glucose (umol/L)]]</f>
        <v>1.9080009365704929</v>
      </c>
    </row>
    <row r="85" spans="1:37" s="7" customFormat="1" x14ac:dyDescent="0.25">
      <c r="A85" s="7">
        <v>100</v>
      </c>
      <c r="B85" s="7" t="s">
        <v>172</v>
      </c>
      <c r="C85" s="7" t="s">
        <v>173</v>
      </c>
      <c r="F85" s="7" t="s">
        <v>227</v>
      </c>
      <c r="G85" s="7">
        <v>60</v>
      </c>
      <c r="H85" s="7">
        <v>163</v>
      </c>
      <c r="I85" s="7">
        <v>65.5</v>
      </c>
      <c r="J85" s="8">
        <f t="shared" si="3"/>
        <v>24.652790846475217</v>
      </c>
      <c r="K85" s="7">
        <v>86</v>
      </c>
      <c r="L85" s="7">
        <v>90</v>
      </c>
      <c r="M85" s="9">
        <f>Data[[#This Row],[Waist_Circumference]]/Data[[#This Row],[Hip_circumference]]</f>
        <v>0.9555555555555556</v>
      </c>
      <c r="N85" s="10">
        <v>20920</v>
      </c>
      <c r="O85" s="10">
        <v>41940</v>
      </c>
      <c r="P85" s="10">
        <f t="shared" si="4"/>
        <v>62860</v>
      </c>
      <c r="Q85" s="9">
        <f>(Data[[#This Row],[Total_fat_g]]/Data[[#This Row],[Total_mass_g]])*100</f>
        <v>33.280305440661792</v>
      </c>
      <c r="R85" s="9">
        <f>(Data[[#This Row],[Lean_mass_g]]/Data[[#This Row],[Total_mass_g]])*100</f>
        <v>66.719694559338222</v>
      </c>
      <c r="S85" s="9"/>
      <c r="T85" s="9">
        <v>1.08</v>
      </c>
      <c r="U85" s="9">
        <v>5.04</v>
      </c>
      <c r="V85" s="9">
        <v>7.91</v>
      </c>
      <c r="W85" s="9">
        <f>(Data[[#This Row],[Glucose (umol/L)]]*Data[[#This Row],[Insulin (umol/L)]])/22.5</f>
        <v>1.7718399999999999</v>
      </c>
      <c r="X85" s="9">
        <v>531.86</v>
      </c>
      <c r="Y85" s="9">
        <v>1026.5999999999999</v>
      </c>
      <c r="Z85" s="9">
        <v>49.3</v>
      </c>
      <c r="AA85" s="9">
        <v>6.6</v>
      </c>
      <c r="AB85" s="9">
        <v>1.86</v>
      </c>
      <c r="AC85" s="9">
        <f>Data[[#This Row],[total_chol (umol/L)]]-Data[[#This Row],[HDL_chol (umol/L)]]</f>
        <v>4.7399999999999993</v>
      </c>
      <c r="AD85" s="9">
        <f>Data[[#This Row],[Non_HDL (umol/L)]]-(Data[[#This Row],[TAG (umol/L)]]/2200)</f>
        <v>4.2733636363636354</v>
      </c>
      <c r="AE85" s="9">
        <v>362.53</v>
      </c>
      <c r="AF85" s="51">
        <v>3.3471771133207571E-3</v>
      </c>
      <c r="AG85" s="9">
        <v>21.69994309474523</v>
      </c>
      <c r="AH85" s="23">
        <f>(Data[[#This Row],[DNL (%)]]/100)*Data[[#This Row],[VLDL (umol/L)]]</f>
        <v>78.668803701379872</v>
      </c>
      <c r="AI85" s="9">
        <f>[4]SAMPLES!$L$249</f>
        <v>26.237536712150959</v>
      </c>
      <c r="AJ85" s="57">
        <f>(Data[[#This Row],[Gluconeogensis (%)]]/100)*Data[[#This Row],[Glucose (umol/L)]]</f>
        <v>1.3223718502924084</v>
      </c>
    </row>
    <row r="86" spans="1:37" s="7" customFormat="1" x14ac:dyDescent="0.25">
      <c r="A86" s="7">
        <v>101</v>
      </c>
      <c r="B86" s="7" t="s">
        <v>174</v>
      </c>
      <c r="C86" s="7" t="s">
        <v>175</v>
      </c>
      <c r="F86" s="7" t="s">
        <v>227</v>
      </c>
      <c r="G86" s="7">
        <v>43</v>
      </c>
      <c r="H86" s="7">
        <v>164.5</v>
      </c>
      <c r="I86" s="7">
        <v>69.400000000000006</v>
      </c>
      <c r="J86" s="8">
        <f t="shared" si="3"/>
        <v>25.646474071747306</v>
      </c>
      <c r="K86" s="7">
        <v>83</v>
      </c>
      <c r="L86" s="7">
        <v>97</v>
      </c>
      <c r="M86" s="9">
        <f>Data[[#This Row],[Waist_Circumference]]/Data[[#This Row],[Hip_circumference]]</f>
        <v>0.85567010309278346</v>
      </c>
      <c r="N86" s="10">
        <v>21740</v>
      </c>
      <c r="O86" s="10">
        <v>43950</v>
      </c>
      <c r="P86" s="10">
        <f t="shared" si="4"/>
        <v>65690</v>
      </c>
      <c r="Q86" s="9">
        <f>(Data[[#This Row],[Total_fat_g]]/Data[[#This Row],[Total_mass_g]])*100</f>
        <v>33.094839397168521</v>
      </c>
      <c r="R86" s="9">
        <f>(Data[[#This Row],[Lean_mass_g]]/Data[[#This Row],[Total_mass_g]])*100</f>
        <v>66.905160602831486</v>
      </c>
      <c r="S86" s="9">
        <v>253</v>
      </c>
      <c r="T86" s="9">
        <v>0.73</v>
      </c>
      <c r="U86" s="9">
        <v>4.42</v>
      </c>
      <c r="V86" s="9">
        <v>7.71</v>
      </c>
      <c r="W86" s="9">
        <f>(Data[[#This Row],[Glucose (umol/L)]]*Data[[#This Row],[Insulin (umol/L)]])/22.5</f>
        <v>1.5145866666666667</v>
      </c>
      <c r="X86" s="9">
        <v>463.71</v>
      </c>
      <c r="Y86" s="9">
        <v>571.6</v>
      </c>
      <c r="Z86" s="9">
        <v>65.099999999999994</v>
      </c>
      <c r="AA86" s="9">
        <v>5.7</v>
      </c>
      <c r="AB86" s="9">
        <v>1.71</v>
      </c>
      <c r="AC86" s="9">
        <f>Data[[#This Row],[total_chol (umol/L)]]-Data[[#This Row],[HDL_chol (umol/L)]]</f>
        <v>3.99</v>
      </c>
      <c r="AD86" s="9">
        <f>Data[[#This Row],[Non_HDL (umol/L)]]-(Data[[#This Row],[TAG (umol/L)]]/2200)</f>
        <v>3.7301818181818183</v>
      </c>
      <c r="AE86" s="9">
        <v>126.15</v>
      </c>
      <c r="AF86" s="51">
        <v>3.5629553522395258E-3</v>
      </c>
      <c r="AG86" s="9">
        <v>3.652641913037471</v>
      </c>
      <c r="AH86" s="23">
        <f>(Data[[#This Row],[DNL (%)]]/100)*Data[[#This Row],[VLDL (umol/L)]]</f>
        <v>4.6078077732967699</v>
      </c>
      <c r="AI86" s="9">
        <f>[4]SAMPLES!$L$250</f>
        <v>18.238708517028204</v>
      </c>
      <c r="AJ86" s="57">
        <f>(Data[[#This Row],[Gluconeogensis (%)]]/100)*Data[[#This Row],[Glucose (umol/L)]]</f>
        <v>0.80615091645264658</v>
      </c>
    </row>
    <row r="87" spans="1:37" s="7" customFormat="1" x14ac:dyDescent="0.25">
      <c r="A87" s="7">
        <v>102</v>
      </c>
      <c r="B87" s="7" t="s">
        <v>92</v>
      </c>
      <c r="C87" s="7" t="s">
        <v>176</v>
      </c>
      <c r="F87" s="7" t="s">
        <v>227</v>
      </c>
      <c r="G87" s="7">
        <v>40</v>
      </c>
      <c r="H87" s="7">
        <v>161</v>
      </c>
      <c r="I87" s="7">
        <v>70</v>
      </c>
      <c r="J87" s="8">
        <f t="shared" si="3"/>
        <v>27.005130974885226</v>
      </c>
      <c r="K87" s="7">
        <v>82</v>
      </c>
      <c r="L87" s="7">
        <v>104</v>
      </c>
      <c r="M87" s="9">
        <f>Data[[#This Row],[Waist_Circumference]]/Data[[#This Row],[Hip_circumference]]</f>
        <v>0.78846153846153844</v>
      </c>
      <c r="N87" s="10">
        <v>25460</v>
      </c>
      <c r="O87" s="10">
        <v>41810</v>
      </c>
      <c r="P87" s="10">
        <f t="shared" si="4"/>
        <v>67270</v>
      </c>
      <c r="Q87" s="9">
        <f>(Data[[#This Row],[Total_fat_g]]/Data[[#This Row],[Total_mass_g]])*100</f>
        <v>37.847480303255537</v>
      </c>
      <c r="R87" s="9">
        <f>(Data[[#This Row],[Lean_mass_g]]/Data[[#This Row],[Total_mass_g]])*100</f>
        <v>62.152519696744456</v>
      </c>
      <c r="S87" s="9">
        <v>246</v>
      </c>
      <c r="T87" s="9">
        <v>0.32</v>
      </c>
      <c r="U87" s="9">
        <v>4.66</v>
      </c>
      <c r="V87" s="9">
        <v>9.4700000000000006</v>
      </c>
      <c r="W87" s="9">
        <f>(Data[[#This Row],[Glucose (umol/L)]]*Data[[#This Row],[Insulin (umol/L)]])/22.5</f>
        <v>1.9613422222222223</v>
      </c>
      <c r="X87" s="9">
        <v>627.79999999999995</v>
      </c>
      <c r="Y87" s="9">
        <v>708.6</v>
      </c>
      <c r="Z87" s="9">
        <v>77.7</v>
      </c>
      <c r="AA87" s="9">
        <v>5.0999999999999996</v>
      </c>
      <c r="AB87" s="9">
        <v>1.96</v>
      </c>
      <c r="AC87" s="9">
        <f>Data[[#This Row],[total_chol (umol/L)]]-Data[[#This Row],[HDL_chol (umol/L)]]</f>
        <v>3.1399999999999997</v>
      </c>
      <c r="AD87" s="9">
        <f>Data[[#This Row],[Non_HDL (umol/L)]]-(Data[[#This Row],[TAG (umol/L)]]/2200)</f>
        <v>2.8179090909090907</v>
      </c>
      <c r="AE87" s="9">
        <v>118.81</v>
      </c>
      <c r="AF87" s="51">
        <v>3.234598271791797E-3</v>
      </c>
      <c r="AG87" s="9">
        <v>1.0847127380694987</v>
      </c>
      <c r="AH87" s="23">
        <f>(Data[[#This Row],[DNL (%)]]/100)*Data[[#This Row],[VLDL (umol/L)]]</f>
        <v>1.2887472041003716</v>
      </c>
      <c r="AI87" s="9">
        <f>[4]SAMPLES!$L$251</f>
        <v>39.40980605079659</v>
      </c>
      <c r="AJ87" s="57">
        <f>(Data[[#This Row],[Gluconeogensis (%)]]/100)*Data[[#This Row],[Glucose (umol/L)]]</f>
        <v>1.8364969619671212</v>
      </c>
    </row>
    <row r="88" spans="1:37" s="7" customFormat="1" x14ac:dyDescent="0.25">
      <c r="A88" s="7">
        <v>103</v>
      </c>
      <c r="B88" s="7" t="s">
        <v>98</v>
      </c>
      <c r="C88" s="7" t="s">
        <v>177</v>
      </c>
      <c r="F88" s="7" t="s">
        <v>227</v>
      </c>
      <c r="G88" s="7">
        <v>45</v>
      </c>
      <c r="H88" s="7">
        <v>174</v>
      </c>
      <c r="I88" s="7">
        <v>71</v>
      </c>
      <c r="J88" s="8">
        <f t="shared" si="3"/>
        <v>23.450918219051392</v>
      </c>
      <c r="K88" s="7">
        <v>79</v>
      </c>
      <c r="L88" s="7">
        <v>99</v>
      </c>
      <c r="M88" s="9">
        <f>Data[[#This Row],[Waist_Circumference]]/Data[[#This Row],[Hip_circumference]]</f>
        <v>0.79797979797979801</v>
      </c>
      <c r="N88" s="10">
        <v>23030</v>
      </c>
      <c r="O88" s="10">
        <v>44560</v>
      </c>
      <c r="P88" s="10">
        <f t="shared" si="4"/>
        <v>67590</v>
      </c>
      <c r="Q88" s="9">
        <f>(Data[[#This Row],[Total_fat_g]]/Data[[#This Row],[Total_mass_g]])*100</f>
        <v>34.073087734872018</v>
      </c>
      <c r="R88" s="9">
        <f>(Data[[#This Row],[Lean_mass_g]]/Data[[#This Row],[Total_mass_g]])*100</f>
        <v>65.926912265127982</v>
      </c>
      <c r="S88" s="9"/>
      <c r="T88" s="9">
        <v>6.3</v>
      </c>
      <c r="U88" s="9">
        <v>5.16</v>
      </c>
      <c r="V88" s="9">
        <v>12.56</v>
      </c>
      <c r="W88" s="9">
        <f>(Data[[#This Row],[Glucose (umol/L)]]*Data[[#This Row],[Insulin (umol/L)]])/22.5</f>
        <v>2.8804266666666667</v>
      </c>
      <c r="X88" s="9">
        <v>498.84</v>
      </c>
      <c r="Y88" s="9">
        <v>619.70000000000005</v>
      </c>
      <c r="Z88" s="9">
        <v>80.400000000000006</v>
      </c>
      <c r="AA88" s="9">
        <v>4.0999999999999996</v>
      </c>
      <c r="AB88" s="9">
        <v>1.36</v>
      </c>
      <c r="AC88" s="9">
        <f>Data[[#This Row],[total_chol (umol/L)]]-Data[[#This Row],[HDL_chol (umol/L)]]</f>
        <v>2.7399999999999993</v>
      </c>
      <c r="AD88" s="9">
        <f>Data[[#This Row],[Non_HDL (umol/L)]]-(Data[[#This Row],[TAG (umol/L)]]/2200)</f>
        <v>2.4583181818181812</v>
      </c>
      <c r="AE88" s="9">
        <v>137.44</v>
      </c>
      <c r="AF88" s="51">
        <v>3.3378516216965078E-3</v>
      </c>
      <c r="AG88" s="9">
        <v>0.50759682217964619</v>
      </c>
      <c r="AH88" s="23">
        <f>(Data[[#This Row],[DNL (%)]]/100)*Data[[#This Row],[VLDL (umol/L)]]</f>
        <v>0.69764107240370565</v>
      </c>
      <c r="AI88" s="9">
        <f>[4]SAMPLES!$L$252</f>
        <v>38.841542295060158</v>
      </c>
      <c r="AJ88" s="57">
        <f>(Data[[#This Row],[Gluconeogensis (%)]]/100)*Data[[#This Row],[Glucose (umol/L)]]</f>
        <v>2.0042235824251042</v>
      </c>
    </row>
    <row r="89" spans="1:37" s="7" customFormat="1" x14ac:dyDescent="0.25">
      <c r="A89" s="7">
        <v>104</v>
      </c>
      <c r="B89" s="7" t="s">
        <v>178</v>
      </c>
      <c r="C89" s="7" t="s">
        <v>179</v>
      </c>
      <c r="F89" s="7" t="s">
        <v>227</v>
      </c>
      <c r="G89" s="7">
        <v>40</v>
      </c>
      <c r="H89" s="7">
        <v>166</v>
      </c>
      <c r="I89" s="7">
        <v>53.8</v>
      </c>
      <c r="J89" s="8">
        <f t="shared" si="3"/>
        <v>19.523878647118597</v>
      </c>
      <c r="K89" s="7">
        <v>75</v>
      </c>
      <c r="L89" s="7">
        <v>86</v>
      </c>
      <c r="M89" s="9">
        <f>Data[[#This Row],[Waist_Circumference]]/Data[[#This Row],[Hip_circumference]]</f>
        <v>0.87209302325581395</v>
      </c>
      <c r="N89" s="10">
        <v>12890</v>
      </c>
      <c r="O89" s="10">
        <v>38150</v>
      </c>
      <c r="P89" s="10">
        <f t="shared" si="4"/>
        <v>51040</v>
      </c>
      <c r="Q89" s="9">
        <f>(Data[[#This Row],[Total_fat_g]]/Data[[#This Row],[Total_mass_g]])*100</f>
        <v>25.254702194357364</v>
      </c>
      <c r="R89" s="9">
        <f>(Data[[#This Row],[Lean_mass_g]]/Data[[#This Row],[Total_mass_g]])*100</f>
        <v>74.745297805642636</v>
      </c>
      <c r="S89" s="9"/>
      <c r="T89" s="9">
        <v>0.87</v>
      </c>
      <c r="U89" s="9">
        <v>4.9000000000000004</v>
      </c>
      <c r="V89" s="9">
        <v>10.92</v>
      </c>
      <c r="W89" s="9">
        <f>(Data[[#This Row],[Glucose (umol/L)]]*Data[[#This Row],[Insulin (umol/L)]])/22.5</f>
        <v>2.3781333333333334</v>
      </c>
      <c r="X89" s="9">
        <v>719.2</v>
      </c>
      <c r="Y89" s="9">
        <v>666.5</v>
      </c>
      <c r="Z89" s="9">
        <v>53.65</v>
      </c>
      <c r="AA89" s="9">
        <v>5.5</v>
      </c>
      <c r="AB89" s="9">
        <v>2.2999999999999998</v>
      </c>
      <c r="AC89" s="9">
        <f>Data[[#This Row],[total_chol (umol/L)]]-Data[[#This Row],[HDL_chol (umol/L)]]</f>
        <v>3.2</v>
      </c>
      <c r="AD89" s="9">
        <f>Data[[#This Row],[Non_HDL (umol/L)]]-(Data[[#This Row],[TAG (umol/L)]]/2200)</f>
        <v>2.8970454545454549</v>
      </c>
      <c r="AE89" s="9">
        <v>94.49</v>
      </c>
      <c r="AF89" s="51">
        <v>3.066702768892658E-3</v>
      </c>
      <c r="AG89" s="9">
        <v>7.3203700719334908</v>
      </c>
      <c r="AH89" s="23">
        <f>(Data[[#This Row],[DNL (%)]]/100)*Data[[#This Row],[VLDL (umol/L)]]</f>
        <v>6.9170176809699546</v>
      </c>
      <c r="AI89" s="9">
        <f>[4]SAMPLES!$L$253</f>
        <v>29.461486048467812</v>
      </c>
      <c r="AJ89" s="57">
        <f>(Data[[#This Row],[Gluconeogensis (%)]]/100)*Data[[#This Row],[Glucose (umol/L)]]</f>
        <v>1.4436128163749229</v>
      </c>
    </row>
    <row r="90" spans="1:37" s="7" customFormat="1" x14ac:dyDescent="0.25">
      <c r="A90" s="7">
        <v>105</v>
      </c>
      <c r="B90" s="7" t="s">
        <v>96</v>
      </c>
      <c r="C90" s="7" t="s">
        <v>180</v>
      </c>
      <c r="F90" s="7" t="s">
        <v>227</v>
      </c>
      <c r="G90" s="7">
        <v>60</v>
      </c>
      <c r="H90" s="7">
        <v>161</v>
      </c>
      <c r="I90" s="7">
        <v>70.3</v>
      </c>
      <c r="J90" s="8">
        <f t="shared" si="3"/>
        <v>27.120867250491877</v>
      </c>
      <c r="K90" s="7">
        <v>93</v>
      </c>
      <c r="L90" s="7">
        <v>104</v>
      </c>
      <c r="M90" s="9">
        <f>Data[[#This Row],[Waist_Circumference]]/Data[[#This Row],[Hip_circumference]]</f>
        <v>0.89423076923076927</v>
      </c>
      <c r="N90" s="10">
        <v>28900</v>
      </c>
      <c r="O90" s="10">
        <v>38570</v>
      </c>
      <c r="P90" s="10">
        <f t="shared" si="4"/>
        <v>67470</v>
      </c>
      <c r="Q90" s="9">
        <f>(Data[[#This Row],[Total_fat_g]]/Data[[#This Row],[Total_mass_g]])*100</f>
        <v>42.833852082406999</v>
      </c>
      <c r="R90" s="9">
        <f>(Data[[#This Row],[Lean_mass_g]]/Data[[#This Row],[Total_mass_g]])*100</f>
        <v>57.166147917593001</v>
      </c>
      <c r="S90" s="9"/>
      <c r="T90" s="9">
        <v>0.95</v>
      </c>
      <c r="U90" s="9">
        <v>4.99</v>
      </c>
      <c r="V90" s="9">
        <v>10.4</v>
      </c>
      <c r="W90" s="9">
        <f>(Data[[#This Row],[Glucose (umol/L)]]*Data[[#This Row],[Insulin (umol/L)]])/22.5</f>
        <v>2.306488888888889</v>
      </c>
      <c r="X90" s="9">
        <v>552.11</v>
      </c>
      <c r="Y90" s="9">
        <v>1006.15</v>
      </c>
      <c r="Z90" s="9">
        <v>56.35</v>
      </c>
      <c r="AA90" s="9">
        <v>5.5</v>
      </c>
      <c r="AB90" s="9">
        <v>1.26</v>
      </c>
      <c r="AC90" s="9">
        <f>Data[[#This Row],[total_chol (umol/L)]]-Data[[#This Row],[HDL_chol (umol/L)]]</f>
        <v>4.24</v>
      </c>
      <c r="AD90" s="9">
        <f>Data[[#This Row],[Non_HDL (umol/L)]]-(Data[[#This Row],[TAG (umol/L)]]/2200)</f>
        <v>3.7826590909090911</v>
      </c>
      <c r="AE90" s="9">
        <v>297.08</v>
      </c>
      <c r="AF90" s="51">
        <v>3.7322686690240375E-3</v>
      </c>
      <c r="AG90" s="9">
        <v>7.2683981351394467</v>
      </c>
      <c r="AH90" s="23">
        <f>(Data[[#This Row],[DNL (%)]]/100)*Data[[#This Row],[VLDL (umol/L)]]</f>
        <v>21.592957179872265</v>
      </c>
      <c r="AI90" s="9">
        <f>[4]SAMPLES!$L$254</f>
        <v>22.888621551444331</v>
      </c>
      <c r="AJ90" s="57">
        <f>(Data[[#This Row],[Gluconeogensis (%)]]/100)*Data[[#This Row],[Glucose (umol/L)]]</f>
        <v>1.1421422154170722</v>
      </c>
    </row>
    <row r="91" spans="1:37" s="7" customFormat="1" x14ac:dyDescent="0.25">
      <c r="A91" s="7">
        <v>106</v>
      </c>
      <c r="B91" s="7" t="s">
        <v>181</v>
      </c>
      <c r="C91" s="7" t="s">
        <v>182</v>
      </c>
      <c r="F91" s="7" t="s">
        <v>227</v>
      </c>
      <c r="G91" s="7">
        <v>56</v>
      </c>
      <c r="H91" s="7">
        <v>164</v>
      </c>
      <c r="I91" s="7">
        <v>66</v>
      </c>
      <c r="J91" s="8">
        <f t="shared" si="3"/>
        <v>24.538964901844146</v>
      </c>
      <c r="K91" s="7">
        <v>76</v>
      </c>
      <c r="L91" s="7">
        <v>99</v>
      </c>
      <c r="M91" s="9">
        <f>Data[[#This Row],[Waist_Circumference]]/Data[[#This Row],[Hip_circumference]]</f>
        <v>0.76767676767676762</v>
      </c>
      <c r="N91" s="10">
        <v>24570</v>
      </c>
      <c r="O91" s="10">
        <v>37780</v>
      </c>
      <c r="P91" s="10">
        <f t="shared" si="4"/>
        <v>62350</v>
      </c>
      <c r="Q91" s="9">
        <f>(Data[[#This Row],[Total_fat_g]]/Data[[#This Row],[Total_mass_g]])*100</f>
        <v>39.406575781876505</v>
      </c>
      <c r="R91" s="9">
        <f>(Data[[#This Row],[Lean_mass_g]]/Data[[#This Row],[Total_mass_g]])*100</f>
        <v>60.593424218123495</v>
      </c>
      <c r="S91" s="9"/>
      <c r="T91" s="9">
        <v>0.44</v>
      </c>
      <c r="U91" s="9">
        <v>4.3499999999999996</v>
      </c>
      <c r="V91" s="9">
        <v>9.66</v>
      </c>
      <c r="W91" s="9">
        <f>(Data[[#This Row],[Glucose (umol/L)]]*Data[[#This Row],[Insulin (umol/L)]])/22.5</f>
        <v>1.8675999999999997</v>
      </c>
      <c r="X91" s="9">
        <v>654.99</v>
      </c>
      <c r="Y91" s="9">
        <v>1216.1600000000001</v>
      </c>
      <c r="Z91" s="9">
        <v>23.15</v>
      </c>
      <c r="AA91" s="9">
        <v>4.8</v>
      </c>
      <c r="AB91" s="9">
        <v>1.94</v>
      </c>
      <c r="AC91" s="9">
        <f>Data[[#This Row],[total_chol (umol/L)]]-Data[[#This Row],[HDL_chol (umol/L)]]</f>
        <v>2.86</v>
      </c>
      <c r="AD91" s="9">
        <f>Data[[#This Row],[Non_HDL (umol/L)]]-(Data[[#This Row],[TAG (umol/L)]]/2200)</f>
        <v>2.3071999999999999</v>
      </c>
      <c r="AE91" s="9">
        <v>387.93</v>
      </c>
      <c r="AF91" s="51">
        <v>3.3893435809498199E-3</v>
      </c>
      <c r="AG91" s="9">
        <v>9.6092815184517271</v>
      </c>
      <c r="AH91" s="23">
        <f>(Data[[#This Row],[DNL (%)]]/100)*Data[[#This Row],[VLDL (umol/L)]]</f>
        <v>37.277285794529789</v>
      </c>
      <c r="AI91" s="9">
        <f>[4]SAMPLES!$L$255</f>
        <v>22.445805973665454</v>
      </c>
      <c r="AJ91" s="57">
        <f>(Data[[#This Row],[Gluconeogensis (%)]]/100)*Data[[#This Row],[Glucose (umol/L)]]</f>
        <v>0.97639255985444717</v>
      </c>
    </row>
    <row r="92" spans="1:37" s="7" customFormat="1" x14ac:dyDescent="0.25">
      <c r="A92" s="7">
        <v>107</v>
      </c>
      <c r="B92" s="7" t="s">
        <v>183</v>
      </c>
      <c r="C92" s="7" t="s">
        <v>184</v>
      </c>
      <c r="F92" s="7" t="s">
        <v>227</v>
      </c>
      <c r="G92" s="7">
        <v>42</v>
      </c>
      <c r="H92" s="7">
        <v>162</v>
      </c>
      <c r="I92" s="7">
        <v>73.75</v>
      </c>
      <c r="J92" s="8">
        <f t="shared" si="3"/>
        <v>28.101661332114002</v>
      </c>
      <c r="K92" s="7">
        <v>91</v>
      </c>
      <c r="L92" s="7">
        <v>107</v>
      </c>
      <c r="M92" s="9">
        <f>Data[[#This Row],[Waist_Circumference]]/Data[[#This Row],[Hip_circumference]]</f>
        <v>0.85046728971962615</v>
      </c>
      <c r="N92" s="10">
        <v>29080</v>
      </c>
      <c r="O92" s="10">
        <v>42600</v>
      </c>
      <c r="P92" s="10">
        <f t="shared" si="4"/>
        <v>71680</v>
      </c>
      <c r="Q92" s="9">
        <f>(Data[[#This Row],[Total_fat_g]]/Data[[#This Row],[Total_mass_g]])*100</f>
        <v>40.569196428571431</v>
      </c>
      <c r="R92" s="9">
        <f>(Data[[#This Row],[Lean_mass_g]]/Data[[#This Row],[Total_mass_g]])*100</f>
        <v>59.430803571428569</v>
      </c>
      <c r="S92" s="9">
        <v>304</v>
      </c>
      <c r="T92" s="9">
        <v>1.3</v>
      </c>
      <c r="U92" s="9">
        <v>5.26</v>
      </c>
      <c r="V92" s="9">
        <v>12.41</v>
      </c>
      <c r="W92" s="9">
        <f>(Data[[#This Row],[Glucose (umol/L)]]*Data[[#This Row],[Insulin (umol/L)]])/22.5</f>
        <v>2.9011822222222223</v>
      </c>
      <c r="X92" s="9">
        <v>544.15</v>
      </c>
      <c r="Y92" s="9">
        <v>1024.6500000000001</v>
      </c>
      <c r="Z92" s="9">
        <v>34.950000000000003</v>
      </c>
      <c r="AA92" s="9">
        <v>3.9</v>
      </c>
      <c r="AB92" s="9">
        <v>1.7</v>
      </c>
      <c r="AC92" s="9">
        <f>Data[[#This Row],[total_chol (umol/L)]]-Data[[#This Row],[HDL_chol (umol/L)]]</f>
        <v>2.2000000000000002</v>
      </c>
      <c r="AD92" s="9">
        <f>Data[[#This Row],[Non_HDL (umol/L)]]-(Data[[#This Row],[TAG (umol/L)]]/2200)</f>
        <v>1.7342500000000001</v>
      </c>
      <c r="AE92" s="9">
        <v>334.33</v>
      </c>
      <c r="AF92" s="51">
        <v>3.7371449599045044E-3</v>
      </c>
      <c r="AG92" s="9">
        <v>17.834374595165912</v>
      </c>
      <c r="AH92" s="23">
        <f>(Data[[#This Row],[DNL (%)]]/100)*Data[[#This Row],[VLDL (umol/L)]]</f>
        <v>59.625664584018189</v>
      </c>
      <c r="AI92" s="9">
        <f>[4]SAMPLES!$L$256</f>
        <v>25.131105337022465</v>
      </c>
      <c r="AJ92" s="57">
        <f>(Data[[#This Row],[Gluconeogensis (%)]]/100)*Data[[#This Row],[Glucose (umol/L)]]</f>
        <v>1.3218961407273815</v>
      </c>
    </row>
    <row r="93" spans="1:37" s="7" customFormat="1" x14ac:dyDescent="0.25">
      <c r="A93" s="7">
        <v>108</v>
      </c>
      <c r="B93" s="7" t="s">
        <v>185</v>
      </c>
      <c r="C93" s="7" t="s">
        <v>186</v>
      </c>
      <c r="F93" s="7" t="s">
        <v>227</v>
      </c>
      <c r="G93" s="7">
        <v>56</v>
      </c>
      <c r="H93" s="7">
        <v>162</v>
      </c>
      <c r="I93" s="7">
        <v>66.900000000000006</v>
      </c>
      <c r="J93" s="8">
        <f t="shared" si="3"/>
        <v>25.491540923639686</v>
      </c>
      <c r="K93" s="7">
        <v>82</v>
      </c>
      <c r="L93" s="7">
        <v>99</v>
      </c>
      <c r="M93" s="9">
        <f>Data[[#This Row],[Waist_Circumference]]/Data[[#This Row],[Hip_circumference]]</f>
        <v>0.82828282828282829</v>
      </c>
      <c r="N93" s="10">
        <v>22690</v>
      </c>
      <c r="O93" s="10">
        <v>41500</v>
      </c>
      <c r="P93" s="10">
        <f t="shared" si="4"/>
        <v>64190</v>
      </c>
      <c r="Q93" s="9">
        <f>(Data[[#This Row],[Total_fat_g]]/Data[[#This Row],[Total_mass_g]])*100</f>
        <v>35.348185075556941</v>
      </c>
      <c r="R93" s="9">
        <f>(Data[[#This Row],[Lean_mass_g]]/Data[[#This Row],[Total_mass_g]])*100</f>
        <v>64.651814924443059</v>
      </c>
      <c r="S93" s="9"/>
      <c r="T93" s="9">
        <v>1.17</v>
      </c>
      <c r="U93" s="9">
        <v>5.38</v>
      </c>
      <c r="V93" s="9">
        <v>11.07</v>
      </c>
      <c r="W93" s="9">
        <f>(Data[[#This Row],[Glucose (umol/L)]]*Data[[#This Row],[Insulin (umol/L)]])/22.5</f>
        <v>2.64696</v>
      </c>
      <c r="X93" s="9">
        <v>629.79999999999995</v>
      </c>
      <c r="Y93" s="9">
        <v>823.8</v>
      </c>
      <c r="Z93" s="9">
        <v>32.450000000000003</v>
      </c>
      <c r="AA93" s="9">
        <v>5.2</v>
      </c>
      <c r="AB93" s="9">
        <v>1.29</v>
      </c>
      <c r="AC93" s="9">
        <f>Data[[#This Row],[total_chol (umol/L)]]-Data[[#This Row],[HDL_chol (umol/L)]]</f>
        <v>3.91</v>
      </c>
      <c r="AD93" s="9">
        <f>Data[[#This Row],[Non_HDL (umol/L)]]-(Data[[#This Row],[TAG (umol/L)]]/2200)</f>
        <v>3.5355454545454545</v>
      </c>
      <c r="AE93" s="9">
        <v>219.54</v>
      </c>
      <c r="AF93" s="51">
        <v>3.241770139209202E-3</v>
      </c>
      <c r="AG93" s="9">
        <v>0.46730051181548654</v>
      </c>
      <c r="AH93" s="23">
        <f>(Data[[#This Row],[DNL (%)]]/100)*Data[[#This Row],[VLDL (umol/L)]]</f>
        <v>1.025911543639719</v>
      </c>
      <c r="AI93" s="9">
        <f>[4]SAMPLES!$L$257</f>
        <v>29.572001908902291</v>
      </c>
      <c r="AJ93" s="57">
        <f>(Data[[#This Row],[Gluconeogensis (%)]]/100)*Data[[#This Row],[Glucose (umol/L)]]</f>
        <v>1.5909737026989432</v>
      </c>
    </row>
    <row r="94" spans="1:37" s="7" customFormat="1" x14ac:dyDescent="0.25">
      <c r="A94" s="7">
        <v>109</v>
      </c>
      <c r="B94" s="7" t="s">
        <v>187</v>
      </c>
      <c r="C94" s="7" t="s">
        <v>188</v>
      </c>
      <c r="F94" s="7" t="s">
        <v>227</v>
      </c>
      <c r="G94" s="7">
        <v>61</v>
      </c>
      <c r="H94" s="7">
        <v>166</v>
      </c>
      <c r="I94" s="7">
        <v>60.3</v>
      </c>
      <c r="J94" s="8">
        <f t="shared" si="3"/>
        <v>21.88271156916824</v>
      </c>
      <c r="K94" s="7">
        <v>76</v>
      </c>
      <c r="L94" s="7">
        <v>93</v>
      </c>
      <c r="M94" s="9">
        <f>Data[[#This Row],[Waist_Circumference]]/Data[[#This Row],[Hip_circumference]]</f>
        <v>0.81720430107526887</v>
      </c>
      <c r="N94" s="10">
        <v>18580</v>
      </c>
      <c r="O94" s="10">
        <v>38490</v>
      </c>
      <c r="P94" s="10">
        <f t="shared" si="4"/>
        <v>57070</v>
      </c>
      <c r="Q94" s="9">
        <f>(Data[[#This Row],[Total_fat_g]]/Data[[#This Row],[Total_mass_g]])*100</f>
        <v>32.556509549675837</v>
      </c>
      <c r="R94" s="9">
        <f>(Data[[#This Row],[Lean_mass_g]]/Data[[#This Row],[Total_mass_g]])*100</f>
        <v>67.443490450324163</v>
      </c>
      <c r="S94" s="9"/>
      <c r="T94" s="9">
        <v>1.99</v>
      </c>
      <c r="U94" s="9">
        <v>4.3899999999999997</v>
      </c>
      <c r="V94" s="9">
        <v>7.27</v>
      </c>
      <c r="W94" s="9">
        <f>(Data[[#This Row],[Glucose (umol/L)]]*Data[[#This Row],[Insulin (umol/L)]])/22.5</f>
        <v>1.4184577777777776</v>
      </c>
      <c r="X94" s="9">
        <v>194.5</v>
      </c>
      <c r="Y94" s="9">
        <v>862.75</v>
      </c>
      <c r="Z94" s="9">
        <v>24.4</v>
      </c>
      <c r="AA94" s="9">
        <v>6.3</v>
      </c>
      <c r="AB94" s="9">
        <v>1.36</v>
      </c>
      <c r="AC94" s="9">
        <f>Data[[#This Row],[total_chol (umol/L)]]-Data[[#This Row],[HDL_chol (umol/L)]]</f>
        <v>4.9399999999999995</v>
      </c>
      <c r="AD94" s="9">
        <f>Data[[#This Row],[Non_HDL (umol/L)]]-(Data[[#This Row],[TAG (umol/L)]]/2200)</f>
        <v>4.5478409090909082</v>
      </c>
      <c r="AE94" s="9">
        <v>390.14</v>
      </c>
      <c r="AF94" s="51">
        <v>3.3772955943973627E-3</v>
      </c>
      <c r="AG94" s="9">
        <v>19.211923343578473</v>
      </c>
      <c r="AH94" s="23">
        <f>(Data[[#This Row],[DNL (%)]]/100)*Data[[#This Row],[VLDL (umol/L)]]</f>
        <v>74.953397732637058</v>
      </c>
      <c r="AI94" s="9">
        <f>[4]SAMPLES!$L$258</f>
        <v>15.408334732480199</v>
      </c>
      <c r="AJ94" s="57">
        <f>(Data[[#This Row],[Gluconeogensis (%)]]/100)*Data[[#This Row],[Glucose (umol/L)]]</f>
        <v>0.67642589475588077</v>
      </c>
    </row>
    <row r="95" spans="1:37" s="7" customFormat="1" x14ac:dyDescent="0.25">
      <c r="A95" s="7">
        <v>110</v>
      </c>
      <c r="B95" s="7" t="s">
        <v>101</v>
      </c>
      <c r="C95" s="7" t="s">
        <v>189</v>
      </c>
      <c r="F95" s="7" t="s">
        <v>227</v>
      </c>
      <c r="G95" s="7">
        <v>55</v>
      </c>
      <c r="H95" s="7">
        <v>162.5</v>
      </c>
      <c r="I95" s="7">
        <v>58.3</v>
      </c>
      <c r="J95" s="8">
        <f t="shared" si="3"/>
        <v>22.078106508875738</v>
      </c>
      <c r="K95" s="7">
        <v>83</v>
      </c>
      <c r="L95" s="7">
        <v>94</v>
      </c>
      <c r="M95" s="9">
        <f>Data[[#This Row],[Waist_Circumference]]/Data[[#This Row],[Hip_circumference]]</f>
        <v>0.88297872340425532</v>
      </c>
      <c r="N95" s="10"/>
      <c r="O95" s="10"/>
      <c r="P95" s="10"/>
      <c r="Q95" s="9"/>
      <c r="R95" s="9"/>
      <c r="S95" s="9"/>
      <c r="T95" s="9">
        <v>0.63</v>
      </c>
      <c r="U95" s="9">
        <v>6.13</v>
      </c>
      <c r="V95" s="9"/>
      <c r="W95" s="9"/>
      <c r="X95" s="9">
        <v>499</v>
      </c>
      <c r="Y95" s="9">
        <v>873.65</v>
      </c>
      <c r="Z95" s="9">
        <v>46.5</v>
      </c>
      <c r="AA95" s="9">
        <v>8.9</v>
      </c>
      <c r="AB95" s="9">
        <v>1.8</v>
      </c>
      <c r="AC95" s="9">
        <f>Data[[#This Row],[total_chol (umol/L)]]-Data[[#This Row],[HDL_chol (umol/L)]]</f>
        <v>7.1000000000000005</v>
      </c>
      <c r="AD95" s="9">
        <f>Data[[#This Row],[Non_HDL (umol/L)]]-(Data[[#This Row],[TAG (umol/L)]]/2200)</f>
        <v>6.702886363636364</v>
      </c>
      <c r="AE95" s="9">
        <v>232.49</v>
      </c>
      <c r="AF95" s="51">
        <v>3.506418801136695E-3</v>
      </c>
      <c r="AG95" s="9">
        <v>4.9983543946859283</v>
      </c>
      <c r="AH95" s="23">
        <f>(Data[[#This Row],[DNL (%)]]/100)*Data[[#This Row],[VLDL (umol/L)]]</f>
        <v>11.620674132205316</v>
      </c>
      <c r="AI95" s="9"/>
      <c r="AJ95" s="57"/>
      <c r="AK95" s="7" t="s">
        <v>412</v>
      </c>
    </row>
    <row r="96" spans="1:37" s="7" customFormat="1" x14ac:dyDescent="0.25">
      <c r="A96" s="7">
        <v>111</v>
      </c>
      <c r="B96" s="7" t="s">
        <v>190</v>
      </c>
      <c r="C96" s="7" t="s">
        <v>191</v>
      </c>
      <c r="F96" s="7" t="s">
        <v>227</v>
      </c>
      <c r="G96" s="7">
        <v>55</v>
      </c>
      <c r="H96" s="7">
        <v>174</v>
      </c>
      <c r="I96" s="7">
        <v>73.3</v>
      </c>
      <c r="J96" s="8">
        <f t="shared" si="3"/>
        <v>24.210595851499537</v>
      </c>
      <c r="K96" s="7">
        <v>84</v>
      </c>
      <c r="L96" s="7">
        <v>103</v>
      </c>
      <c r="M96" s="9">
        <f>Data[[#This Row],[Waist_Circumference]]/Data[[#This Row],[Hip_circumference]]</f>
        <v>0.81553398058252424</v>
      </c>
      <c r="N96" s="10">
        <v>27430</v>
      </c>
      <c r="O96" s="10">
        <v>43000</v>
      </c>
      <c r="P96" s="10">
        <f t="shared" ref="P96:P101" si="5">N96+O96</f>
        <v>70430</v>
      </c>
      <c r="Q96" s="9">
        <f>(Data[[#This Row],[Total_fat_g]]/Data[[#This Row],[Total_mass_g]])*100</f>
        <v>38.946471674002559</v>
      </c>
      <c r="R96" s="9">
        <f>(Data[[#This Row],[Lean_mass_g]]/Data[[#This Row],[Total_mass_g]])*100</f>
        <v>61.053528325997441</v>
      </c>
      <c r="S96" s="9"/>
      <c r="T96" s="9">
        <v>0.67</v>
      </c>
      <c r="U96" s="9">
        <v>5.28</v>
      </c>
      <c r="V96" s="9">
        <v>10.18</v>
      </c>
      <c r="W96" s="9">
        <f>(Data[[#This Row],[Glucose (umol/L)]]*Data[[#This Row],[Insulin (umol/L)]])/22.5</f>
        <v>2.3889066666666667</v>
      </c>
      <c r="X96" s="9">
        <v>257</v>
      </c>
      <c r="Y96" s="9">
        <v>863.65</v>
      </c>
      <c r="Z96" s="9">
        <v>41.15</v>
      </c>
      <c r="AA96" s="9">
        <v>6.6</v>
      </c>
      <c r="AB96" s="9">
        <v>1.98</v>
      </c>
      <c r="AC96" s="9">
        <f>Data[[#This Row],[total_chol (umol/L)]]-Data[[#This Row],[HDL_chol (umol/L)]]</f>
        <v>4.6199999999999992</v>
      </c>
      <c r="AD96" s="9">
        <f>Data[[#This Row],[Non_HDL (umol/L)]]-(Data[[#This Row],[TAG (umol/L)]]/2200)</f>
        <v>4.2274318181818176</v>
      </c>
      <c r="AE96" s="9">
        <v>202.12</v>
      </c>
      <c r="AF96" s="51">
        <v>3.8364966859803706E-3</v>
      </c>
      <c r="AG96" s="9">
        <v>4.1503424097478483</v>
      </c>
      <c r="AH96" s="23">
        <f>(Data[[#This Row],[DNL (%)]]/100)*Data[[#This Row],[VLDL (umol/L)]]</f>
        <v>8.388672078582351</v>
      </c>
      <c r="AI96" s="9">
        <f>[4]SAMPLES!$L$259</f>
        <v>26.548360750548632</v>
      </c>
      <c r="AJ96" s="57">
        <f>(Data[[#This Row],[Gluconeogensis (%)]]/100)*Data[[#This Row],[Glucose (umol/L)]]</f>
        <v>1.4017534476289679</v>
      </c>
    </row>
    <row r="97" spans="1:37" s="7" customFormat="1" x14ac:dyDescent="0.25">
      <c r="A97" s="7">
        <v>112</v>
      </c>
      <c r="B97" s="7" t="s">
        <v>192</v>
      </c>
      <c r="C97" s="7" t="s">
        <v>193</v>
      </c>
      <c r="F97" s="7" t="s">
        <v>227</v>
      </c>
      <c r="G97" s="7">
        <v>35</v>
      </c>
      <c r="H97" s="7">
        <v>170</v>
      </c>
      <c r="I97" s="7">
        <v>72.599999999999994</v>
      </c>
      <c r="J97" s="8">
        <f t="shared" si="3"/>
        <v>25.121107266435988</v>
      </c>
      <c r="K97" s="7">
        <v>85</v>
      </c>
      <c r="L97" s="7">
        <v>99</v>
      </c>
      <c r="M97" s="9">
        <f>Data[[#This Row],[Waist_Circumference]]/Data[[#This Row],[Hip_circumference]]</f>
        <v>0.85858585858585856</v>
      </c>
      <c r="N97" s="10">
        <v>26790</v>
      </c>
      <c r="O97" s="10">
        <v>41570</v>
      </c>
      <c r="P97" s="10">
        <f t="shared" si="5"/>
        <v>68360</v>
      </c>
      <c r="Q97" s="9">
        <f>(Data[[#This Row],[Total_fat_g]]/Data[[#This Row],[Total_mass_g]])*100</f>
        <v>39.189584552369809</v>
      </c>
      <c r="R97" s="9">
        <f>(Data[[#This Row],[Lean_mass_g]]/Data[[#This Row],[Total_mass_g]])*100</f>
        <v>60.810415447630191</v>
      </c>
      <c r="S97" s="9">
        <v>779</v>
      </c>
      <c r="T97" s="9">
        <v>0.85</v>
      </c>
      <c r="U97" s="9">
        <v>5.66</v>
      </c>
      <c r="V97" s="9">
        <v>10.35</v>
      </c>
      <c r="W97" s="9">
        <f>(Data[[#This Row],[Glucose (umol/L)]]*Data[[#This Row],[Insulin (umol/L)]])/22.5</f>
        <v>2.6035999999999997</v>
      </c>
      <c r="X97" s="9">
        <v>362.45</v>
      </c>
      <c r="Y97" s="9">
        <v>669.45</v>
      </c>
      <c r="Z97" s="9">
        <v>44.15</v>
      </c>
      <c r="AA97" s="9">
        <v>5.13</v>
      </c>
      <c r="AB97" s="9">
        <v>1.34</v>
      </c>
      <c r="AC97" s="9">
        <f>Data[[#This Row],[total_chol (umol/L)]]-Data[[#This Row],[HDL_chol (umol/L)]]</f>
        <v>3.79</v>
      </c>
      <c r="AD97" s="9">
        <f>Data[[#This Row],[Non_HDL (umol/L)]]-(Data[[#This Row],[TAG (umol/L)]]/2200)</f>
        <v>3.4857045454545457</v>
      </c>
      <c r="AE97" s="9">
        <v>244.64</v>
      </c>
      <c r="AF97" s="51">
        <v>3.8057372602212786E-3</v>
      </c>
      <c r="AG97" s="9">
        <v>5.1800167478377528</v>
      </c>
      <c r="AH97" s="23">
        <f>(Data[[#This Row],[DNL (%)]]/100)*Data[[#This Row],[VLDL (umol/L)]]</f>
        <v>12.672392971910277</v>
      </c>
      <c r="AI97" s="9">
        <f>[4]SAMPLES!$L$260</f>
        <v>24.985600512308487</v>
      </c>
      <c r="AJ97" s="57">
        <f>(Data[[#This Row],[Gluconeogensis (%)]]/100)*Data[[#This Row],[Glucose (umol/L)]]</f>
        <v>1.4141849889966605</v>
      </c>
    </row>
    <row r="98" spans="1:37" s="7" customFormat="1" x14ac:dyDescent="0.25">
      <c r="A98" s="7">
        <v>113</v>
      </c>
      <c r="B98" s="7" t="s">
        <v>120</v>
      </c>
      <c r="C98" s="7" t="s">
        <v>194</v>
      </c>
      <c r="F98" s="7" t="s">
        <v>227</v>
      </c>
      <c r="G98" s="7">
        <v>57</v>
      </c>
      <c r="H98" s="7">
        <v>169</v>
      </c>
      <c r="I98" s="7">
        <v>71.400000000000006</v>
      </c>
      <c r="J98" s="8">
        <f t="shared" si="3"/>
        <v>24.999124680508391</v>
      </c>
      <c r="K98" s="7">
        <v>79</v>
      </c>
      <c r="L98" s="7">
        <v>97</v>
      </c>
      <c r="M98" s="9">
        <f>Data[[#This Row],[Waist_Circumference]]/Data[[#This Row],[Hip_circumference]]</f>
        <v>0.81443298969072164</v>
      </c>
      <c r="N98" s="10">
        <v>27270</v>
      </c>
      <c r="O98" s="10">
        <v>41070</v>
      </c>
      <c r="P98" s="10">
        <f t="shared" si="5"/>
        <v>68340</v>
      </c>
      <c r="Q98" s="9">
        <f>(Data[[#This Row],[Total_fat_g]]/Data[[#This Row],[Total_mass_g]])*100</f>
        <v>39.903424056189642</v>
      </c>
      <c r="R98" s="9">
        <f>(Data[[#This Row],[Lean_mass_g]]/Data[[#This Row],[Total_mass_g]])*100</f>
        <v>60.096575943810358</v>
      </c>
      <c r="S98" s="9"/>
      <c r="T98" s="9">
        <v>2.33</v>
      </c>
      <c r="U98" s="9">
        <v>4.62</v>
      </c>
      <c r="V98" s="9">
        <v>8.9</v>
      </c>
      <c r="W98" s="9">
        <f>(Data[[#This Row],[Glucose (umol/L)]]*Data[[#This Row],[Insulin (umol/L)]])/22.5</f>
        <v>1.8274666666666668</v>
      </c>
      <c r="X98" s="9">
        <v>549.15</v>
      </c>
      <c r="Y98" s="9">
        <v>813.35</v>
      </c>
      <c r="Z98" s="9">
        <v>61.75</v>
      </c>
      <c r="AA98" s="9">
        <v>6.7</v>
      </c>
      <c r="AB98" s="9">
        <v>1.4</v>
      </c>
      <c r="AC98" s="9">
        <f>Data[[#This Row],[total_chol (umol/L)]]-Data[[#This Row],[HDL_chol (umol/L)]]</f>
        <v>5.3000000000000007</v>
      </c>
      <c r="AD98" s="9">
        <f>Data[[#This Row],[Non_HDL (umol/L)]]-(Data[[#This Row],[TAG (umol/L)]]/2200)</f>
        <v>4.9302954545454556</v>
      </c>
      <c r="AE98" s="9">
        <v>266.47000000000003</v>
      </c>
      <c r="AF98" s="51">
        <v>3.6333198937401685E-3</v>
      </c>
      <c r="AG98" s="9">
        <v>1.5061367455168804</v>
      </c>
      <c r="AH98" s="23">
        <f>(Data[[#This Row],[DNL (%)]]/100)*Data[[#This Row],[VLDL (umol/L)]]</f>
        <v>4.0134025857788318</v>
      </c>
      <c r="AI98" s="9">
        <f>[4]SAMPLES!$L$261</f>
        <v>21.674945483699886</v>
      </c>
      <c r="AJ98" s="57">
        <f>(Data[[#This Row],[Gluconeogensis (%)]]/100)*Data[[#This Row],[Glucose (umol/L)]]</f>
        <v>1.0013824813469347</v>
      </c>
    </row>
    <row r="99" spans="1:37" s="7" customFormat="1" x14ac:dyDescent="0.25">
      <c r="A99" s="7">
        <v>114</v>
      </c>
      <c r="B99" s="7" t="s">
        <v>195</v>
      </c>
      <c r="C99" s="7" t="s">
        <v>196</v>
      </c>
      <c r="F99" s="7" t="s">
        <v>227</v>
      </c>
      <c r="G99" s="7">
        <v>59</v>
      </c>
      <c r="H99" s="7">
        <v>160</v>
      </c>
      <c r="I99" s="7">
        <v>72.95</v>
      </c>
      <c r="J99" s="8">
        <f t="shared" si="3"/>
        <v>28.496093749999996</v>
      </c>
      <c r="K99" s="7">
        <v>92</v>
      </c>
      <c r="L99" s="7">
        <v>108</v>
      </c>
      <c r="M99" s="9">
        <f>Data[[#This Row],[Waist_Circumference]]/Data[[#This Row],[Hip_circumference]]</f>
        <v>0.85185185185185186</v>
      </c>
      <c r="N99" s="10">
        <v>28800</v>
      </c>
      <c r="O99" s="10">
        <v>37920</v>
      </c>
      <c r="P99" s="10">
        <f t="shared" si="5"/>
        <v>66720</v>
      </c>
      <c r="Q99" s="9">
        <f>(Data[[#This Row],[Total_fat_g]]/Data[[#This Row],[Total_mass_g]])*100</f>
        <v>43.165467625899282</v>
      </c>
      <c r="R99" s="9">
        <f>(Data[[#This Row],[Lean_mass_g]]/Data[[#This Row],[Total_mass_g]])*100</f>
        <v>56.834532374100718</v>
      </c>
      <c r="S99" s="9"/>
      <c r="T99" s="9">
        <v>1.49</v>
      </c>
      <c r="U99" s="9">
        <v>5.22</v>
      </c>
      <c r="V99" s="9">
        <v>11.33</v>
      </c>
      <c r="W99" s="9">
        <f>(Data[[#This Row],[Glucose (umol/L)]]*Data[[#This Row],[Insulin (umol/L)]])/22.5</f>
        <v>2.6285599999999998</v>
      </c>
      <c r="X99" s="9">
        <v>458.15</v>
      </c>
      <c r="Y99" s="9">
        <v>1563.1</v>
      </c>
      <c r="Z99" s="9">
        <v>81.7</v>
      </c>
      <c r="AA99" s="9">
        <v>6.7</v>
      </c>
      <c r="AB99" s="9">
        <v>1.25</v>
      </c>
      <c r="AC99" s="9">
        <f>Data[[#This Row],[total_chol (umol/L)]]-Data[[#This Row],[HDL_chol (umol/L)]]</f>
        <v>5.45</v>
      </c>
      <c r="AD99" s="9">
        <f>Data[[#This Row],[Non_HDL (umol/L)]]-(Data[[#This Row],[TAG (umol/L)]]/2200)</f>
        <v>4.7395000000000005</v>
      </c>
      <c r="AE99" s="9">
        <v>480.62</v>
      </c>
      <c r="AF99" s="51">
        <v>3.5281269316199508E-3</v>
      </c>
      <c r="AG99" s="9">
        <v>11.49770885918154</v>
      </c>
      <c r="AH99" s="23">
        <f>(Data[[#This Row],[DNL (%)]]/100)*Data[[#This Row],[VLDL (umol/L)]]</f>
        <v>55.260288318998313</v>
      </c>
      <c r="AI99" s="9">
        <f>[4]SAMPLES!$L$262</f>
        <v>28.815633440821859</v>
      </c>
      <c r="AJ99" s="57">
        <f>(Data[[#This Row],[Gluconeogensis (%)]]/100)*Data[[#This Row],[Glucose (umol/L)]]</f>
        <v>1.5041760656109009</v>
      </c>
    </row>
    <row r="100" spans="1:37" s="7" customFormat="1" x14ac:dyDescent="0.25">
      <c r="A100" s="7">
        <v>115</v>
      </c>
      <c r="B100" s="7" t="s">
        <v>197</v>
      </c>
      <c r="C100" s="7" t="s">
        <v>198</v>
      </c>
      <c r="F100" s="7" t="s">
        <v>227</v>
      </c>
      <c r="G100" s="7">
        <v>55</v>
      </c>
      <c r="H100" s="7">
        <v>171</v>
      </c>
      <c r="I100" s="7">
        <v>70.2</v>
      </c>
      <c r="J100" s="8">
        <f t="shared" si="3"/>
        <v>24.007386888273317</v>
      </c>
      <c r="K100" s="7">
        <v>82</v>
      </c>
      <c r="L100" s="7">
        <v>96</v>
      </c>
      <c r="M100" s="9">
        <f>Data[[#This Row],[Waist_Circumference]]/Data[[#This Row],[Hip_circumference]]</f>
        <v>0.85416666666666663</v>
      </c>
      <c r="N100" s="10">
        <v>22720</v>
      </c>
      <c r="O100" s="10">
        <v>45210</v>
      </c>
      <c r="P100" s="10">
        <f t="shared" si="5"/>
        <v>67930</v>
      </c>
      <c r="Q100" s="9">
        <f>(Data[[#This Row],[Total_fat_g]]/Data[[#This Row],[Total_mass_g]])*100</f>
        <v>33.44619461210069</v>
      </c>
      <c r="R100" s="9">
        <f>(Data[[#This Row],[Lean_mass_g]]/Data[[#This Row],[Total_mass_g]])*100</f>
        <v>66.553805387899317</v>
      </c>
      <c r="S100" s="9">
        <v>349</v>
      </c>
      <c r="T100" s="9">
        <v>0.69</v>
      </c>
      <c r="U100" s="9">
        <v>5.12</v>
      </c>
      <c r="V100" s="9">
        <v>12.56</v>
      </c>
      <c r="W100" s="9">
        <f>(Data[[#This Row],[Glucose (umol/L)]]*Data[[#This Row],[Insulin (umol/L)]])/22.5</f>
        <v>2.8580977777777781</v>
      </c>
      <c r="X100" s="9">
        <v>282.05</v>
      </c>
      <c r="Y100" s="9">
        <v>634.95000000000005</v>
      </c>
      <c r="Z100" s="9">
        <v>46.3</v>
      </c>
      <c r="AA100" s="9">
        <v>4.9000000000000004</v>
      </c>
      <c r="AB100" s="9">
        <v>1.64</v>
      </c>
      <c r="AC100" s="9">
        <f>Data[[#This Row],[total_chol (umol/L)]]-Data[[#This Row],[HDL_chol (umol/L)]]</f>
        <v>3.2600000000000007</v>
      </c>
      <c r="AD100" s="9">
        <f>Data[[#This Row],[Non_HDL (umol/L)]]-(Data[[#This Row],[TAG (umol/L)]]/2200)</f>
        <v>2.9713863636363644</v>
      </c>
      <c r="AE100" s="9">
        <v>250.71</v>
      </c>
      <c r="AF100" s="51">
        <v>3.3681137146290428E-3</v>
      </c>
      <c r="AG100" s="9">
        <v>0.73815853502861029</v>
      </c>
      <c r="AH100" s="23">
        <f>(Data[[#This Row],[DNL (%)]]/100)*Data[[#This Row],[VLDL (umol/L)]]</f>
        <v>1.8506372631702288</v>
      </c>
      <c r="AI100" s="9">
        <f>[4]SAMPLES!$L$263</f>
        <v>14.504820670826982</v>
      </c>
      <c r="AJ100" s="57">
        <f>(Data[[#This Row],[Gluconeogensis (%)]]/100)*Data[[#This Row],[Glucose (umol/L)]]</f>
        <v>0.7426468183463415</v>
      </c>
    </row>
    <row r="101" spans="1:37" s="7" customFormat="1" x14ac:dyDescent="0.25">
      <c r="A101" s="7">
        <v>116</v>
      </c>
      <c r="B101" s="7" t="s">
        <v>199</v>
      </c>
      <c r="C101" s="7" t="s">
        <v>200</v>
      </c>
      <c r="F101" s="7" t="s">
        <v>227</v>
      </c>
      <c r="G101" s="7">
        <v>45</v>
      </c>
      <c r="H101" s="7">
        <v>170</v>
      </c>
      <c r="I101" s="7">
        <v>86.3</v>
      </c>
      <c r="J101" s="8">
        <f t="shared" si="3"/>
        <v>29.861591695501733</v>
      </c>
      <c r="K101" s="7">
        <v>95</v>
      </c>
      <c r="L101" s="7">
        <v>108</v>
      </c>
      <c r="M101" s="9">
        <f>Data[[#This Row],[Waist_Circumference]]/Data[[#This Row],[Hip_circumference]]</f>
        <v>0.87962962962962965</v>
      </c>
      <c r="N101" s="10">
        <v>32070</v>
      </c>
      <c r="O101" s="10">
        <v>49060</v>
      </c>
      <c r="P101" s="10">
        <f t="shared" si="5"/>
        <v>81130</v>
      </c>
      <c r="Q101" s="9">
        <f>(Data[[#This Row],[Total_fat_g]]/Data[[#This Row],[Total_mass_g]])*100</f>
        <v>39.529150745716748</v>
      </c>
      <c r="R101" s="9">
        <f>(Data[[#This Row],[Lean_mass_g]]/Data[[#This Row],[Total_mass_g]])*100</f>
        <v>60.470849254283252</v>
      </c>
      <c r="S101" s="9">
        <v>597</v>
      </c>
      <c r="T101" s="9">
        <v>0.92</v>
      </c>
      <c r="U101" s="9">
        <v>4.95</v>
      </c>
      <c r="V101" s="9">
        <v>7.7</v>
      </c>
      <c r="W101" s="9">
        <f>(Data[[#This Row],[Glucose (umol/L)]]*Data[[#This Row],[Insulin (umol/L)]])/22.5</f>
        <v>1.6940000000000002</v>
      </c>
      <c r="X101" s="9">
        <v>670.35</v>
      </c>
      <c r="Y101" s="9">
        <v>938.3</v>
      </c>
      <c r="Z101" s="9">
        <v>59.3</v>
      </c>
      <c r="AA101" s="9">
        <v>6.1</v>
      </c>
      <c r="AB101" s="9">
        <v>1.39</v>
      </c>
      <c r="AC101" s="9">
        <f>Data[[#This Row],[total_chol (umol/L)]]-Data[[#This Row],[HDL_chol (umol/L)]]</f>
        <v>4.71</v>
      </c>
      <c r="AD101" s="9">
        <f>Data[[#This Row],[Non_HDL (umol/L)]]-(Data[[#This Row],[TAG (umol/L)]]/2200)</f>
        <v>4.2835000000000001</v>
      </c>
      <c r="AE101" s="9">
        <v>232.13</v>
      </c>
      <c r="AF101" s="51">
        <v>3.5155979347297785E-3</v>
      </c>
      <c r="AG101" s="9">
        <v>2.0729074609232665</v>
      </c>
      <c r="AH101" s="23">
        <f>(Data[[#This Row],[DNL (%)]]/100)*Data[[#This Row],[VLDL (umol/L)]]</f>
        <v>4.8118400890411781</v>
      </c>
      <c r="AI101" s="9">
        <f>[4]SAMPLES!$L$264</f>
        <v>38.703037900249235</v>
      </c>
      <c r="AJ101" s="57">
        <f>(Data[[#This Row],[Gluconeogensis (%)]]/100)*Data[[#This Row],[Glucose (umol/L)]]</f>
        <v>1.9158003760623372</v>
      </c>
    </row>
    <row r="102" spans="1:37" s="7" customFormat="1" x14ac:dyDescent="0.25">
      <c r="A102" s="7">
        <v>117</v>
      </c>
      <c r="B102" s="7" t="s">
        <v>201</v>
      </c>
      <c r="C102" s="7" t="s">
        <v>202</v>
      </c>
      <c r="F102" s="7" t="s">
        <v>227</v>
      </c>
      <c r="G102" s="7">
        <v>57</v>
      </c>
      <c r="H102" s="7">
        <v>160</v>
      </c>
      <c r="I102" s="7">
        <v>67.099999999999994</v>
      </c>
      <c r="J102" s="8">
        <f t="shared" si="3"/>
        <v>26.210937499999993</v>
      </c>
      <c r="K102" s="7">
        <v>80</v>
      </c>
      <c r="L102" s="7">
        <v>99</v>
      </c>
      <c r="M102" s="9">
        <f>Data[[#This Row],[Waist_Circumference]]/Data[[#This Row],[Hip_circumference]]</f>
        <v>0.80808080808080807</v>
      </c>
      <c r="N102" s="10"/>
      <c r="O102" s="10"/>
      <c r="P102" s="10"/>
      <c r="Q102" s="9"/>
      <c r="R102" s="9"/>
      <c r="S102" s="9"/>
      <c r="T102" s="9">
        <v>1.0900000000000001</v>
      </c>
      <c r="U102" s="9">
        <v>5.92</v>
      </c>
      <c r="V102" s="9">
        <v>9.75</v>
      </c>
      <c r="W102" s="9">
        <f>(Data[[#This Row],[Glucose (umol/L)]]*Data[[#This Row],[Insulin (umol/L)]])/22.5</f>
        <v>2.5653333333333332</v>
      </c>
      <c r="X102" s="9">
        <v>930.15</v>
      </c>
      <c r="Y102" s="9">
        <v>1054.7</v>
      </c>
      <c r="Z102" s="9">
        <v>36.85</v>
      </c>
      <c r="AA102" s="9">
        <v>5</v>
      </c>
      <c r="AB102" s="9">
        <v>2.12</v>
      </c>
      <c r="AC102" s="9">
        <f>Data[[#This Row],[total_chol (umol/L)]]-Data[[#This Row],[HDL_chol (umol/L)]]</f>
        <v>2.88</v>
      </c>
      <c r="AD102" s="9">
        <f>Data[[#This Row],[Non_HDL (umol/L)]]-(Data[[#This Row],[TAG (umol/L)]]/2200)</f>
        <v>2.400590909090909</v>
      </c>
      <c r="AE102" s="9">
        <v>268.33</v>
      </c>
      <c r="AF102" s="51">
        <v>3.1646888971030226E-3</v>
      </c>
      <c r="AG102" s="9">
        <v>0.77242569551241613</v>
      </c>
      <c r="AH102" s="23">
        <f>(Data[[#This Row],[DNL (%)]]/100)*Data[[#This Row],[VLDL (umol/L)]]</f>
        <v>2.0726498687684662</v>
      </c>
      <c r="AI102" s="9">
        <f>[4]SAMPLES!$L$265</f>
        <v>24.190846533975698</v>
      </c>
      <c r="AJ102" s="57">
        <f>(Data[[#This Row],[Gluconeogensis (%)]]/100)*Data[[#This Row],[Glucose (umol/L)]]</f>
        <v>1.4320981148113614</v>
      </c>
    </row>
    <row r="103" spans="1:37" s="7" customFormat="1" x14ac:dyDescent="0.25">
      <c r="A103" s="7">
        <v>118</v>
      </c>
      <c r="B103" s="7" t="s">
        <v>203</v>
      </c>
      <c r="C103" s="7" t="s">
        <v>204</v>
      </c>
      <c r="F103" s="7" t="s">
        <v>227</v>
      </c>
      <c r="G103" s="7">
        <v>55</v>
      </c>
      <c r="H103" s="7">
        <v>158.5</v>
      </c>
      <c r="I103" s="7">
        <v>56.6</v>
      </c>
      <c r="J103" s="8">
        <f t="shared" si="3"/>
        <v>22.529829135527272</v>
      </c>
      <c r="K103" s="7">
        <v>71</v>
      </c>
      <c r="L103" s="7">
        <v>89</v>
      </c>
      <c r="M103" s="9">
        <f>Data[[#This Row],[Waist_Circumference]]/Data[[#This Row],[Hip_circumference]]</f>
        <v>0.797752808988764</v>
      </c>
      <c r="N103" s="10">
        <v>16250</v>
      </c>
      <c r="O103" s="10">
        <v>37470</v>
      </c>
      <c r="P103" s="10">
        <f t="shared" ref="P103:P134" si="6">N103+O103</f>
        <v>53720</v>
      </c>
      <c r="Q103" s="9">
        <f>(Data[[#This Row],[Total_fat_g]]/Data[[#This Row],[Total_mass_g]])*100</f>
        <v>30.249441548771404</v>
      </c>
      <c r="R103" s="9">
        <f>(Data[[#This Row],[Lean_mass_g]]/Data[[#This Row],[Total_mass_g]])*100</f>
        <v>69.750558451228599</v>
      </c>
      <c r="S103" s="9"/>
      <c r="T103" s="9">
        <v>0.49</v>
      </c>
      <c r="U103" s="9">
        <v>5.03</v>
      </c>
      <c r="V103" s="9">
        <v>7.57</v>
      </c>
      <c r="W103" s="9">
        <f>(Data[[#This Row],[Glucose (umol/L)]]*Data[[#This Row],[Insulin (umol/L)]])/22.5</f>
        <v>1.6923155555555556</v>
      </c>
      <c r="X103" s="9">
        <v>589.70000000000005</v>
      </c>
      <c r="Y103" s="9">
        <v>408.7</v>
      </c>
      <c r="Z103" s="9">
        <v>46.75</v>
      </c>
      <c r="AA103" s="9">
        <v>4.5999999999999996</v>
      </c>
      <c r="AB103" s="9">
        <v>1.96</v>
      </c>
      <c r="AC103" s="9">
        <f>Data[[#This Row],[total_chol (umol/L)]]-Data[[#This Row],[HDL_chol (umol/L)]]</f>
        <v>2.6399999999999997</v>
      </c>
      <c r="AD103" s="9">
        <f>Data[[#This Row],[Non_HDL (umol/L)]]-(Data[[#This Row],[TAG (umol/L)]]/2200)</f>
        <v>2.4542272727272723</v>
      </c>
      <c r="AE103" s="9">
        <v>112.65</v>
      </c>
      <c r="AF103" s="51">
        <v>3.0220746446544518E-3</v>
      </c>
      <c r="AG103" s="9">
        <v>5.2821928064995651</v>
      </c>
      <c r="AH103" s="23">
        <f>(Data[[#This Row],[DNL (%)]]/100)*Data[[#This Row],[VLDL (umol/L)]]</f>
        <v>5.9503901965217603</v>
      </c>
      <c r="AI103" s="9">
        <f>[4]SAMPLES!$L$266</f>
        <v>27.494890881075801</v>
      </c>
      <c r="AJ103" s="57">
        <f>(Data[[#This Row],[Gluconeogensis (%)]]/100)*Data[[#This Row],[Glucose (umol/L)]]</f>
        <v>1.3829930113181128</v>
      </c>
    </row>
    <row r="104" spans="1:37" s="7" customFormat="1" x14ac:dyDescent="0.25">
      <c r="A104" s="7">
        <v>119</v>
      </c>
      <c r="B104" s="7" t="s">
        <v>205</v>
      </c>
      <c r="C104" s="7" t="s">
        <v>206</v>
      </c>
      <c r="F104" s="7" t="s">
        <v>227</v>
      </c>
      <c r="G104" s="7">
        <v>44</v>
      </c>
      <c r="H104" s="7">
        <v>175</v>
      </c>
      <c r="I104" s="7">
        <v>89</v>
      </c>
      <c r="J104" s="8">
        <f t="shared" si="3"/>
        <v>29.061224489795919</v>
      </c>
      <c r="K104" s="7">
        <v>96</v>
      </c>
      <c r="L104" s="7">
        <v>106</v>
      </c>
      <c r="M104" s="9">
        <f>Data[[#This Row],[Waist_Circumference]]/Data[[#This Row],[Hip_circumference]]</f>
        <v>0.90566037735849059</v>
      </c>
      <c r="N104" s="10">
        <v>39000</v>
      </c>
      <c r="O104" s="10">
        <v>47330</v>
      </c>
      <c r="P104" s="10">
        <f t="shared" si="6"/>
        <v>86330</v>
      </c>
      <c r="Q104" s="9">
        <f>(Data[[#This Row],[Total_fat_g]]/Data[[#This Row],[Total_mass_g]])*100</f>
        <v>45.175489401135174</v>
      </c>
      <c r="R104" s="9">
        <f>(Data[[#This Row],[Lean_mass_g]]/Data[[#This Row],[Total_mass_g]])*100</f>
        <v>54.824510598864819</v>
      </c>
      <c r="S104" s="9"/>
      <c r="T104" s="9">
        <v>6.8</v>
      </c>
      <c r="U104" s="9">
        <v>5.1100000000000003</v>
      </c>
      <c r="V104" s="9">
        <v>20.38</v>
      </c>
      <c r="W104" s="9">
        <f>(Data[[#This Row],[Glucose (umol/L)]]*Data[[#This Row],[Insulin (umol/L)]])/22.5</f>
        <v>4.6285244444444444</v>
      </c>
      <c r="X104" s="9">
        <v>662.65</v>
      </c>
      <c r="Y104" s="9">
        <v>587.4</v>
      </c>
      <c r="Z104" s="9">
        <v>23.75</v>
      </c>
      <c r="AA104" s="9">
        <v>4.5</v>
      </c>
      <c r="AB104" s="9">
        <v>1.79</v>
      </c>
      <c r="AC104" s="9">
        <f>Data[[#This Row],[total_chol (umol/L)]]-Data[[#This Row],[HDL_chol (umol/L)]]</f>
        <v>2.71</v>
      </c>
      <c r="AD104" s="9">
        <f>Data[[#This Row],[Non_HDL (umol/L)]]-(Data[[#This Row],[TAG (umol/L)]]/2200)</f>
        <v>2.4430000000000001</v>
      </c>
      <c r="AE104" s="9">
        <v>120.5</v>
      </c>
      <c r="AF104" s="51">
        <v>3.8097099511223247E-3</v>
      </c>
      <c r="AG104" s="9">
        <v>15.731695819658341</v>
      </c>
      <c r="AH104" s="23">
        <f>(Data[[#This Row],[DNL (%)]]/100)*Data[[#This Row],[VLDL (umol/L)]]</f>
        <v>18.956693462688303</v>
      </c>
      <c r="AI104" s="9">
        <f>[4]SAMPLES!$L$267</f>
        <v>11.337841484684898</v>
      </c>
      <c r="AJ104" s="57">
        <f>(Data[[#This Row],[Gluconeogensis (%)]]/100)*Data[[#This Row],[Glucose (umol/L)]]</f>
        <v>0.57936369986739833</v>
      </c>
    </row>
    <row r="105" spans="1:37" s="7" customFormat="1" x14ac:dyDescent="0.25">
      <c r="A105" s="7">
        <v>120</v>
      </c>
      <c r="B105" s="7" t="s">
        <v>207</v>
      </c>
      <c r="C105" s="7" t="s">
        <v>208</v>
      </c>
      <c r="F105" s="7" t="s">
        <v>227</v>
      </c>
      <c r="G105" s="7">
        <v>64</v>
      </c>
      <c r="H105" s="7">
        <v>163</v>
      </c>
      <c r="I105" s="7">
        <v>62.35</v>
      </c>
      <c r="J105" s="8">
        <f t="shared" si="3"/>
        <v>23.467198614927174</v>
      </c>
      <c r="K105" s="7">
        <v>71</v>
      </c>
      <c r="L105" s="7">
        <v>92</v>
      </c>
      <c r="M105" s="9">
        <f>Data[[#This Row],[Waist_Circumference]]/Data[[#This Row],[Hip_circumference]]</f>
        <v>0.77173913043478259</v>
      </c>
      <c r="N105" s="10">
        <v>20500</v>
      </c>
      <c r="O105" s="10">
        <v>38560</v>
      </c>
      <c r="P105" s="10">
        <f t="shared" si="6"/>
        <v>59060</v>
      </c>
      <c r="Q105" s="9">
        <f>(Data[[#This Row],[Total_fat_g]]/Data[[#This Row],[Total_mass_g]])*100</f>
        <v>34.71046393498137</v>
      </c>
      <c r="R105" s="9">
        <f>(Data[[#This Row],[Lean_mass_g]]/Data[[#This Row],[Total_mass_g]])*100</f>
        <v>65.289536065018623</v>
      </c>
      <c r="S105" s="9"/>
      <c r="T105" s="9">
        <v>0.73</v>
      </c>
      <c r="U105" s="9">
        <v>4.99</v>
      </c>
      <c r="V105" s="9">
        <v>9.5299999999999994</v>
      </c>
      <c r="W105" s="9">
        <f>(Data[[#This Row],[Glucose (umol/L)]]*Data[[#This Row],[Insulin (umol/L)]])/22.5</f>
        <v>2.1135422222222222</v>
      </c>
      <c r="X105" s="9">
        <v>367</v>
      </c>
      <c r="Y105" s="9">
        <v>841.8</v>
      </c>
      <c r="Z105" s="9">
        <v>38.5</v>
      </c>
      <c r="AA105" s="9">
        <v>5.4</v>
      </c>
      <c r="AB105" s="9">
        <v>1.78</v>
      </c>
      <c r="AC105" s="9">
        <f>Data[[#This Row],[total_chol (umol/L)]]-Data[[#This Row],[HDL_chol (umol/L)]]</f>
        <v>3.62</v>
      </c>
      <c r="AD105" s="9">
        <f>Data[[#This Row],[Non_HDL (umol/L)]]-(Data[[#This Row],[TAG (umol/L)]]/2200)</f>
        <v>3.2373636363636367</v>
      </c>
      <c r="AE105" s="9">
        <v>232.18</v>
      </c>
      <c r="AF105" s="51">
        <v>3.1415926324277334E-3</v>
      </c>
      <c r="AG105" s="9">
        <v>2.2093542610918218</v>
      </c>
      <c r="AH105" s="23">
        <f>(Data[[#This Row],[DNL (%)]]/100)*Data[[#This Row],[VLDL (umol/L)]]</f>
        <v>5.1296787234029919</v>
      </c>
      <c r="AI105" s="9">
        <f>[4]SAMPLES!$L$268</f>
        <v>19.502109837585849</v>
      </c>
      <c r="AJ105" s="57">
        <f>(Data[[#This Row],[Gluconeogensis (%)]]/100)*Data[[#This Row],[Glucose (umol/L)]]</f>
        <v>0.97315528089553394</v>
      </c>
    </row>
    <row r="106" spans="1:37" s="7" customFormat="1" x14ac:dyDescent="0.25">
      <c r="A106" s="7">
        <v>121</v>
      </c>
      <c r="B106" s="7" t="s">
        <v>100</v>
      </c>
      <c r="C106" s="7" t="s">
        <v>209</v>
      </c>
      <c r="F106" s="7" t="s">
        <v>227</v>
      </c>
      <c r="G106" s="7">
        <v>55</v>
      </c>
      <c r="H106" s="7">
        <v>162.19999999999999</v>
      </c>
      <c r="I106" s="7">
        <v>59.55</v>
      </c>
      <c r="J106" s="8">
        <f t="shared" si="3"/>
        <v>22.634977444843638</v>
      </c>
      <c r="K106" s="7">
        <v>75</v>
      </c>
      <c r="L106" s="7">
        <v>95</v>
      </c>
      <c r="M106" s="9">
        <f>Data[[#This Row],[Waist_Circumference]]/Data[[#This Row],[Hip_circumference]]</f>
        <v>0.78947368421052633</v>
      </c>
      <c r="N106" s="10">
        <v>20010</v>
      </c>
      <c r="O106" s="10">
        <v>37750</v>
      </c>
      <c r="P106" s="10">
        <f t="shared" si="6"/>
        <v>57760</v>
      </c>
      <c r="Q106" s="9">
        <f>(Data[[#This Row],[Total_fat_g]]/Data[[#This Row],[Total_mass_g]])*100</f>
        <v>34.643351800554015</v>
      </c>
      <c r="R106" s="9">
        <f>(Data[[#This Row],[Lean_mass_g]]/Data[[#This Row],[Total_mass_g]])*100</f>
        <v>65.356648199445985</v>
      </c>
      <c r="S106" s="9"/>
      <c r="T106" s="9">
        <v>0.61</v>
      </c>
      <c r="U106" s="9">
        <v>5.25</v>
      </c>
      <c r="V106" s="9">
        <v>7.38</v>
      </c>
      <c r="W106" s="9">
        <f>(Data[[#This Row],[Glucose (umol/L)]]*Data[[#This Row],[Insulin (umol/L)]])/22.5</f>
        <v>1.722</v>
      </c>
      <c r="X106" s="9">
        <v>981.73</v>
      </c>
      <c r="Y106" s="9">
        <v>609.75</v>
      </c>
      <c r="Z106" s="9">
        <v>78.2</v>
      </c>
      <c r="AA106" s="9">
        <v>7.07</v>
      </c>
      <c r="AB106" s="9">
        <v>2.3199999999999998</v>
      </c>
      <c r="AC106" s="9">
        <f>Data[[#This Row],[total_chol (umol/L)]]-Data[[#This Row],[HDL_chol (umol/L)]]</f>
        <v>4.75</v>
      </c>
      <c r="AD106" s="9">
        <f>Data[[#This Row],[Non_HDL (umol/L)]]-(Data[[#This Row],[TAG (umol/L)]]/2200)</f>
        <v>4.4728409090909089</v>
      </c>
      <c r="AE106" s="9">
        <v>188.68</v>
      </c>
      <c r="AF106" s="51">
        <v>3.1188475742174844E-3</v>
      </c>
      <c r="AG106" s="9">
        <v>2.7352403116885178</v>
      </c>
      <c r="AH106" s="23">
        <f>(Data[[#This Row],[DNL (%)]]/100)*Data[[#This Row],[VLDL (umol/L)]]</f>
        <v>5.1608514200938957</v>
      </c>
      <c r="AI106" s="9">
        <f>[4]SAMPLES!$L$269</f>
        <v>14.538813113519891</v>
      </c>
      <c r="AJ106" s="57">
        <f>(Data[[#This Row],[Gluconeogensis (%)]]/100)*Data[[#This Row],[Glucose (umol/L)]]</f>
        <v>0.76328768845979433</v>
      </c>
      <c r="AK106" s="33"/>
    </row>
    <row r="107" spans="1:37" s="7" customFormat="1" x14ac:dyDescent="0.25">
      <c r="A107" s="33">
        <v>122</v>
      </c>
      <c r="B107" s="33" t="s">
        <v>210</v>
      </c>
      <c r="C107" s="33" t="s">
        <v>226</v>
      </c>
      <c r="D107" s="33" t="s">
        <v>386</v>
      </c>
      <c r="E107" s="33" t="s">
        <v>407</v>
      </c>
      <c r="F107" s="33" t="s">
        <v>227</v>
      </c>
      <c r="G107" s="33">
        <v>45</v>
      </c>
      <c r="H107" s="33">
        <v>164</v>
      </c>
      <c r="I107" s="33">
        <v>68</v>
      </c>
      <c r="J107" s="34">
        <f t="shared" si="3"/>
        <v>25.282569898869724</v>
      </c>
      <c r="K107" s="33">
        <v>82</v>
      </c>
      <c r="L107" s="33">
        <v>102</v>
      </c>
      <c r="M107" s="35">
        <f>Data[[#This Row],[Waist_Circumference]]/Data[[#This Row],[Hip_circumference]]</f>
        <v>0.80392156862745101</v>
      </c>
      <c r="N107" s="36">
        <f>[50]Antropometrics!$B$16</f>
        <v>22786</v>
      </c>
      <c r="O107" s="36">
        <f>[50]Antropometrics!$B$17</f>
        <v>43669</v>
      </c>
      <c r="P107" s="36">
        <f t="shared" si="6"/>
        <v>66455</v>
      </c>
      <c r="Q107" s="35">
        <f>(Data[[#This Row],[Total_fat_g]]/Data[[#This Row],[Total_mass_g]])*100</f>
        <v>34.287863968098712</v>
      </c>
      <c r="R107" s="35">
        <f>(Data[[#This Row],[Lean_mass_g]]/Data[[#This Row],[Total_mass_g]])*100</f>
        <v>65.712136031901295</v>
      </c>
      <c r="S107" s="35">
        <v>186</v>
      </c>
      <c r="T107" s="35">
        <v>1.752</v>
      </c>
      <c r="U107" s="35">
        <f>[51]Glucose!$B$24</f>
        <v>4.8230000000000004</v>
      </c>
      <c r="V107" s="35">
        <f>[51]Insulin!$B$24</f>
        <v>5.9160000000000004</v>
      </c>
      <c r="W107" s="35">
        <f>(Data[[#This Row],[Glucose (umol/L)]]*Data[[#This Row],[Insulin (umol/L)]])/22.5</f>
        <v>1.2681274666666669</v>
      </c>
      <c r="X107" s="35">
        <f>[51]NEFA!$B$24</f>
        <v>709.8</v>
      </c>
      <c r="Y107" s="35">
        <f>[51]TAG!$B$24</f>
        <v>427.4</v>
      </c>
      <c r="Z107" s="35">
        <f>'[51]3OHB'!$B$24</f>
        <v>190.6</v>
      </c>
      <c r="AA107" s="35">
        <f>'[51]Chol, HDL'!$B$14</f>
        <v>3.88</v>
      </c>
      <c r="AB107" s="35">
        <f>'[51]Chol, HDL'!$B$31</f>
        <v>1.33</v>
      </c>
      <c r="AC107" s="35">
        <f>Data[[#This Row],[total_chol (umol/L)]]-Data[[#This Row],[HDL_chol (umol/L)]]</f>
        <v>2.5499999999999998</v>
      </c>
      <c r="AD107" s="35">
        <f>Data[[#This Row],[Non_HDL (umol/L)]]-(Data[[#This Row],[TAG (umol/L)]]/2200)</f>
        <v>2.3557272727272727</v>
      </c>
      <c r="AE107" s="35">
        <v>185.71374</v>
      </c>
      <c r="AF107" s="52">
        <f>[51]DNL!$B$15</f>
        <v>3.6832350750748231E-3</v>
      </c>
      <c r="AG107" s="35">
        <f>[51]DNL!$B$61</f>
        <v>3.3176892002971381</v>
      </c>
      <c r="AH107" s="23">
        <f>(Data[[#This Row],[DNL (%)]]/100)*Data[[#This Row],[VLDL (umol/L)]]</f>
        <v>6.1614046954479065</v>
      </c>
      <c r="AI107" s="35">
        <f>[4]SAMPLES!$L$145</f>
        <v>26.678638608087724</v>
      </c>
      <c r="AJ107" s="58">
        <f>(Data[[#This Row],[Gluconeogensis (%)]]/100)*Data[[#This Row],[Glucose (umol/L)]]</f>
        <v>1.2867107400680711</v>
      </c>
      <c r="AK107" s="33"/>
    </row>
    <row r="108" spans="1:37" s="7" customFormat="1" x14ac:dyDescent="0.25">
      <c r="A108" s="33">
        <v>123</v>
      </c>
      <c r="B108" s="33" t="s">
        <v>211</v>
      </c>
      <c r="C108" s="33" t="s">
        <v>226</v>
      </c>
      <c r="D108" s="33" t="s">
        <v>386</v>
      </c>
      <c r="E108" s="33" t="s">
        <v>23</v>
      </c>
      <c r="F108" s="33" t="s">
        <v>228</v>
      </c>
      <c r="G108" s="33">
        <v>48</v>
      </c>
      <c r="H108" s="33">
        <v>182</v>
      </c>
      <c r="I108" s="33">
        <v>91.8</v>
      </c>
      <c r="J108" s="34">
        <f t="shared" si="3"/>
        <v>27.714044197560678</v>
      </c>
      <c r="K108" s="33">
        <v>104</v>
      </c>
      <c r="L108" s="33">
        <v>105</v>
      </c>
      <c r="M108" s="35">
        <f>Data[[#This Row],[Waist_Circumference]]/Data[[#This Row],[Hip_circumference]]</f>
        <v>0.99047619047619051</v>
      </c>
      <c r="N108" s="36">
        <f>[51]Antropometrics!$C$16</f>
        <v>26562</v>
      </c>
      <c r="O108" s="36">
        <f>[51]Antropometrics!$C$17</f>
        <v>61220</v>
      </c>
      <c r="P108" s="36">
        <f t="shared" si="6"/>
        <v>87782</v>
      </c>
      <c r="Q108" s="35">
        <f>(Data[[#This Row],[Total_fat_g]]/Data[[#This Row],[Total_mass_g]])*100</f>
        <v>30.259050830466382</v>
      </c>
      <c r="R108" s="35">
        <f>(Data[[#This Row],[Lean_mass_g]]/Data[[#This Row],[Total_mass_g]])*100</f>
        <v>69.740949169533621</v>
      </c>
      <c r="S108" s="35">
        <f>[51]Antropometrics!$C$27</f>
        <v>963</v>
      </c>
      <c r="T108" s="35"/>
      <c r="U108" s="35">
        <f>[51]Glucose!$C$7</f>
        <v>4.617</v>
      </c>
      <c r="V108" s="35">
        <f>[51]Insulin!$C$7</f>
        <v>9.3230000000000004</v>
      </c>
      <c r="W108" s="35">
        <f>(Data[[#This Row],[Glucose (umol/L)]]*Data[[#This Row],[Insulin (umol/L)]])/22.5</f>
        <v>1.9130796000000001</v>
      </c>
      <c r="X108" s="35">
        <f>[51]NEFA!$C$7</f>
        <v>332.75</v>
      </c>
      <c r="Y108" s="35">
        <f>[51]TAG!$C$7</f>
        <v>776.40000000000009</v>
      </c>
      <c r="Z108" s="35">
        <f>'[51]3OHB'!$C$7</f>
        <v>60.7</v>
      </c>
      <c r="AA108" s="35">
        <f>'[51]Chol, HDL'!$C$7</f>
        <v>5.63</v>
      </c>
      <c r="AB108" s="35">
        <f>'[51]Chol, HDL'!$C$24</f>
        <v>1.1399999999999999</v>
      </c>
      <c r="AC108" s="35">
        <f>Data[[#This Row],[total_chol (umol/L)]]-Data[[#This Row],[HDL_chol (umol/L)]]</f>
        <v>4.49</v>
      </c>
      <c r="AD108" s="35">
        <f>Data[[#This Row],[Non_HDL (umol/L)]]-(Data[[#This Row],[TAG (umol/L)]]/2200)</f>
        <v>4.1370909090909089</v>
      </c>
      <c r="AE108" s="35">
        <v>361.04658749999999</v>
      </c>
      <c r="AF108" s="52">
        <f>[51]DNL!$C$5</f>
        <v>3.1680534294100818E-3</v>
      </c>
      <c r="AG108" s="35">
        <f>[51]DNL!$C$49</f>
        <v>0.8428041219089778</v>
      </c>
      <c r="AH108" s="23">
        <f>(Data[[#This Row],[DNL (%)]]/100)*Data[[#This Row],[VLDL (umol/L)]]</f>
        <v>3.0429155214617043</v>
      </c>
      <c r="AI108" s="35"/>
      <c r="AJ108" s="58"/>
      <c r="AK108" s="33" t="s">
        <v>413</v>
      </c>
    </row>
    <row r="109" spans="1:37" s="7" customFormat="1" x14ac:dyDescent="0.25">
      <c r="A109" s="33">
        <v>124</v>
      </c>
      <c r="B109" s="33" t="s">
        <v>212</v>
      </c>
      <c r="C109" s="33" t="s">
        <v>226</v>
      </c>
      <c r="D109" s="33" t="s">
        <v>386</v>
      </c>
      <c r="E109" s="33" t="s">
        <v>407</v>
      </c>
      <c r="F109" s="33" t="s">
        <v>227</v>
      </c>
      <c r="G109" s="33">
        <v>47</v>
      </c>
      <c r="H109" s="33">
        <v>161</v>
      </c>
      <c r="I109" s="33">
        <v>76.099999999999994</v>
      </c>
      <c r="J109" s="34">
        <f t="shared" si="3"/>
        <v>29.358435245553792</v>
      </c>
      <c r="K109" s="33">
        <v>85</v>
      </c>
      <c r="L109" s="33">
        <v>107</v>
      </c>
      <c r="M109" s="35">
        <f>Data[[#This Row],[Waist_Circumference]]/Data[[#This Row],[Hip_circumference]]</f>
        <v>0.79439252336448596</v>
      </c>
      <c r="N109" s="36">
        <f>[50]Antropometrics!$D$16</f>
        <v>31362</v>
      </c>
      <c r="O109" s="36">
        <f>[50]Antropometrics!$D$17</f>
        <v>40457</v>
      </c>
      <c r="P109" s="36">
        <f t="shared" si="6"/>
        <v>71819</v>
      </c>
      <c r="Q109" s="35">
        <f>(Data[[#This Row],[Total_fat_g]]/Data[[#This Row],[Total_mass_g]])*100</f>
        <v>43.668110110137988</v>
      </c>
      <c r="R109" s="35">
        <f>(Data[[#This Row],[Lean_mass_g]]/Data[[#This Row],[Total_mass_g]])*100</f>
        <v>56.331889889862019</v>
      </c>
      <c r="S109" s="35">
        <v>531</v>
      </c>
      <c r="T109" s="35">
        <v>2.3898663610464301</v>
      </c>
      <c r="U109" s="35">
        <f>[51]Glucose!$D$24</f>
        <v>5.3529999999999998</v>
      </c>
      <c r="V109" s="35">
        <f>[51]Insulin!$D$24</f>
        <v>9.8264999999999993</v>
      </c>
      <c r="W109" s="35">
        <f>(Data[[#This Row],[Glucose (umol/L)]]*Data[[#This Row],[Insulin (umol/L)]])/22.5</f>
        <v>2.3378335333333333</v>
      </c>
      <c r="X109" s="35">
        <f>[51]NEFA!$D$24</f>
        <v>614.29999999999995</v>
      </c>
      <c r="Y109" s="35">
        <f>[51]TAG!$D$24</f>
        <v>1150.3</v>
      </c>
      <c r="Z109" s="35">
        <f>'[51]3OHB'!$D$24</f>
        <v>38.4</v>
      </c>
      <c r="AA109" s="35">
        <f>'[51]Chol, HDL'!$D$14</f>
        <v>5.26</v>
      </c>
      <c r="AB109" s="35">
        <f>'[51]Chol, HDL'!$D$31</f>
        <v>1.41</v>
      </c>
      <c r="AC109" s="35">
        <f>Data[[#This Row],[total_chol (umol/L)]]-Data[[#This Row],[HDL_chol (umol/L)]]</f>
        <v>3.8499999999999996</v>
      </c>
      <c r="AD109" s="35">
        <f>Data[[#This Row],[Non_HDL (umol/L)]]-(Data[[#This Row],[TAG (umol/L)]]/2200)</f>
        <v>3.3271363636363631</v>
      </c>
      <c r="AE109" s="35">
        <v>585.14341500000012</v>
      </c>
      <c r="AF109" s="52">
        <f>[51]DNL!$D$15</f>
        <v>3.6028606389225154E-3</v>
      </c>
      <c r="AG109" s="35">
        <f>[51]DNL!$D$61</f>
        <v>8.8918959137957145</v>
      </c>
      <c r="AH109" s="23">
        <f>(Data[[#This Row],[DNL (%)]]/100)*Data[[#This Row],[VLDL (umol/L)]]</f>
        <v>52.030343408229712</v>
      </c>
      <c r="AI109" s="66">
        <f>[4]SAMPLES!$L$147</f>
        <v>28.50227298687107</v>
      </c>
      <c r="AJ109" s="58">
        <f>(Data[[#This Row],[Gluconeogensis (%)]]/100)*Data[[#This Row],[Glucose (umol/L)]]</f>
        <v>1.5257266729872083</v>
      </c>
      <c r="AK109" s="33"/>
    </row>
    <row r="110" spans="1:37" s="7" customFormat="1" x14ac:dyDescent="0.25">
      <c r="A110" s="33">
        <v>125</v>
      </c>
      <c r="B110" s="33" t="s">
        <v>213</v>
      </c>
      <c r="C110" s="33" t="s">
        <v>226</v>
      </c>
      <c r="D110" s="33" t="s">
        <v>386</v>
      </c>
      <c r="E110" s="33" t="s">
        <v>407</v>
      </c>
      <c r="F110" s="33" t="s">
        <v>227</v>
      </c>
      <c r="G110" s="33">
        <v>50</v>
      </c>
      <c r="H110" s="33">
        <v>169.5</v>
      </c>
      <c r="I110" s="33">
        <v>70.099999999999994</v>
      </c>
      <c r="J110" s="34">
        <f t="shared" si="3"/>
        <v>24.399370002001373</v>
      </c>
      <c r="K110" s="33">
        <v>81</v>
      </c>
      <c r="L110" s="33">
        <v>102</v>
      </c>
      <c r="M110" s="35">
        <f>Data[[#This Row],[Waist_Circumference]]/Data[[#This Row],[Hip_circumference]]</f>
        <v>0.79411764705882348</v>
      </c>
      <c r="N110" s="36">
        <f>[51]Antropometrics!$E$16</f>
        <v>20753</v>
      </c>
      <c r="O110" s="36">
        <f>[51]Antropometrics!$E$17</f>
        <v>46542</v>
      </c>
      <c r="P110" s="36">
        <f t="shared" si="6"/>
        <v>67295</v>
      </c>
      <c r="Q110" s="35">
        <f>(Data[[#This Row],[Total_fat_g]]/Data[[#This Row],[Total_mass_g]])*100</f>
        <v>30.838843896277584</v>
      </c>
      <c r="R110" s="35">
        <f>(Data[[#This Row],[Lean_mass_g]]/Data[[#This Row],[Total_mass_g]])*100</f>
        <v>69.161156103722419</v>
      </c>
      <c r="S110" s="35">
        <f>[51]Antropometrics!$E$27</f>
        <v>241</v>
      </c>
      <c r="T110" s="35"/>
      <c r="U110" s="35">
        <f>[51]Glucose!$E$24</f>
        <v>5.3540000000000001</v>
      </c>
      <c r="V110" s="35">
        <f>[51]Insulin!$E$24</f>
        <v>6.4414999999999996</v>
      </c>
      <c r="W110" s="35">
        <f>(Data[[#This Row],[Glucose (umol/L)]]*Data[[#This Row],[Insulin (umol/L)]])/22.5</f>
        <v>1.5327907111111112</v>
      </c>
      <c r="X110" s="35">
        <f>[51]NEFA!$E$24</f>
        <v>546.70000000000005</v>
      </c>
      <c r="Y110" s="35">
        <f>[51]TAG!$E$24</f>
        <v>926.5</v>
      </c>
      <c r="Z110" s="35">
        <f>'[51]3OHB'!$E$24</f>
        <v>162.6</v>
      </c>
      <c r="AA110" s="35">
        <f>'[51]Chol, HDL'!$E$14</f>
        <v>7.23</v>
      </c>
      <c r="AB110" s="35">
        <f>'[51]Chol, HDL'!$E$31</f>
        <v>2.59</v>
      </c>
      <c r="AC110" s="35">
        <f>Data[[#This Row],[total_chol (umol/L)]]-Data[[#This Row],[HDL_chol (umol/L)]]</f>
        <v>4.6400000000000006</v>
      </c>
      <c r="AD110" s="35">
        <f>Data[[#This Row],[Non_HDL (umol/L)]]-(Data[[#This Row],[TAG (umol/L)]]/2200)</f>
        <v>4.2188636363636371</v>
      </c>
      <c r="AE110" s="35">
        <v>343.61383499999994</v>
      </c>
      <c r="AF110" s="52">
        <f>[51]DNL!$E$15</f>
        <v>2.9256601710788738E-3</v>
      </c>
      <c r="AG110" s="35">
        <f>[51]DNL!$E$61</f>
        <v>2.9048000362203967</v>
      </c>
      <c r="AH110" s="23">
        <f>(Data[[#This Row],[DNL (%)]]/100)*Data[[#This Row],[VLDL (umol/L)]]</f>
        <v>9.981294803538292</v>
      </c>
      <c r="AI110" s="35"/>
      <c r="AJ110" s="58"/>
      <c r="AK110" s="33" t="s">
        <v>413</v>
      </c>
    </row>
    <row r="111" spans="1:37" s="7" customFormat="1" x14ac:dyDescent="0.25">
      <c r="A111" s="33">
        <v>126</v>
      </c>
      <c r="B111" s="33" t="s">
        <v>214</v>
      </c>
      <c r="C111" s="33" t="s">
        <v>226</v>
      </c>
      <c r="D111" s="33" t="s">
        <v>386</v>
      </c>
      <c r="E111" s="33" t="s">
        <v>23</v>
      </c>
      <c r="F111" s="33" t="s">
        <v>227</v>
      </c>
      <c r="G111" s="33">
        <v>47</v>
      </c>
      <c r="H111" s="33">
        <v>171</v>
      </c>
      <c r="I111" s="33">
        <v>79.400000000000006</v>
      </c>
      <c r="J111" s="34">
        <f t="shared" si="3"/>
        <v>27.153654115796318</v>
      </c>
      <c r="K111" s="33">
        <v>94</v>
      </c>
      <c r="L111" s="33">
        <v>109</v>
      </c>
      <c r="M111" s="35">
        <f>Data[[#This Row],[Waist_Circumference]]/Data[[#This Row],[Hip_circumference]]</f>
        <v>0.86238532110091748</v>
      </c>
      <c r="N111" s="36">
        <f>[50]Antropometrics!$F$16</f>
        <v>32646</v>
      </c>
      <c r="O111" s="36">
        <f>[50]Antropometrics!$F$17</f>
        <v>42894</v>
      </c>
      <c r="P111" s="36">
        <f t="shared" si="6"/>
        <v>75540</v>
      </c>
      <c r="Q111" s="35">
        <f>(Data[[#This Row],[Total_fat_g]]/Data[[#This Row],[Total_mass_g]])*100</f>
        <v>43.21683876092137</v>
      </c>
      <c r="R111" s="35">
        <f>(Data[[#This Row],[Lean_mass_g]]/Data[[#This Row],[Total_mass_g]])*100</f>
        <v>56.783161239078638</v>
      </c>
      <c r="S111" s="35">
        <v>649</v>
      </c>
      <c r="T111" s="35">
        <v>1.48909379521234</v>
      </c>
      <c r="U111" s="35">
        <f>[51]Glucose!$F$7</f>
        <v>4.5750000000000002</v>
      </c>
      <c r="V111" s="35">
        <f>[51]Insulin!$F$7</f>
        <v>11.121</v>
      </c>
      <c r="W111" s="35">
        <f>(Data[[#This Row],[Glucose (umol/L)]]*Data[[#This Row],[Insulin (umol/L)]])/22.5</f>
        <v>2.2612700000000001</v>
      </c>
      <c r="X111" s="35">
        <f>[51]NEFA!$F$7</f>
        <v>496.6</v>
      </c>
      <c r="Y111" s="35">
        <f>[51]TAG!$F$7</f>
        <v>1050.9000000000001</v>
      </c>
      <c r="Z111" s="35">
        <f>'[51]3OHB'!$F$7</f>
        <v>65.099999999999994</v>
      </c>
      <c r="AA111" s="35">
        <f>'[51]Chol, HDL'!$F$7</f>
        <v>4.78</v>
      </c>
      <c r="AB111" s="35">
        <f>'[51]Chol, HDL'!$F$24</f>
        <v>1.54</v>
      </c>
      <c r="AC111" s="35">
        <f>Data[[#This Row],[total_chol (umol/L)]]-Data[[#This Row],[HDL_chol (umol/L)]]</f>
        <v>3.24</v>
      </c>
      <c r="AD111" s="35">
        <f>Data[[#This Row],[Non_HDL (umol/L)]]-(Data[[#This Row],[TAG (umol/L)]]/2200)</f>
        <v>2.7623181818181819</v>
      </c>
      <c r="AE111" s="35">
        <v>677.19553124999993</v>
      </c>
      <c r="AF111" s="52">
        <f>[51]DNL!$F$5</f>
        <v>3.6394114864659027E-3</v>
      </c>
      <c r="AG111" s="35">
        <f>[51]DNL!$F$49</f>
        <v>4.1766700483134178</v>
      </c>
      <c r="AH111" s="23">
        <f>(Data[[#This Row],[DNL (%)]]/100)*Data[[#This Row],[VLDL (umol/L)]]</f>
        <v>28.284222922235678</v>
      </c>
      <c r="AI111" s="35">
        <f>[4]SAMPLES!$L$149</f>
        <v>30.81701515280082</v>
      </c>
      <c r="AJ111" s="58">
        <f>(Data[[#This Row],[Gluconeogensis (%)]]/100)*Data[[#This Row],[Glucose (umol/L)]]</f>
        <v>1.4098784432406375</v>
      </c>
      <c r="AK111" s="33"/>
    </row>
    <row r="112" spans="1:37" s="7" customFormat="1" x14ac:dyDescent="0.25">
      <c r="A112" s="33">
        <v>127</v>
      </c>
      <c r="B112" s="33" t="s">
        <v>215</v>
      </c>
      <c r="C112" s="33" t="s">
        <v>226</v>
      </c>
      <c r="D112" s="33" t="s">
        <v>386</v>
      </c>
      <c r="E112" s="33" t="s">
        <v>23</v>
      </c>
      <c r="F112" s="33" t="s">
        <v>228</v>
      </c>
      <c r="G112" s="33">
        <v>42</v>
      </c>
      <c r="H112" s="33">
        <v>174</v>
      </c>
      <c r="I112" s="33">
        <v>91</v>
      </c>
      <c r="J112" s="34">
        <f t="shared" si="3"/>
        <v>30.056810675122207</v>
      </c>
      <c r="K112" s="33">
        <v>101</v>
      </c>
      <c r="L112" s="33">
        <v>103</v>
      </c>
      <c r="M112" s="35">
        <f>Data[[#This Row],[Waist_Circumference]]/Data[[#This Row],[Hip_circumference]]</f>
        <v>0.98058252427184467</v>
      </c>
      <c r="N112" s="36">
        <f>[50]Antropometrics!$G$16</f>
        <v>28857</v>
      </c>
      <c r="O112" s="36">
        <f>[50]Antropometrics!$G$17</f>
        <v>58016</v>
      </c>
      <c r="P112" s="36">
        <f t="shared" si="6"/>
        <v>86873</v>
      </c>
      <c r="Q112" s="35">
        <f>(Data[[#This Row],[Total_fat_g]]/Data[[#This Row],[Total_mass_g]])*100</f>
        <v>33.217455365878926</v>
      </c>
      <c r="R112" s="35">
        <f>(Data[[#This Row],[Lean_mass_g]]/Data[[#This Row],[Total_mass_g]])*100</f>
        <v>66.782544634121081</v>
      </c>
      <c r="S112" s="35">
        <v>2074</v>
      </c>
      <c r="T112" s="35">
        <v>3.0281292265637143</v>
      </c>
      <c r="U112" s="35">
        <f>[51]Glucose!$G$7</f>
        <v>6.5730000000000004</v>
      </c>
      <c r="V112" s="35">
        <f>[51]Insulin!$G$7</f>
        <v>13.2</v>
      </c>
      <c r="W112" s="35">
        <f>(Data[[#This Row],[Glucose (umol/L)]]*Data[[#This Row],[Insulin (umol/L)]])/22.5</f>
        <v>3.85616</v>
      </c>
      <c r="X112" s="35">
        <f>[51]NEFA!$G$7</f>
        <v>485.2</v>
      </c>
      <c r="Y112" s="35">
        <f>[51]TAG!$G$7</f>
        <v>2049.7999999999997</v>
      </c>
      <c r="Z112" s="35">
        <f>'[51]3OHB'!$G$7</f>
        <v>42.7</v>
      </c>
      <c r="AA112" s="35">
        <f>'[51]Chol, HDL'!$G$7</f>
        <v>5.09</v>
      </c>
      <c r="AB112" s="35">
        <f>'[51]Chol, HDL'!$G$24</f>
        <v>0.99</v>
      </c>
      <c r="AC112" s="35">
        <f>Data[[#This Row],[total_chol (umol/L)]]-Data[[#This Row],[HDL_chol (umol/L)]]</f>
        <v>4.0999999999999996</v>
      </c>
      <c r="AD112" s="35">
        <f>Data[[#This Row],[Non_HDL (umol/L)]]-(Data[[#This Row],[TAG (umol/L)]]/2200)</f>
        <v>3.1682727272727269</v>
      </c>
      <c r="AE112" s="35">
        <v>1415.4184837500002</v>
      </c>
      <c r="AF112" s="52">
        <f>[51]DNL!$G$5</f>
        <v>3.2179982411617084E-3</v>
      </c>
      <c r="AG112" s="35">
        <f>[51]DNL!$G$49</f>
        <v>9.5855878132243841</v>
      </c>
      <c r="AH112" s="23">
        <f>(Data[[#This Row],[DNL (%)]]/100)*Data[[#This Row],[VLDL (umol/L)]]</f>
        <v>135.67618168446538</v>
      </c>
      <c r="AI112" s="66">
        <f>[4]SAMPLES!$L$150</f>
        <v>36.197557641726057</v>
      </c>
      <c r="AJ112" s="58">
        <f>(Data[[#This Row],[Gluconeogensis (%)]]/100)*Data[[#This Row],[Glucose (umol/L)]]</f>
        <v>2.3792654637906541</v>
      </c>
      <c r="AK112" s="33"/>
    </row>
    <row r="113" spans="1:37" s="7" customFormat="1" x14ac:dyDescent="0.25">
      <c r="A113" s="33">
        <v>128</v>
      </c>
      <c r="B113" s="33" t="s">
        <v>216</v>
      </c>
      <c r="C113" s="33" t="s">
        <v>226</v>
      </c>
      <c r="D113" s="33" t="s">
        <v>386</v>
      </c>
      <c r="E113" s="33" t="s">
        <v>407</v>
      </c>
      <c r="F113" s="33" t="s">
        <v>227</v>
      </c>
      <c r="G113" s="33">
        <v>46</v>
      </c>
      <c r="H113" s="33">
        <v>161</v>
      </c>
      <c r="I113" s="33">
        <v>91.3</v>
      </c>
      <c r="J113" s="34">
        <f t="shared" si="3"/>
        <v>35.222406542957444</v>
      </c>
      <c r="K113" s="33">
        <v>103</v>
      </c>
      <c r="L113" s="33">
        <v>118</v>
      </c>
      <c r="M113" s="35">
        <f>Data[[#This Row],[Waist_Circumference]]/Data[[#This Row],[Hip_circumference]]</f>
        <v>0.8728813559322034</v>
      </c>
      <c r="N113" s="36">
        <f>[50]Antropometrics!$H$16</f>
        <v>47058</v>
      </c>
      <c r="O113" s="36">
        <f>[50]Antropometrics!$H$17</f>
        <v>40991</v>
      </c>
      <c r="P113" s="36">
        <f t="shared" si="6"/>
        <v>88049</v>
      </c>
      <c r="Q113" s="35">
        <f>(Data[[#This Row],[Total_fat_g]]/Data[[#This Row],[Total_mass_g]])*100</f>
        <v>53.445240718236441</v>
      </c>
      <c r="R113" s="35">
        <f>(Data[[#This Row],[Lean_mass_g]]/Data[[#This Row],[Total_mass_g]])*100</f>
        <v>46.554759281763566</v>
      </c>
      <c r="S113" s="35">
        <v>1793</v>
      </c>
      <c r="T113" s="35">
        <v>14.504463492806657</v>
      </c>
      <c r="U113" s="35">
        <f>[51]Glucose!$H$24</f>
        <v>5.7439999999999998</v>
      </c>
      <c r="V113" s="35">
        <f>[51]Insulin!$H$24</f>
        <v>9.275500000000001</v>
      </c>
      <c r="W113" s="35">
        <f>(Data[[#This Row],[Glucose (umol/L)]]*Data[[#This Row],[Insulin (umol/L)]])/22.5</f>
        <v>2.3679320888888888</v>
      </c>
      <c r="X113" s="35">
        <f>[51]NEFA!$H$24</f>
        <v>685.1</v>
      </c>
      <c r="Y113" s="35">
        <f>[51]TAG!$H$24</f>
        <v>1742.2</v>
      </c>
      <c r="Z113" s="35">
        <f>'[51]3OHB'!$H$24</f>
        <v>45.6</v>
      </c>
      <c r="AA113" s="35">
        <f>'[51]Chol, HDL'!$H$14</f>
        <v>4.9000000000000004</v>
      </c>
      <c r="AB113" s="35">
        <f>'[51]Chol, HDL'!$H$31</f>
        <v>1.22</v>
      </c>
      <c r="AC113" s="35">
        <f>Data[[#This Row],[total_chol (umol/L)]]-Data[[#This Row],[HDL_chol (umol/L)]]</f>
        <v>3.6800000000000006</v>
      </c>
      <c r="AD113" s="35">
        <f>Data[[#This Row],[Non_HDL (umol/L)]]-(Data[[#This Row],[TAG (umol/L)]]/2200)</f>
        <v>2.8880909090909097</v>
      </c>
      <c r="AE113" s="35">
        <v>697.02626250000003</v>
      </c>
      <c r="AF113" s="52">
        <f>[51]DNL!$H$15</f>
        <v>4.5269837777763911E-3</v>
      </c>
      <c r="AG113" s="35">
        <f>[51]DNL!$H$61</f>
        <v>6.1905188873314945</v>
      </c>
      <c r="AH113" s="23">
        <f>(Data[[#This Row],[DNL (%)]]/100)*Data[[#This Row],[VLDL (umol/L)]]</f>
        <v>43.149542429723304</v>
      </c>
      <c r="AI113" s="35">
        <f>[4]SAMPLES!$L$151</f>
        <v>26.878103810454508</v>
      </c>
      <c r="AJ113" s="58">
        <f>(Data[[#This Row],[Gluconeogensis (%)]]/100)*Data[[#This Row],[Glucose (umol/L)]]</f>
        <v>1.5438782828725068</v>
      </c>
      <c r="AK113" s="33"/>
    </row>
    <row r="114" spans="1:37" s="7" customFormat="1" x14ac:dyDescent="0.25">
      <c r="A114" s="33">
        <v>129</v>
      </c>
      <c r="B114" s="33" t="s">
        <v>217</v>
      </c>
      <c r="C114" s="33" t="s">
        <v>226</v>
      </c>
      <c r="D114" s="33" t="s">
        <v>386</v>
      </c>
      <c r="E114" s="33" t="s">
        <v>407</v>
      </c>
      <c r="F114" s="33" t="s">
        <v>228</v>
      </c>
      <c r="G114" s="33">
        <v>38</v>
      </c>
      <c r="H114" s="33">
        <v>174</v>
      </c>
      <c r="I114" s="33">
        <v>78.7</v>
      </c>
      <c r="J114" s="34">
        <f t="shared" si="3"/>
        <v>25.99418681463866</v>
      </c>
      <c r="K114" s="33">
        <v>86</v>
      </c>
      <c r="L114" s="33">
        <v>100</v>
      </c>
      <c r="M114" s="35">
        <f>Data[[#This Row],[Waist_Circumference]]/Data[[#This Row],[Hip_circumference]]</f>
        <v>0.86</v>
      </c>
      <c r="N114" s="36">
        <f>[50]Antropometrics!$I$16</f>
        <v>13919</v>
      </c>
      <c r="O114" s="36">
        <f>[50]Antropometrics!$I$17</f>
        <v>61993</v>
      </c>
      <c r="P114" s="36">
        <f t="shared" si="6"/>
        <v>75912</v>
      </c>
      <c r="Q114" s="35">
        <f>(Data[[#This Row],[Total_fat_g]]/Data[[#This Row],[Total_mass_g]])*100</f>
        <v>18.335704499947308</v>
      </c>
      <c r="R114" s="35">
        <f>(Data[[#This Row],[Lean_mass_g]]/Data[[#This Row],[Total_mass_g]])*100</f>
        <v>81.664295500052702</v>
      </c>
      <c r="S114" s="35">
        <v>395</v>
      </c>
      <c r="T114" s="35">
        <v>2.0331382783775096</v>
      </c>
      <c r="U114" s="35">
        <f>[51]Glucose!$I$24</f>
        <v>5.9880000000000004</v>
      </c>
      <c r="V114" s="35">
        <f>[51]Insulin!$I$24</f>
        <v>7.859</v>
      </c>
      <c r="W114" s="35">
        <f>(Data[[#This Row],[Glucose (umol/L)]]*Data[[#This Row],[Insulin (umol/L)]])/22.5</f>
        <v>2.0915418666666667</v>
      </c>
      <c r="X114" s="35">
        <f>[51]NEFA!$I$24</f>
        <v>342.8</v>
      </c>
      <c r="Y114" s="35">
        <f>[51]TAG!$I$24</f>
        <v>1002.5999999999999</v>
      </c>
      <c r="Z114" s="35">
        <f>'[51]3OHB'!$I$24</f>
        <v>38.9</v>
      </c>
      <c r="AA114" s="35">
        <f>'[51]Chol, HDL'!$I$14</f>
        <v>4.84</v>
      </c>
      <c r="AB114" s="35">
        <f>'[51]Chol, HDL'!$I$31</f>
        <v>1.52</v>
      </c>
      <c r="AC114" s="35">
        <f>Data[[#This Row],[total_chol (umol/L)]]-Data[[#This Row],[HDL_chol (umol/L)]]</f>
        <v>3.32</v>
      </c>
      <c r="AD114" s="35">
        <f>Data[[#This Row],[Non_HDL (umol/L)]]-(Data[[#This Row],[TAG (umol/L)]]/2200)</f>
        <v>2.8642727272727271</v>
      </c>
      <c r="AE114" s="35">
        <v>1480.6045575000003</v>
      </c>
      <c r="AF114" s="52">
        <f>[51]DNL!$I$15</f>
        <v>2.6568142895340902E-3</v>
      </c>
      <c r="AG114" s="35">
        <f>[51]DNL!$I$61</f>
        <v>0.61249864453176983</v>
      </c>
      <c r="AH114" s="23">
        <f>(Data[[#This Row],[DNL (%)]]/100)*Data[[#This Row],[VLDL (umol/L)]]</f>
        <v>9.0686828455631101</v>
      </c>
      <c r="AI114" s="35">
        <f>[4]SAMPLES!$L$152</f>
        <v>45.333481631365849</v>
      </c>
      <c r="AJ114" s="58">
        <f>(Data[[#This Row],[Gluconeogensis (%)]]/100)*Data[[#This Row],[Glucose (umol/L)]]</f>
        <v>2.7145688800861874</v>
      </c>
      <c r="AK114" s="33"/>
    </row>
    <row r="115" spans="1:37" s="7" customFormat="1" x14ac:dyDescent="0.25">
      <c r="A115" s="33">
        <v>130</v>
      </c>
      <c r="B115" s="33" t="s">
        <v>218</v>
      </c>
      <c r="C115" s="33" t="s">
        <v>226</v>
      </c>
      <c r="D115" s="33" t="s">
        <v>386</v>
      </c>
      <c r="E115" s="33" t="s">
        <v>23</v>
      </c>
      <c r="F115" s="33" t="s">
        <v>228</v>
      </c>
      <c r="G115" s="33">
        <v>46</v>
      </c>
      <c r="H115" s="33">
        <v>168</v>
      </c>
      <c r="I115" s="33">
        <v>83.8</v>
      </c>
      <c r="J115" s="34">
        <f t="shared" si="3"/>
        <v>29.69104308390023</v>
      </c>
      <c r="K115" s="33">
        <v>93</v>
      </c>
      <c r="L115" s="33">
        <v>104</v>
      </c>
      <c r="M115" s="35">
        <f>Data[[#This Row],[Waist_Circumference]]/Data[[#This Row],[Hip_circumference]]</f>
        <v>0.89423076923076927</v>
      </c>
      <c r="N115" s="36">
        <f>[50]Antropometrics!$J$16</f>
        <v>26475</v>
      </c>
      <c r="O115" s="36">
        <f>[50]Antropometrics!$J$17</f>
        <v>55044</v>
      </c>
      <c r="P115" s="36">
        <f t="shared" si="6"/>
        <v>81519</v>
      </c>
      <c r="Q115" s="35">
        <f>(Data[[#This Row],[Total_fat_g]]/Data[[#This Row],[Total_mass_g]])*100</f>
        <v>32.477091230265337</v>
      </c>
      <c r="R115" s="35">
        <f>(Data[[#This Row],[Lean_mass_g]]/Data[[#This Row],[Total_mass_g]])*100</f>
        <v>67.52290876973467</v>
      </c>
      <c r="S115" s="35">
        <v>1654</v>
      </c>
      <c r="T115" s="35">
        <v>2.0183945877534706</v>
      </c>
      <c r="U115" s="35">
        <f>[51]Glucose!$J$7</f>
        <v>5.4790000000000001</v>
      </c>
      <c r="V115" s="35">
        <f>[51]Insulin!$J$7</f>
        <v>9.4811550000000011</v>
      </c>
      <c r="W115" s="35">
        <f>(Data[[#This Row],[Glucose (umol/L)]]*Data[[#This Row],[Insulin (umol/L)]])/22.5</f>
        <v>2.3087665886666668</v>
      </c>
      <c r="X115" s="35">
        <f>[51]NEFA!$J$7</f>
        <v>289.89999999999998</v>
      </c>
      <c r="Y115" s="35">
        <f>[51]TAG!$J$7</f>
        <v>709.5</v>
      </c>
      <c r="Z115" s="35">
        <f>'[51]3OHB'!$J$7</f>
        <v>29.4</v>
      </c>
      <c r="AA115" s="35">
        <f>'[51]Chol, HDL'!$J$7</f>
        <v>4.24</v>
      </c>
      <c r="AB115" s="35">
        <f>'[51]Chol, HDL'!$J$24</f>
        <v>1.52</v>
      </c>
      <c r="AC115" s="35">
        <f>Data[[#This Row],[total_chol (umol/L)]]-Data[[#This Row],[HDL_chol (umol/L)]]</f>
        <v>2.72</v>
      </c>
      <c r="AD115" s="35">
        <f>Data[[#This Row],[Non_HDL (umol/L)]]-(Data[[#This Row],[TAG (umol/L)]]/2200)</f>
        <v>2.3975</v>
      </c>
      <c r="AE115" s="35">
        <v>379.21285875000001</v>
      </c>
      <c r="AF115" s="52">
        <f>[51]DNL!$J$5</f>
        <v>3.3054765626769648E-3</v>
      </c>
      <c r="AG115" s="35">
        <f>[51]DNL!$J$49</f>
        <v>6.7925885724785671</v>
      </c>
      <c r="AH115" s="23">
        <f>(Data[[#This Row],[DNL (%)]]/100)*Data[[#This Row],[VLDL (umol/L)]]</f>
        <v>25.758369308821788</v>
      </c>
      <c r="AI115" s="66">
        <f>[4]SAMPLES!$L$153</f>
        <v>21.760920218443836</v>
      </c>
      <c r="AJ115" s="58">
        <f>(Data[[#This Row],[Gluconeogensis (%)]]/100)*Data[[#This Row],[Glucose (umol/L)]]</f>
        <v>1.1922808187685379</v>
      </c>
      <c r="AK115" s="33"/>
    </row>
    <row r="116" spans="1:37" s="7" customFormat="1" x14ac:dyDescent="0.25">
      <c r="A116" s="33">
        <v>131</v>
      </c>
      <c r="B116" s="33" t="s">
        <v>219</v>
      </c>
      <c r="C116" s="33" t="s">
        <v>226</v>
      </c>
      <c r="D116" s="33" t="s">
        <v>386</v>
      </c>
      <c r="E116" s="33" t="s">
        <v>407</v>
      </c>
      <c r="F116" s="33" t="s">
        <v>227</v>
      </c>
      <c r="G116" s="33">
        <v>42</v>
      </c>
      <c r="H116" s="33">
        <v>169</v>
      </c>
      <c r="I116" s="33">
        <v>84.3</v>
      </c>
      <c r="J116" s="34">
        <f t="shared" si="3"/>
        <v>29.515773257238894</v>
      </c>
      <c r="K116" s="33">
        <v>111</v>
      </c>
      <c r="L116" s="33">
        <v>109</v>
      </c>
      <c r="M116" s="35">
        <f>Data[[#This Row],[Waist_Circumference]]/Data[[#This Row],[Hip_circumference]]</f>
        <v>1.0183486238532109</v>
      </c>
      <c r="N116" s="36">
        <f>[50]Antropometrics!$K$16</f>
        <v>41503</v>
      </c>
      <c r="O116" s="36">
        <f>[50]Antropometrics!$K$17</f>
        <v>40240</v>
      </c>
      <c r="P116" s="36">
        <f t="shared" si="6"/>
        <v>81743</v>
      </c>
      <c r="Q116" s="35">
        <f>(Data[[#This Row],[Total_fat_g]]/Data[[#This Row],[Total_mass_g]])*100</f>
        <v>50.772543214709522</v>
      </c>
      <c r="R116" s="35">
        <f>(Data[[#This Row],[Lean_mass_g]]/Data[[#This Row],[Total_mass_g]])*100</f>
        <v>49.227456785290485</v>
      </c>
      <c r="S116" s="35">
        <v>1201</v>
      </c>
      <c r="T116" s="35">
        <v>2.92</v>
      </c>
      <c r="U116" s="35">
        <f>[51]Glucose!$K$24</f>
        <v>5.62</v>
      </c>
      <c r="V116" s="35">
        <f>[51]Insulin!$K$24</f>
        <v>7.3994999999999997</v>
      </c>
      <c r="W116" s="35">
        <f>(Data[[#This Row],[Glucose (umol/L)]]*Data[[#This Row],[Insulin (umol/L)]])/22.5</f>
        <v>1.8482306666666666</v>
      </c>
      <c r="X116" s="35">
        <f>[51]NEFA!$K$24</f>
        <v>350.3</v>
      </c>
      <c r="Y116" s="35">
        <f>[51]TAG!$K$24</f>
        <v>1162.6000000000001</v>
      </c>
      <c r="Z116" s="35">
        <f>'[51]3OHB'!$K$24</f>
        <v>32.200000000000003</v>
      </c>
      <c r="AA116" s="35">
        <f>'[51]Chol, HDL'!$K$14</f>
        <v>4.83</v>
      </c>
      <c r="AB116" s="35">
        <f>'[51]Chol, HDL'!$K$31</f>
        <v>1.47</v>
      </c>
      <c r="AC116" s="35">
        <f>Data[[#This Row],[total_chol (umol/L)]]-Data[[#This Row],[HDL_chol (umol/L)]]</f>
        <v>3.3600000000000003</v>
      </c>
      <c r="AD116" s="35">
        <f>Data[[#This Row],[Non_HDL (umol/L)]]-(Data[[#This Row],[TAG (umol/L)]]/2200)</f>
        <v>2.8315454545454548</v>
      </c>
      <c r="AE116" s="35">
        <v>424.59578249999998</v>
      </c>
      <c r="AF116" s="52">
        <f>[51]DNL!$K$15</f>
        <v>4.4170328814567457E-3</v>
      </c>
      <c r="AG116" s="35">
        <f>[51]DNL!$K$61</f>
        <v>16.579737173006624</v>
      </c>
      <c r="AH116" s="23">
        <f>(Data[[#This Row],[DNL (%)]]/100)*Data[[#This Row],[VLDL (umol/L)]]</f>
        <v>70.396864786170852</v>
      </c>
      <c r="AI116" s="35">
        <f>[4]SAMPLES!$L$154</f>
        <v>19.270223840475886</v>
      </c>
      <c r="AJ116" s="58">
        <f>(Data[[#This Row],[Gluconeogensis (%)]]/100)*Data[[#This Row],[Glucose (umol/L)]]</f>
        <v>1.0829865798347449</v>
      </c>
      <c r="AK116" s="33"/>
    </row>
    <row r="117" spans="1:37" s="7" customFormat="1" x14ac:dyDescent="0.25">
      <c r="A117" s="33">
        <v>132</v>
      </c>
      <c r="B117" s="33" t="s">
        <v>220</v>
      </c>
      <c r="C117" s="33" t="s">
        <v>226</v>
      </c>
      <c r="D117" s="33" t="s">
        <v>386</v>
      </c>
      <c r="E117" s="33" t="s">
        <v>23</v>
      </c>
      <c r="F117" s="33" t="s">
        <v>228</v>
      </c>
      <c r="G117" s="33">
        <v>39</v>
      </c>
      <c r="H117" s="33">
        <v>185</v>
      </c>
      <c r="I117" s="33">
        <v>94.1</v>
      </c>
      <c r="J117" s="34">
        <f t="shared" si="3"/>
        <v>27.494521548575598</v>
      </c>
      <c r="K117" s="33">
        <v>97</v>
      </c>
      <c r="L117" s="33">
        <v>105</v>
      </c>
      <c r="M117" s="35">
        <f>Data[[#This Row],[Waist_Circumference]]/Data[[#This Row],[Hip_circumference]]</f>
        <v>0.92380952380952386</v>
      </c>
      <c r="N117" s="36">
        <f>[50]Antropometrics!$L$16</f>
        <v>24940</v>
      </c>
      <c r="O117" s="36">
        <f>[50]Antropometrics!$L$17</f>
        <v>65043</v>
      </c>
      <c r="P117" s="36">
        <f t="shared" si="6"/>
        <v>89983</v>
      </c>
      <c r="Q117" s="35">
        <f>(Data[[#This Row],[Total_fat_g]]/Data[[#This Row],[Total_mass_g]])*100</f>
        <v>27.716346420990632</v>
      </c>
      <c r="R117" s="35">
        <f>(Data[[#This Row],[Lean_mass_g]]/Data[[#This Row],[Total_mass_g]])*100</f>
        <v>72.283653579009368</v>
      </c>
      <c r="S117" s="35">
        <v>599</v>
      </c>
      <c r="T117" s="35">
        <v>1.29</v>
      </c>
      <c r="U117" s="35">
        <f>[51]Glucose!$L$7</f>
        <v>5.1150000000000002</v>
      </c>
      <c r="V117" s="35">
        <f>[51]Insulin!$L$7</f>
        <v>9.7899999999999991</v>
      </c>
      <c r="W117" s="35">
        <f>(Data[[#This Row],[Glucose (umol/L)]]*Data[[#This Row],[Insulin (umol/L)]])/22.5</f>
        <v>2.2255933333333333</v>
      </c>
      <c r="X117" s="35">
        <f>[51]NEFA!$L$7</f>
        <v>193.3</v>
      </c>
      <c r="Y117" s="35">
        <f>[51]TAG!$L$7</f>
        <v>697.6</v>
      </c>
      <c r="Z117" s="35">
        <f>'[51]3OHB'!$L$7</f>
        <v>37.1</v>
      </c>
      <c r="AA117" s="35">
        <f>'[51]Chol, HDL'!$L$7</f>
        <v>4.43</v>
      </c>
      <c r="AB117" s="35">
        <f>'[51]Chol, HDL'!$L$24</f>
        <v>1.51</v>
      </c>
      <c r="AC117" s="35">
        <f>Data[[#This Row],[total_chol (umol/L)]]-Data[[#This Row],[HDL_chol (umol/L)]]</f>
        <v>2.92</v>
      </c>
      <c r="AD117" s="35">
        <f>Data[[#This Row],[Non_HDL (umol/L)]]-(Data[[#This Row],[TAG (umol/L)]]/2200)</f>
        <v>2.6029090909090908</v>
      </c>
      <c r="AE117" s="35">
        <v>353.15072625000005</v>
      </c>
      <c r="AF117" s="52">
        <f>[51]DNL!$L$5</f>
        <v>3.021503609406671E-3</v>
      </c>
      <c r="AG117" s="35">
        <f>[51]DNL!$L$49</f>
        <v>3.7413301809285961</v>
      </c>
      <c r="AH117" s="23">
        <f>(Data[[#This Row],[DNL (%)]]/100)*Data[[#This Row],[VLDL (umol/L)]]</f>
        <v>13.212534705359777</v>
      </c>
      <c r="AI117" s="35">
        <f>[4]SAMPLES!$L$155</f>
        <v>33.253834408927347</v>
      </c>
      <c r="AJ117" s="58">
        <f>(Data[[#This Row],[Gluconeogensis (%)]]/100)*Data[[#This Row],[Glucose (umol/L)]]</f>
        <v>1.7009336300166338</v>
      </c>
      <c r="AK117" s="33"/>
    </row>
    <row r="118" spans="1:37" s="7" customFormat="1" x14ac:dyDescent="0.25">
      <c r="A118" s="33">
        <v>133</v>
      </c>
      <c r="B118" s="33" t="s">
        <v>221</v>
      </c>
      <c r="C118" s="33" t="s">
        <v>226</v>
      </c>
      <c r="D118" s="33" t="s">
        <v>386</v>
      </c>
      <c r="E118" s="33" t="s">
        <v>407</v>
      </c>
      <c r="F118" s="33" t="s">
        <v>228</v>
      </c>
      <c r="G118" s="33">
        <v>47</v>
      </c>
      <c r="H118" s="33">
        <v>180</v>
      </c>
      <c r="I118" s="33">
        <v>108.8</v>
      </c>
      <c r="J118" s="34">
        <f t="shared" si="3"/>
        <v>33.580246913580247</v>
      </c>
      <c r="K118" s="33">
        <v>116</v>
      </c>
      <c r="L118" s="33">
        <v>108</v>
      </c>
      <c r="M118" s="35">
        <f>Data[[#This Row],[Waist_Circumference]]/Data[[#This Row],[Hip_circumference]]</f>
        <v>1.0740740740740742</v>
      </c>
      <c r="N118" s="36">
        <f>[50]Antropometrics!$M$16</f>
        <v>39359</v>
      </c>
      <c r="O118" s="36">
        <f>[50]Antropometrics!$M$17</f>
        <v>65864</v>
      </c>
      <c r="P118" s="36">
        <f t="shared" si="6"/>
        <v>105223</v>
      </c>
      <c r="Q118" s="35">
        <f>(Data[[#This Row],[Total_fat_g]]/Data[[#This Row],[Total_mass_g]])*100</f>
        <v>37.405320129629452</v>
      </c>
      <c r="R118" s="35">
        <f>(Data[[#This Row],[Lean_mass_g]]/Data[[#This Row],[Total_mass_g]])*100</f>
        <v>62.594679870370548</v>
      </c>
      <c r="S118" s="35">
        <v>2516</v>
      </c>
      <c r="T118" s="35">
        <v>10.27</v>
      </c>
      <c r="U118" s="35">
        <f>[51]Glucose!$M$24</f>
        <v>5.5190000000000001</v>
      </c>
      <c r="V118" s="35">
        <f>[51]Insulin!$M$24</f>
        <v>16.375999999999998</v>
      </c>
      <c r="W118" s="35">
        <f>(Data[[#This Row],[Glucose (umol/L)]]*Data[[#This Row],[Insulin (umol/L)]])/22.5</f>
        <v>4.016850844444444</v>
      </c>
      <c r="X118" s="35">
        <f>[51]NEFA!$M$24</f>
        <v>541.20000000000005</v>
      </c>
      <c r="Y118" s="35">
        <f>[51]TAG!$M$24</f>
        <v>1746.6</v>
      </c>
      <c r="Z118" s="35">
        <f>'[51]3OHB'!$M$24</f>
        <v>80.099999999999994</v>
      </c>
      <c r="AA118" s="35">
        <f>'[51]Chol, HDL'!$M$14</f>
        <v>4.9800000000000004</v>
      </c>
      <c r="AB118" s="35">
        <f>'[51]Chol, HDL'!$M$31</f>
        <v>0.83</v>
      </c>
      <c r="AC118" s="35">
        <f>Data[[#This Row],[total_chol (umol/L)]]-Data[[#This Row],[HDL_chol (umol/L)]]</f>
        <v>4.1500000000000004</v>
      </c>
      <c r="AD118" s="35">
        <f>Data[[#This Row],[Non_HDL (umol/L)]]-(Data[[#This Row],[TAG (umol/L)]]/2200)</f>
        <v>3.3560909090909092</v>
      </c>
      <c r="AE118" s="35">
        <v>1022.4810299999998</v>
      </c>
      <c r="AF118" s="52">
        <f>[51]DNL!$M$15</f>
        <v>3.4224498609581235E-3</v>
      </c>
      <c r="AG118" s="35">
        <f>[51]DNL!$M$61</f>
        <v>0.67089116810074223</v>
      </c>
      <c r="AH118" s="23">
        <f>(Data[[#This Row],[DNL (%)]]/100)*Data[[#This Row],[VLDL (umol/L)]]</f>
        <v>6.8597349257754994</v>
      </c>
      <c r="AI118" s="66">
        <f>[4]SAMPLES!$L$156</f>
        <v>17.745680188455175</v>
      </c>
      <c r="AJ118" s="58">
        <f>(Data[[#This Row],[Gluconeogensis (%)]]/100)*Data[[#This Row],[Glucose (umol/L)]]</f>
        <v>0.97938408960084122</v>
      </c>
      <c r="AK118" s="33"/>
    </row>
    <row r="119" spans="1:37" s="7" customFormat="1" x14ac:dyDescent="0.25">
      <c r="A119" s="33">
        <v>134</v>
      </c>
      <c r="B119" s="33" t="s">
        <v>222</v>
      </c>
      <c r="C119" s="33" t="s">
        <v>226</v>
      </c>
      <c r="D119" s="33" t="s">
        <v>386</v>
      </c>
      <c r="E119" s="33" t="s">
        <v>407</v>
      </c>
      <c r="F119" s="33" t="s">
        <v>228</v>
      </c>
      <c r="G119" s="33">
        <v>35</v>
      </c>
      <c r="H119" s="33">
        <v>186</v>
      </c>
      <c r="I119" s="33">
        <v>96.9</v>
      </c>
      <c r="J119" s="34">
        <f t="shared" si="3"/>
        <v>28.009018383628163</v>
      </c>
      <c r="K119" s="33">
        <v>186</v>
      </c>
      <c r="L119" s="33">
        <v>112</v>
      </c>
      <c r="M119" s="35">
        <f>Data[[#This Row],[Waist_Circumference]]/Data[[#This Row],[Hip_circumference]]</f>
        <v>1.6607142857142858</v>
      </c>
      <c r="N119" s="36">
        <f>[50]Antropometrics!$N$16</f>
        <v>26542</v>
      </c>
      <c r="O119" s="36">
        <f>[50]Antropometrics!$N$17</f>
        <v>65166</v>
      </c>
      <c r="P119" s="36">
        <f t="shared" si="6"/>
        <v>91708</v>
      </c>
      <c r="Q119" s="35">
        <f>(Data[[#This Row],[Total_fat_g]]/Data[[#This Row],[Total_mass_g]])*100</f>
        <v>28.941858943603609</v>
      </c>
      <c r="R119" s="35">
        <f>(Data[[#This Row],[Lean_mass_g]]/Data[[#This Row],[Total_mass_g]])*100</f>
        <v>71.05814105639638</v>
      </c>
      <c r="S119" s="35">
        <v>655</v>
      </c>
      <c r="T119" s="35">
        <v>0.12</v>
      </c>
      <c r="U119" s="35">
        <f>[51]Glucose!$N$24</f>
        <v>5.2489999999999997</v>
      </c>
      <c r="V119" s="35">
        <f>[51]Insulin!$N$24</f>
        <v>12.629999999999999</v>
      </c>
      <c r="W119" s="35">
        <f>(Data[[#This Row],[Glucose (umol/L)]]*Data[[#This Row],[Insulin (umol/L)]])/22.5</f>
        <v>2.946438666666666</v>
      </c>
      <c r="X119" s="35">
        <f>[51]NEFA!$N$24</f>
        <v>443.4</v>
      </c>
      <c r="Y119" s="35">
        <f>[51]TAG!$N$24</f>
        <v>344</v>
      </c>
      <c r="Z119" s="35">
        <f>'[51]3OHB'!$N$24</f>
        <v>103.1</v>
      </c>
      <c r="AA119" s="35">
        <f>'[51]Chol, HDL'!$N$14</f>
        <v>3.96</v>
      </c>
      <c r="AB119" s="35">
        <f>'[51]Chol, HDL'!$N$31</f>
        <v>1.51</v>
      </c>
      <c r="AC119" s="35">
        <f>Data[[#This Row],[total_chol (umol/L)]]-Data[[#This Row],[HDL_chol (umol/L)]]</f>
        <v>2.4500000000000002</v>
      </c>
      <c r="AD119" s="35">
        <f>Data[[#This Row],[Non_HDL (umol/L)]]-(Data[[#This Row],[TAG (umol/L)]]/2200)</f>
        <v>2.2936363636363639</v>
      </c>
      <c r="AE119" s="35">
        <v>241.56083249999998</v>
      </c>
      <c r="AF119" s="52">
        <f>[51]DNL!$N$15</f>
        <v>3.1122012604482743E-3</v>
      </c>
      <c r="AG119" s="35">
        <f>[51]DNL!$N$61</f>
        <v>7.0645569608434879</v>
      </c>
      <c r="AH119" s="23">
        <f>(Data[[#This Row],[DNL (%)]]/100)*Data[[#This Row],[VLDL (umol/L)]]</f>
        <v>17.065202607050225</v>
      </c>
      <c r="AI119" s="35">
        <f>[4]SAMPLES!$L$157</f>
        <v>38.290511535539906</v>
      </c>
      <c r="AJ119" s="58">
        <f>(Data[[#This Row],[Gluconeogensis (%)]]/100)*Data[[#This Row],[Glucose (umol/L)]]</f>
        <v>2.0098689505004894</v>
      </c>
      <c r="AK119" s="33"/>
    </row>
    <row r="120" spans="1:37" s="7" customFormat="1" x14ac:dyDescent="0.25">
      <c r="A120" s="33">
        <v>135</v>
      </c>
      <c r="B120" s="33" t="s">
        <v>223</v>
      </c>
      <c r="C120" s="33" t="s">
        <v>226</v>
      </c>
      <c r="D120" s="33" t="s">
        <v>386</v>
      </c>
      <c r="E120" s="33" t="s">
        <v>23</v>
      </c>
      <c r="F120" s="33" t="s">
        <v>228</v>
      </c>
      <c r="G120" s="33">
        <v>47</v>
      </c>
      <c r="H120" s="33">
        <v>178</v>
      </c>
      <c r="I120" s="33">
        <v>99</v>
      </c>
      <c r="J120" s="34">
        <f t="shared" si="3"/>
        <v>31.246054791061734</v>
      </c>
      <c r="K120" s="33">
        <v>115</v>
      </c>
      <c r="L120" s="33">
        <v>110</v>
      </c>
      <c r="M120" s="35">
        <f>Data[[#This Row],[Waist_Circumference]]/Data[[#This Row],[Hip_circumference]]</f>
        <v>1.0454545454545454</v>
      </c>
      <c r="N120" s="36">
        <f>[50]Antropometrics!$O$16</f>
        <v>34553</v>
      </c>
      <c r="O120" s="36">
        <f>[50]Antropometrics!$O$17</f>
        <v>60103</v>
      </c>
      <c r="P120" s="36">
        <f t="shared" si="6"/>
        <v>94656</v>
      </c>
      <c r="Q120" s="35">
        <f>(Data[[#This Row],[Total_fat_g]]/Data[[#This Row],[Total_mass_g]])*100</f>
        <v>36.503760987153484</v>
      </c>
      <c r="R120" s="35">
        <f>(Data[[#This Row],[Lean_mass_g]]/Data[[#This Row],[Total_mass_g]])*100</f>
        <v>63.496239012846523</v>
      </c>
      <c r="S120" s="35">
        <v>2000</v>
      </c>
      <c r="T120" s="35">
        <v>3.86</v>
      </c>
      <c r="U120" s="35">
        <f>[51]Glucose!$O$7</f>
        <v>5.133</v>
      </c>
      <c r="V120" s="35">
        <f>[51]Insulin!$O$7</f>
        <v>13.468</v>
      </c>
      <c r="W120" s="35">
        <f>(Data[[#This Row],[Glucose (umol/L)]]*Data[[#This Row],[Insulin (umol/L)]])/22.5</f>
        <v>3.0724997333333333</v>
      </c>
      <c r="X120" s="35">
        <f>[51]NEFA!$O$7</f>
        <v>709.4</v>
      </c>
      <c r="Y120" s="35">
        <f>[51]TAG!$O$7</f>
        <v>838.3</v>
      </c>
      <c r="Z120" s="35">
        <f>'[51]3OHB'!$O$7</f>
        <v>560.29999999999995</v>
      </c>
      <c r="AA120" s="35">
        <f>'[51]Chol, HDL'!$O$7</f>
        <v>4.8600000000000003</v>
      </c>
      <c r="AB120" s="35">
        <f>'[51]Chol, HDL'!$O$24</f>
        <v>0.82</v>
      </c>
      <c r="AC120" s="35">
        <f>Data[[#This Row],[total_chol (umol/L)]]-Data[[#This Row],[HDL_chol (umol/L)]]</f>
        <v>4.04</v>
      </c>
      <c r="AD120" s="35">
        <f>Data[[#This Row],[Non_HDL (umol/L)]]-(Data[[#This Row],[TAG (umol/L)]]/2200)</f>
        <v>3.6589545454545456</v>
      </c>
      <c r="AE120" s="35">
        <v>492.32362500000011</v>
      </c>
      <c r="AF120" s="52">
        <f>[51]DNL!$O$5</f>
        <v>3.199142600361755E-3</v>
      </c>
      <c r="AG120" s="35">
        <f>[51]DNL!$O$49</f>
        <v>8.3267778061570846E-2</v>
      </c>
      <c r="AH120" s="23">
        <f>(Data[[#This Row],[DNL (%)]]/100)*Data[[#This Row],[VLDL (umol/L)]]</f>
        <v>0.40994694340968041</v>
      </c>
      <c r="AI120" s="35">
        <f>[4]SAMPLES!$L$158</f>
        <v>49.083056155175953</v>
      </c>
      <c r="AJ120" s="58">
        <f>(Data[[#This Row],[Gluconeogensis (%)]]/100)*Data[[#This Row],[Glucose (umol/L)]]</f>
        <v>2.5194332724451818</v>
      </c>
      <c r="AK120" s="33"/>
    </row>
    <row r="121" spans="1:37" s="7" customFormat="1" x14ac:dyDescent="0.25">
      <c r="A121" s="33">
        <v>136</v>
      </c>
      <c r="B121" s="33" t="s">
        <v>224</v>
      </c>
      <c r="C121" s="33" t="s">
        <v>226</v>
      </c>
      <c r="D121" s="33" t="s">
        <v>386</v>
      </c>
      <c r="E121" s="33" t="s">
        <v>23</v>
      </c>
      <c r="F121" s="33" t="s">
        <v>227</v>
      </c>
      <c r="G121" s="33">
        <v>50</v>
      </c>
      <c r="H121" s="33">
        <v>175</v>
      </c>
      <c r="I121" s="33">
        <v>91.8</v>
      </c>
      <c r="J121" s="34">
        <f t="shared" si="3"/>
        <v>29.975510204081633</v>
      </c>
      <c r="K121" s="33">
        <v>99</v>
      </c>
      <c r="L121" s="33">
        <v>118</v>
      </c>
      <c r="M121" s="35">
        <f>Data[[#This Row],[Waist_Circumference]]/Data[[#This Row],[Hip_circumference]]</f>
        <v>0.83898305084745761</v>
      </c>
      <c r="N121" s="36">
        <f>[50]Antropometrics!$P$16</f>
        <v>37166</v>
      </c>
      <c r="O121" s="36">
        <f>[50]Antropometrics!$P$17</f>
        <v>51202</v>
      </c>
      <c r="P121" s="36">
        <f t="shared" si="6"/>
        <v>88368</v>
      </c>
      <c r="Q121" s="35">
        <f>(Data[[#This Row],[Total_fat_g]]/Data[[#This Row],[Total_mass_g]])*100</f>
        <v>42.058211117146477</v>
      </c>
      <c r="R121" s="35">
        <f>(Data[[#This Row],[Lean_mass_g]]/Data[[#This Row],[Total_mass_g]])*100</f>
        <v>57.941788882853515</v>
      </c>
      <c r="S121" s="35">
        <v>742</v>
      </c>
      <c r="T121" s="35">
        <v>2.02</v>
      </c>
      <c r="U121" s="35">
        <f>[51]Glucose!$P$7</f>
        <v>4.7080000000000002</v>
      </c>
      <c r="V121" s="35">
        <f>[51]Insulin!$P$7</f>
        <v>3.8155000000000001</v>
      </c>
      <c r="W121" s="35">
        <f>(Data[[#This Row],[Glucose (umol/L)]]*Data[[#This Row],[Insulin (umol/L)]])/22.5</f>
        <v>0.7983721777777778</v>
      </c>
      <c r="X121" s="35">
        <f>[51]NEFA!$P$7</f>
        <v>246.3</v>
      </c>
      <c r="Y121" s="35">
        <f>[51]TAG!$P$7</f>
        <v>1043.3</v>
      </c>
      <c r="Z121" s="35">
        <f>'[51]3OHB'!$P$7</f>
        <v>25.5</v>
      </c>
      <c r="AA121" s="35">
        <f>'[51]Chol, HDL'!$P$7</f>
        <v>5.3</v>
      </c>
      <c r="AB121" s="35">
        <f>'[51]Chol, HDL'!$P$24</f>
        <v>1.74</v>
      </c>
      <c r="AC121" s="35">
        <f>Data[[#This Row],[total_chol (umol/L)]]-Data[[#This Row],[HDL_chol (umol/L)]]</f>
        <v>3.5599999999999996</v>
      </c>
      <c r="AD121" s="35">
        <f>Data[[#This Row],[Non_HDL (umol/L)]]-(Data[[#This Row],[TAG (umol/L)]]/2200)</f>
        <v>3.0857727272727269</v>
      </c>
      <c r="AE121" s="35">
        <v>519.36434250000002</v>
      </c>
      <c r="AF121" s="52">
        <f>[51]DNL!$P$5</f>
        <v>3.7540923216455866E-3</v>
      </c>
      <c r="AG121" s="35">
        <f>[51]DNL!$P$49</f>
        <v>1.2587592224328135</v>
      </c>
      <c r="AH121" s="23">
        <f>(Data[[#This Row],[DNL (%)]]/100)*Data[[#This Row],[VLDL (umol/L)]]</f>
        <v>6.5375465592462945</v>
      </c>
      <c r="AI121" s="66">
        <f>[4]SAMPLES!$L$159</f>
        <v>29.630553602106076</v>
      </c>
      <c r="AJ121" s="58">
        <f>(Data[[#This Row],[Gluconeogensis (%)]]/100)*Data[[#This Row],[Glucose (umol/L)]]</f>
        <v>1.395006463587154</v>
      </c>
      <c r="AK121" s="33"/>
    </row>
    <row r="122" spans="1:37" s="7" customFormat="1" x14ac:dyDescent="0.25">
      <c r="A122" s="33">
        <v>137</v>
      </c>
      <c r="B122" s="33" t="s">
        <v>225</v>
      </c>
      <c r="C122" s="33" t="s">
        <v>226</v>
      </c>
      <c r="D122" s="33" t="s">
        <v>386</v>
      </c>
      <c r="E122" s="33" t="s">
        <v>407</v>
      </c>
      <c r="F122" s="33" t="s">
        <v>227</v>
      </c>
      <c r="G122" s="33">
        <v>46</v>
      </c>
      <c r="H122" s="33">
        <v>178</v>
      </c>
      <c r="I122" s="33">
        <v>91.5</v>
      </c>
      <c r="J122" s="34">
        <f t="shared" si="3"/>
        <v>28.878929428102513</v>
      </c>
      <c r="K122" s="33">
        <v>97</v>
      </c>
      <c r="L122" s="33">
        <v>112</v>
      </c>
      <c r="M122" s="35">
        <f>Data[[#This Row],[Waist_Circumference]]/Data[[#This Row],[Hip_circumference]]</f>
        <v>0.8660714285714286</v>
      </c>
      <c r="N122" s="36">
        <f>[50]Antropometrics!$Q$16</f>
        <v>36040</v>
      </c>
      <c r="O122" s="36">
        <f>[50]Antropometrics!$Q$17</f>
        <v>51876</v>
      </c>
      <c r="P122" s="36">
        <f t="shared" si="6"/>
        <v>87916</v>
      </c>
      <c r="Q122" s="35">
        <f>(Data[[#This Row],[Total_fat_g]]/Data[[#This Row],[Total_mass_g]])*100</f>
        <v>40.993675781427726</v>
      </c>
      <c r="R122" s="35">
        <f>(Data[[#This Row],[Lean_mass_g]]/Data[[#This Row],[Total_mass_g]])*100</f>
        <v>59.006324218572267</v>
      </c>
      <c r="S122" s="35">
        <v>641</v>
      </c>
      <c r="T122" s="35">
        <v>0.93</v>
      </c>
      <c r="U122" s="35">
        <f>[51]Glucose!$Q$24</f>
        <v>5.8920000000000003</v>
      </c>
      <c r="V122" s="35">
        <f>[51]Insulin!$Q$24</f>
        <v>11.452999999999999</v>
      </c>
      <c r="W122" s="35">
        <f>(Data[[#This Row],[Glucose (umol/L)]]*Data[[#This Row],[Insulin (umol/L)]])/22.5</f>
        <v>2.9991589333333333</v>
      </c>
      <c r="X122" s="35">
        <f>[51]NEFA!$Q$24</f>
        <v>198.5</v>
      </c>
      <c r="Y122" s="35">
        <f>[51]TAG!$Q$24</f>
        <v>421</v>
      </c>
      <c r="Z122" s="35">
        <f>'[51]3OHB'!$Q$24</f>
        <v>62.9</v>
      </c>
      <c r="AA122" s="35">
        <f>'[51]Chol, HDL'!$Q$14</f>
        <v>4.57</v>
      </c>
      <c r="AB122" s="35">
        <f>'[51]Chol, HDL'!$Q$31</f>
        <v>1.39</v>
      </c>
      <c r="AC122" s="35">
        <f>Data[[#This Row],[total_chol (umol/L)]]-Data[[#This Row],[HDL_chol (umol/L)]]</f>
        <v>3.1800000000000006</v>
      </c>
      <c r="AD122" s="35">
        <f>Data[[#This Row],[Non_HDL (umol/L)]]-(Data[[#This Row],[TAG (umol/L)]]/2200)</f>
        <v>2.9886363636363642</v>
      </c>
      <c r="AE122" s="35">
        <v>302.34723750000006</v>
      </c>
      <c r="AF122" s="52">
        <f>[51]DNL!$Q$15</f>
        <v>3.6600622916999675E-3</v>
      </c>
      <c r="AG122" s="35">
        <f>[51]DNL!$Q$61</f>
        <v>4.1472820830562762</v>
      </c>
      <c r="AH122" s="23">
        <f>(Data[[#This Row],[DNL (%)]]/100)*Data[[#This Row],[VLDL (umol/L)]]</f>
        <v>12.539192809453111</v>
      </c>
      <c r="AI122" s="35">
        <f>[4]SAMPLES!$L$160</f>
        <v>35.919803318302321</v>
      </c>
      <c r="AJ122" s="58">
        <f>(Data[[#This Row],[Gluconeogensis (%)]]/100)*Data[[#This Row],[Glucose (umol/L)]]</f>
        <v>2.1163948115143731</v>
      </c>
      <c r="AK122" s="27"/>
    </row>
    <row r="123" spans="1:37" s="7" customFormat="1" x14ac:dyDescent="0.25">
      <c r="A123" s="27">
        <v>138</v>
      </c>
      <c r="B123" s="27" t="s">
        <v>231</v>
      </c>
      <c r="C123" s="27" t="s">
        <v>232</v>
      </c>
      <c r="D123" s="27">
        <v>2</v>
      </c>
      <c r="E123" s="27" t="s">
        <v>306</v>
      </c>
      <c r="F123" s="27" t="s">
        <v>228</v>
      </c>
      <c r="G123" s="27">
        <f>[52]Sheet1!$E$3</f>
        <v>47</v>
      </c>
      <c r="H123" s="27">
        <v>177</v>
      </c>
      <c r="I123" s="27">
        <f>[53]Spectroscopy!$R$3</f>
        <v>86.5</v>
      </c>
      <c r="J123" s="28">
        <f t="shared" si="3"/>
        <v>27.610201410833412</v>
      </c>
      <c r="K123" s="27">
        <f>[53]Spectroscopy!$X$3</f>
        <v>96</v>
      </c>
      <c r="L123" s="27"/>
      <c r="M123" s="29" t="e">
        <f>Data[[#This Row],[Waist_Circumference]]/Data[[#This Row],[Hip_circumference]]</f>
        <v>#DIV/0!</v>
      </c>
      <c r="N123" s="30">
        <f>'[54]DXA data'!$V$2</f>
        <v>25991.017201742001</v>
      </c>
      <c r="O123" s="30">
        <f>'[54]DXA data'!$W$2</f>
        <v>55705.698003252</v>
      </c>
      <c r="P123" s="30">
        <f t="shared" si="6"/>
        <v>81696.715204994005</v>
      </c>
      <c r="Q123" s="29">
        <f>(Data[[#This Row],[Total_fat_g]]/Data[[#This Row],[Total_mass_g]])*100</f>
        <v>31.814029654099489</v>
      </c>
      <c r="R123" s="29">
        <f>(Data[[#This Row],[Lean_mass_g]]/Data[[#This Row],[Total_mass_g]])*100</f>
        <v>68.1859703459005</v>
      </c>
      <c r="S123" s="29">
        <f>'[55]Participant characteristics'!$J$2</f>
        <v>1028.7129862175</v>
      </c>
      <c r="T123" s="43">
        <f>'[53]Iron correction'!$E$6</f>
        <v>4.0730853302973777</v>
      </c>
      <c r="U123" s="29">
        <f>[56]Glu!$C$6</f>
        <v>4.97</v>
      </c>
      <c r="V123" s="29">
        <f>[56]Ins!$C$6</f>
        <v>6.5540000000000003</v>
      </c>
      <c r="W123" s="29">
        <f>(Data[[#This Row],[Glucose (umol/L)]]*Data[[#This Row],[Insulin (umol/L)]])/22.5</f>
        <v>1.4477057777777778</v>
      </c>
      <c r="X123" s="29">
        <f>[56]NEFA!$C$6</f>
        <v>582.29999999999995</v>
      </c>
      <c r="Y123" s="29">
        <v>540.1</v>
      </c>
      <c r="Z123" s="29">
        <f>'[56]3OHB'!$C$6</f>
        <v>79.5</v>
      </c>
      <c r="AA123" s="29">
        <f>[57]Cholesterol!$C$7</f>
        <v>3.85</v>
      </c>
      <c r="AB123" s="29">
        <f>[57]Cholesterol!$C$24</f>
        <v>1.21</v>
      </c>
      <c r="AC123" s="29">
        <f>Data[[#This Row],[total_chol (umol/L)]]-Data[[#This Row],[HDL_chol (umol/L)]]</f>
        <v>2.64</v>
      </c>
      <c r="AD123" s="29">
        <f>Data[[#This Row],[Non_HDL (umol/L)]]-(Data[[#This Row],[TAG (umol/L)]]/2200)</f>
        <v>2.3945000000000003</v>
      </c>
      <c r="AE123" s="29">
        <v>276.30679875000004</v>
      </c>
      <c r="AF123" s="31">
        <f>'[58]plasma H2O'!$B$4</f>
        <v>2.503733973112909E-3</v>
      </c>
      <c r="AG123" s="43">
        <f>'[58]16 DNL 20-400'!$B$4</f>
        <v>6.5077489795418</v>
      </c>
      <c r="AH123" s="23">
        <f>(Data[[#This Row],[DNL (%)]]/100)*Data[[#This Row],[VLDL (umol/L)]]</f>
        <v>17.981352876057741</v>
      </c>
      <c r="AI123" s="43">
        <f>[4]SAMPLES!$L$72</f>
        <v>19.217422184087638</v>
      </c>
      <c r="AJ123" s="59">
        <f>(Data[[#This Row],[Gluconeogensis (%)]]/100)*Data[[#This Row],[Glucose (umol/L)]]</f>
        <v>0.95510588254915552</v>
      </c>
      <c r="AK123" s="27"/>
    </row>
    <row r="124" spans="1:37" s="7" customFormat="1" x14ac:dyDescent="0.25">
      <c r="A124" s="27">
        <v>139</v>
      </c>
      <c r="B124" s="27" t="s">
        <v>231</v>
      </c>
      <c r="C124" s="27" t="s">
        <v>232</v>
      </c>
      <c r="D124" s="27">
        <v>4</v>
      </c>
      <c r="E124" s="27" t="s">
        <v>305</v>
      </c>
      <c r="F124" s="27" t="s">
        <v>228</v>
      </c>
      <c r="G124" s="27">
        <f>G123</f>
        <v>47</v>
      </c>
      <c r="H124" s="27">
        <v>177</v>
      </c>
      <c r="I124" s="27">
        <f>[53]Spectroscopy!$T$3</f>
        <v>82.9</v>
      </c>
      <c r="J124" s="28">
        <f t="shared" si="3"/>
        <v>26.461106323214914</v>
      </c>
      <c r="K124" s="27">
        <f>[53]Spectroscopy!$Z$3</f>
        <v>93</v>
      </c>
      <c r="L124" s="27"/>
      <c r="M124" s="29" t="e">
        <f>Data[[#This Row],[Waist_Circumference]]/Data[[#This Row],[Hip_circumference]]</f>
        <v>#DIV/0!</v>
      </c>
      <c r="N124" s="30">
        <f>'[54]DXA data'!$V$3</f>
        <v>25124.477111156</v>
      </c>
      <c r="O124" s="30">
        <f>'[54]DXA data'!$W$3</f>
        <v>56015.022693207997</v>
      </c>
      <c r="P124" s="30">
        <f t="shared" si="6"/>
        <v>81139.499804363993</v>
      </c>
      <c r="Q124" s="29">
        <f>(Data[[#This Row],[Total_fat_g]]/Data[[#This Row],[Total_mass_g]])*100</f>
        <v>30.964545223638059</v>
      </c>
      <c r="R124" s="29">
        <f>(Data[[#This Row],[Lean_mass_g]]/Data[[#This Row],[Total_mass_g]])*100</f>
        <v>69.035454776361945</v>
      </c>
      <c r="S124" s="29">
        <f>'[55]Participant characteristics'!$J$3</f>
        <v>1948.347616952</v>
      </c>
      <c r="T124" s="43">
        <f>'[53]Iron correction'!$G$6</f>
        <v>3.8046373807330043</v>
      </c>
      <c r="U124" s="29">
        <f>[56]Glu!$C$22</f>
        <v>5</v>
      </c>
      <c r="V124" s="29">
        <f>[56]Ins!$C$21</f>
        <v>7.8274999999999997</v>
      </c>
      <c r="W124" s="29">
        <f>(Data[[#This Row],[Glucose (umol/L)]]*Data[[#This Row],[Insulin (umol/L)]])/22.5</f>
        <v>1.7394444444444443</v>
      </c>
      <c r="X124" s="29">
        <f>[56]NEFA!$C$22</f>
        <v>562.70000000000005</v>
      </c>
      <c r="Y124" s="29">
        <v>998.8</v>
      </c>
      <c r="Z124" s="29">
        <f>'[56]3OHB'!$C$22</f>
        <v>106.7</v>
      </c>
      <c r="AA124" s="29">
        <f>[57]Cholesterol!$C$15</f>
        <v>4.0199999999999996</v>
      </c>
      <c r="AB124" s="29">
        <f>[57]Cholesterol!$C$32</f>
        <v>0.97</v>
      </c>
      <c r="AC124" s="29">
        <f>Data[[#This Row],[total_chol (umol/L)]]-Data[[#This Row],[HDL_chol (umol/L)]]</f>
        <v>3.05</v>
      </c>
      <c r="AD124" s="29">
        <f>Data[[#This Row],[Non_HDL (umol/L)]]-(Data[[#This Row],[TAG (umol/L)]]/2200)</f>
        <v>2.5960000000000001</v>
      </c>
      <c r="AE124" s="29">
        <v>611.99963999999989</v>
      </c>
      <c r="AF124" s="31">
        <f>'[58]plasma H2O'!$B$13</f>
        <v>2.5496822911872333E-3</v>
      </c>
      <c r="AG124" s="29">
        <f>'[58]16 DNL 20-400'!$B$14</f>
        <v>0.98744399946304362</v>
      </c>
      <c r="AH124" s="23">
        <f>(Data[[#This Row],[DNL (%)]]/100)*Data[[#This Row],[VLDL (umol/L)]]</f>
        <v>6.0431537219154272</v>
      </c>
      <c r="AI124" s="29">
        <f>[4]SAMPLES!$L$73</f>
        <v>39.680192189081623</v>
      </c>
      <c r="AJ124" s="59">
        <f>(Data[[#This Row],[Gluconeogensis (%)]]/100)*Data[[#This Row],[Glucose (umol/L)]]</f>
        <v>1.9840096094540813</v>
      </c>
      <c r="AK124" s="27"/>
    </row>
    <row r="125" spans="1:37" s="7" customFormat="1" x14ac:dyDescent="0.25">
      <c r="A125" s="27">
        <v>140</v>
      </c>
      <c r="B125" s="27" t="s">
        <v>234</v>
      </c>
      <c r="C125" s="27" t="s">
        <v>232</v>
      </c>
      <c r="D125" s="27">
        <v>2</v>
      </c>
      <c r="E125" s="27" t="s">
        <v>306</v>
      </c>
      <c r="F125" s="27" t="s">
        <v>228</v>
      </c>
      <c r="G125" s="27">
        <f>[52]Sheet1!$E$4</f>
        <v>51</v>
      </c>
      <c r="H125" s="27">
        <v>173</v>
      </c>
      <c r="I125" s="27">
        <f>[53]Spectroscopy!$R$4</f>
        <v>82.2</v>
      </c>
      <c r="J125" s="28">
        <f t="shared" si="3"/>
        <v>27.46500050118614</v>
      </c>
      <c r="K125" s="27">
        <f>[53]Spectroscopy!$X$4</f>
        <v>93</v>
      </c>
      <c r="L125" s="27"/>
      <c r="M125" s="29" t="e">
        <f>Data[[#This Row],[Waist_Circumference]]/Data[[#This Row],[Hip_circumference]]</f>
        <v>#DIV/0!</v>
      </c>
      <c r="N125" s="30">
        <f>'[54]DXA data'!$V$4</f>
        <v>27003.843303416001</v>
      </c>
      <c r="O125" s="30">
        <f>'[54]DXA data'!$W$4</f>
        <v>51370.858312762</v>
      </c>
      <c r="P125" s="30">
        <f t="shared" si="6"/>
        <v>78374.701616178005</v>
      </c>
      <c r="Q125" s="29">
        <f>(Data[[#This Row],[Total_fat_g]]/Data[[#This Row],[Total_mass_g]])*100</f>
        <v>34.454795675856076</v>
      </c>
      <c r="R125" s="29">
        <f>(Data[[#This Row],[Lean_mass_g]]/Data[[#This Row],[Total_mass_g]])*100</f>
        <v>65.545204324143924</v>
      </c>
      <c r="S125" s="29">
        <f>'[55]Participant characteristics'!$J$4</f>
        <v>1953.8512979425</v>
      </c>
      <c r="T125" s="29">
        <f>'[53]Iron correction'!$I$6</f>
        <v>2.6537032643241947</v>
      </c>
      <c r="U125" s="29">
        <f>[56]Glu!$D$6</f>
        <v>5.22</v>
      </c>
      <c r="V125" s="29">
        <f>[56]Ins!$D$6</f>
        <v>11.1015</v>
      </c>
      <c r="W125" s="29">
        <f>(Data[[#This Row],[Glucose (umol/L)]]*Data[[#This Row],[Insulin (umol/L)]])/22.5</f>
        <v>2.5755479999999999</v>
      </c>
      <c r="X125" s="29">
        <f>[56]NEFA!$D$6</f>
        <v>422.1</v>
      </c>
      <c r="Y125" s="29">
        <v>666.30000000000007</v>
      </c>
      <c r="Z125" s="29">
        <f>'[56]3OHB'!$D$6</f>
        <v>111</v>
      </c>
      <c r="AA125" s="29">
        <f>[57]Cholesterol!$D$7</f>
        <v>5.42</v>
      </c>
      <c r="AB125" s="29">
        <f>[57]Cholesterol!$D$24</f>
        <v>1.26</v>
      </c>
      <c r="AC125" s="29">
        <f>Data[[#This Row],[total_chol (umol/L)]]-Data[[#This Row],[HDL_chol (umol/L)]]</f>
        <v>4.16</v>
      </c>
      <c r="AD125" s="29">
        <f>Data[[#This Row],[Non_HDL (umol/L)]]-(Data[[#This Row],[TAG (umol/L)]]/2200)</f>
        <v>3.8571363636363638</v>
      </c>
      <c r="AE125" s="29">
        <f>[59]concentrations!$D$22</f>
        <v>55.756788235250518</v>
      </c>
      <c r="AF125" s="31">
        <f>'[58]plasma H2O'!$C$4</f>
        <v>3.929927581996724E-3</v>
      </c>
      <c r="AG125" s="29">
        <f>'[58]16 DNL 20-400'!$C$4</f>
        <v>0.7720459907617796</v>
      </c>
      <c r="AH125" s="23">
        <f>(Data[[#This Row],[DNL (%)]]/100)*Data[[#This Row],[VLDL (umol/L)]]</f>
        <v>0.43046804814778722</v>
      </c>
      <c r="AI125" s="29">
        <f>[4]SAMPLES!$L$74</f>
        <v>33.458451621686692</v>
      </c>
      <c r="AJ125" s="59">
        <f>(Data[[#This Row],[Gluconeogensis (%)]]/100)*Data[[#This Row],[Glucose (umol/L)]]</f>
        <v>1.7465311746520451</v>
      </c>
      <c r="AK125" s="27"/>
    </row>
    <row r="126" spans="1:37" s="33" customFormat="1" x14ac:dyDescent="0.25">
      <c r="A126" s="27">
        <v>141</v>
      </c>
      <c r="B126" s="27" t="s">
        <v>234</v>
      </c>
      <c r="C126" s="27" t="s">
        <v>232</v>
      </c>
      <c r="D126" s="27">
        <v>4</v>
      </c>
      <c r="E126" s="27" t="s">
        <v>305</v>
      </c>
      <c r="F126" s="27" t="s">
        <v>228</v>
      </c>
      <c r="G126" s="27">
        <f>G125</f>
        <v>51</v>
      </c>
      <c r="H126" s="27">
        <v>173</v>
      </c>
      <c r="I126" s="27">
        <f>[53]Spectroscopy!$T$4</f>
        <v>81.5</v>
      </c>
      <c r="J126" s="28">
        <f t="shared" si="3"/>
        <v>27.231113635604263</v>
      </c>
      <c r="K126" s="27">
        <f>[53]Spectroscopy!$Z$4</f>
        <v>97</v>
      </c>
      <c r="L126" s="27"/>
      <c r="M126" s="29" t="e">
        <f>Data[[#This Row],[Waist_Circumference]]/Data[[#This Row],[Hip_circumference]]</f>
        <v>#DIV/0!</v>
      </c>
      <c r="N126" s="30">
        <f>'[54]DXA data'!$V$5</f>
        <v>27429.635495487</v>
      </c>
      <c r="O126" s="30">
        <f>'[54]DXA data'!$W$5</f>
        <v>51674.712023699998</v>
      </c>
      <c r="P126" s="30">
        <f t="shared" si="6"/>
        <v>79104.347519186995</v>
      </c>
      <c r="Q126" s="29">
        <f>(Data[[#This Row],[Total_fat_g]]/Data[[#This Row],[Total_mass_g]])*100</f>
        <v>34.67525661447857</v>
      </c>
      <c r="R126" s="29">
        <f>(Data[[#This Row],[Lean_mass_g]]/Data[[#This Row],[Total_mass_g]])*100</f>
        <v>65.32474338552143</v>
      </c>
      <c r="S126" s="29">
        <f>'[55]Participant characteristics'!$J$5</f>
        <v>1803.1418875371</v>
      </c>
      <c r="T126" s="29">
        <f>'[53]Iron correction'!$K$6</f>
        <v>2.9770545473118433</v>
      </c>
      <c r="U126" s="29">
        <f>[56]Glu!$D$22</f>
        <v>5.093</v>
      </c>
      <c r="V126" s="29">
        <f>[56]Ins!$D$21</f>
        <v>8.4634999999999998</v>
      </c>
      <c r="W126" s="29">
        <f>(Data[[#This Row],[Glucose (umol/L)]]*Data[[#This Row],[Insulin (umol/L)]])/22.5</f>
        <v>1.9157602444444444</v>
      </c>
      <c r="X126" s="29">
        <f>[56]NEFA!$D$22</f>
        <v>287.3</v>
      </c>
      <c r="Y126" s="29">
        <v>1533.7</v>
      </c>
      <c r="Z126" s="29">
        <f>'[56]3OHB'!$D$22</f>
        <v>26.9</v>
      </c>
      <c r="AA126" s="29">
        <f>[57]Cholesterol!$D$15</f>
        <v>5.21</v>
      </c>
      <c r="AB126" s="29">
        <f>[57]Cholesterol!$D$32</f>
        <v>0.99</v>
      </c>
      <c r="AC126" s="29">
        <f>Data[[#This Row],[total_chol (umol/L)]]-Data[[#This Row],[HDL_chol (umol/L)]]</f>
        <v>4.22</v>
      </c>
      <c r="AD126" s="29">
        <f>Data[[#This Row],[Non_HDL (umol/L)]]-(Data[[#This Row],[TAG (umol/L)]]/2200)</f>
        <v>3.5228636363636361</v>
      </c>
      <c r="AE126" s="29">
        <f>[59]concentrations!$Z$22</f>
        <v>1089.1734150000002</v>
      </c>
      <c r="AF126" s="31">
        <f>'[58]plasma H2O'!$C$13</f>
        <v>3.9961898078031298E-3</v>
      </c>
      <c r="AG126" s="29">
        <f>'[58]16 DNL 20-400'!$C$14</f>
        <v>6.6968473688921826</v>
      </c>
      <c r="AH126" s="23">
        <f>(Data[[#This Row],[DNL (%)]]/100)*Data[[#This Row],[VLDL (umol/L)]]</f>
        <v>72.940281185100645</v>
      </c>
      <c r="AI126" s="29">
        <f>[4]SAMPLES!$L$75</f>
        <v>43.836178163957435</v>
      </c>
      <c r="AJ126" s="59">
        <f>(Data[[#This Row],[Gluconeogensis (%)]]/100)*Data[[#This Row],[Glucose (umol/L)]]</f>
        <v>2.2325765538903521</v>
      </c>
      <c r="AK126" s="27"/>
    </row>
    <row r="127" spans="1:37" s="33" customFormat="1" x14ac:dyDescent="0.25">
      <c r="A127" s="27">
        <v>142</v>
      </c>
      <c r="B127" s="27" t="s">
        <v>235</v>
      </c>
      <c r="C127" s="27" t="s">
        <v>232</v>
      </c>
      <c r="D127" s="27">
        <v>2</v>
      </c>
      <c r="E127" s="27" t="s">
        <v>305</v>
      </c>
      <c r="F127" s="27" t="s">
        <v>228</v>
      </c>
      <c r="G127" s="27">
        <f>[52]Sheet1!$E$5</f>
        <v>45</v>
      </c>
      <c r="H127" s="27">
        <v>179</v>
      </c>
      <c r="I127" s="27">
        <f>[53]Spectroscopy!$T$5</f>
        <v>86</v>
      </c>
      <c r="J127" s="28">
        <f t="shared" si="3"/>
        <v>26.840610467838083</v>
      </c>
      <c r="K127" s="27">
        <f>[53]Spectroscopy!$Z$5</f>
        <v>94</v>
      </c>
      <c r="L127" s="27"/>
      <c r="M127" s="29" t="e">
        <f>Data[[#This Row],[Waist_Circumference]]/Data[[#This Row],[Hip_circumference]]</f>
        <v>#DIV/0!</v>
      </c>
      <c r="N127" s="30">
        <f>'[54]DXA data'!$V$6</f>
        <v>28016.089218207999</v>
      </c>
      <c r="O127" s="30">
        <f>'[54]DXA data'!$W$6</f>
        <v>55196.952154780003</v>
      </c>
      <c r="P127" s="30">
        <f t="shared" si="6"/>
        <v>83213.041372987995</v>
      </c>
      <c r="Q127" s="29">
        <f>(Data[[#This Row],[Total_fat_g]]/Data[[#This Row],[Total_mass_g]])*100</f>
        <v>33.66790680397169</v>
      </c>
      <c r="R127" s="29">
        <f>(Data[[#This Row],[Lean_mass_g]]/Data[[#This Row],[Total_mass_g]])*100</f>
        <v>66.332093196028325</v>
      </c>
      <c r="S127" s="29">
        <f>'[55]Participant characteristics'!$J$6</f>
        <v>1576.0967219571</v>
      </c>
      <c r="T127" s="29">
        <f>'[53]Iron correction'!$M$6</f>
        <v>4.0718718875617537</v>
      </c>
      <c r="U127" s="29">
        <f>[56]Glu!$E$22</f>
        <v>5.42</v>
      </c>
      <c r="V127" s="29">
        <f>[56]Ins!$E$21</f>
        <v>9.532</v>
      </c>
      <c r="W127" s="29">
        <f>(Data[[#This Row],[Glucose (umol/L)]]*Data[[#This Row],[Insulin (umol/L)]])/22.5</f>
        <v>2.2961528888888889</v>
      </c>
      <c r="X127" s="29">
        <f>[56]NEFA!$E$22</f>
        <v>457.1</v>
      </c>
      <c r="Y127" s="29">
        <v>913.09999999999991</v>
      </c>
      <c r="Z127" s="29">
        <f>'[56]3OHB'!$E$22</f>
        <v>40.6</v>
      </c>
      <c r="AA127" s="29">
        <f>[57]Cholesterol!$E$15</f>
        <v>4.8</v>
      </c>
      <c r="AB127" s="29">
        <f>[57]Cholesterol!$E$32</f>
        <v>1.1399999999999999</v>
      </c>
      <c r="AC127" s="29">
        <f>Data[[#This Row],[total_chol (umol/L)]]-Data[[#This Row],[HDL_chol (umol/L)]]</f>
        <v>3.66</v>
      </c>
      <c r="AD127" s="29">
        <f>Data[[#This Row],[Non_HDL (umol/L)]]-(Data[[#This Row],[TAG (umol/L)]]/2200)</f>
        <v>3.2449545454545454</v>
      </c>
      <c r="AE127" s="29">
        <f>[59]concentrations!$AA$22</f>
        <v>163.53596132120245</v>
      </c>
      <c r="AF127" s="31">
        <f>'[58]plasma H2O'!$D$13</f>
        <v>3.9127939618400854E-3</v>
      </c>
      <c r="AG127" s="29">
        <f>'[58]16 DNL 20-400'!$D$14</f>
        <v>4.3394837035248521</v>
      </c>
      <c r="AH127" s="23">
        <f>(Data[[#This Row],[DNL (%)]]/100)*Data[[#This Row],[VLDL (umol/L)]]</f>
        <v>7.0966163909362852</v>
      </c>
      <c r="AI127" s="29">
        <f>[4]SAMPLES!$L$76</f>
        <v>32.432041610314002</v>
      </c>
      <c r="AJ127" s="59">
        <f>(Data[[#This Row],[Gluconeogensis (%)]]/100)*Data[[#This Row],[Glucose (umol/L)]]</f>
        <v>1.7578166552790189</v>
      </c>
      <c r="AK127" s="27"/>
    </row>
    <row r="128" spans="1:37" s="33" customFormat="1" x14ac:dyDescent="0.25">
      <c r="A128" s="27">
        <v>143</v>
      </c>
      <c r="B128" s="27" t="s">
        <v>235</v>
      </c>
      <c r="C128" s="27" t="s">
        <v>232</v>
      </c>
      <c r="D128" s="27">
        <v>4</v>
      </c>
      <c r="E128" s="27" t="s">
        <v>306</v>
      </c>
      <c r="F128" s="27" t="s">
        <v>228</v>
      </c>
      <c r="G128" s="27">
        <f>G127</f>
        <v>45</v>
      </c>
      <c r="H128" s="27">
        <v>179</v>
      </c>
      <c r="I128" s="27">
        <f>[53]Spectroscopy!$R$5</f>
        <v>85.6</v>
      </c>
      <c r="J128" s="28">
        <f t="shared" si="3"/>
        <v>26.715770419150463</v>
      </c>
      <c r="K128" s="27">
        <f>[53]Spectroscopy!$X$5</f>
        <v>99</v>
      </c>
      <c r="L128" s="27"/>
      <c r="M128" s="29" t="e">
        <f>Data[[#This Row],[Waist_Circumference]]/Data[[#This Row],[Hip_circumference]]</f>
        <v>#DIV/0!</v>
      </c>
      <c r="N128" s="30">
        <f>'[54]DXA data'!$V$7</f>
        <v>25996.226592562001</v>
      </c>
      <c r="O128" s="30">
        <f>'[54]DXA data'!$W$7</f>
        <v>54320.71260318</v>
      </c>
      <c r="P128" s="30">
        <f t="shared" si="6"/>
        <v>80316.939195742001</v>
      </c>
      <c r="Q128" s="29">
        <f>(Data[[#This Row],[Total_fat_g]]/Data[[#This Row],[Total_mass_g]])*100</f>
        <v>32.367053392318752</v>
      </c>
      <c r="R128" s="29">
        <f>(Data[[#This Row],[Lean_mass_g]]/Data[[#This Row],[Total_mass_g]])*100</f>
        <v>67.632946607681248</v>
      </c>
      <c r="S128" s="29">
        <f>'[55]Participant characteristics'!$J$7</f>
        <v>1164.7254552828001</v>
      </c>
      <c r="T128" s="29">
        <f>'[53]Iron correction'!$O$6</f>
        <v>5.7499158307662155</v>
      </c>
      <c r="U128" s="29">
        <f>[56]Glu!$E$6</f>
        <v>5.6189999999999998</v>
      </c>
      <c r="V128" s="29">
        <f>[56]Ins!$E$6</f>
        <v>5.2690000000000001</v>
      </c>
      <c r="W128" s="29">
        <f>(Data[[#This Row],[Glucose (umol/L)]]*Data[[#This Row],[Insulin (umol/L)]])/22.5</f>
        <v>1.3158449333333333</v>
      </c>
      <c r="X128" s="29">
        <f>[56]NEFA!$E$6</f>
        <v>684.7</v>
      </c>
      <c r="Y128" s="29">
        <v>801.1</v>
      </c>
      <c r="Z128" s="29">
        <f>'[56]3OHB'!$E$6</f>
        <v>63</v>
      </c>
      <c r="AA128" s="29">
        <f>[57]Cholesterol!$E$7</f>
        <v>5.04</v>
      </c>
      <c r="AB128" s="29">
        <f>[57]Cholesterol!$E$24</f>
        <v>1.45</v>
      </c>
      <c r="AC128" s="29">
        <f>Data[[#This Row],[total_chol (umol/L)]]-Data[[#This Row],[HDL_chol (umol/L)]]</f>
        <v>3.59</v>
      </c>
      <c r="AD128" s="29">
        <f>Data[[#This Row],[Non_HDL (umol/L)]]-(Data[[#This Row],[TAG (umol/L)]]/2200)</f>
        <v>3.2258636363636364</v>
      </c>
      <c r="AE128" s="29">
        <f>[59]concentrations!$E$22</f>
        <v>231.07128334704922</v>
      </c>
      <c r="AF128" s="31">
        <f>'[58]plasma H2O'!$D$4</f>
        <v>3.9933320889271665E-3</v>
      </c>
      <c r="AG128" s="29">
        <f>'[58]16 DNL 20-400'!$D$4</f>
        <v>0.66394245111992045</v>
      </c>
      <c r="AH128" s="23">
        <f>(Data[[#This Row],[DNL (%)]]/100)*Data[[#This Row],[VLDL (umol/L)]]</f>
        <v>1.5341803424886551</v>
      </c>
      <c r="AI128" s="29">
        <f>[4]SAMPLES!$L$77</f>
        <v>21.967988113980073</v>
      </c>
      <c r="AJ128" s="59">
        <f>(Data[[#This Row],[Gluconeogensis (%)]]/100)*Data[[#This Row],[Glucose (umol/L)]]</f>
        <v>1.2343812521245403</v>
      </c>
      <c r="AK128" s="27"/>
    </row>
    <row r="129" spans="1:37" s="33" customFormat="1" x14ac:dyDescent="0.25">
      <c r="A129" s="27">
        <v>144</v>
      </c>
      <c r="B129" s="27" t="s">
        <v>236</v>
      </c>
      <c r="C129" s="27" t="s">
        <v>232</v>
      </c>
      <c r="D129" s="27">
        <v>2</v>
      </c>
      <c r="E129" s="27" t="s">
        <v>305</v>
      </c>
      <c r="F129" s="27" t="s">
        <v>228</v>
      </c>
      <c r="G129" s="27">
        <f>[52]Sheet1!$E$6</f>
        <v>54</v>
      </c>
      <c r="H129" s="27">
        <v>178</v>
      </c>
      <c r="I129" s="27">
        <f>[53]Spectroscopy!$T$6</f>
        <v>83.9</v>
      </c>
      <c r="J129" s="28">
        <f t="shared" si="3"/>
        <v>26.48024239363717</v>
      </c>
      <c r="K129" s="27">
        <f>[53]Spectroscopy!$Z$6</f>
        <v>94</v>
      </c>
      <c r="L129" s="27"/>
      <c r="M129" s="29" t="e">
        <f>Data[[#This Row],[Waist_Circumference]]/Data[[#This Row],[Hip_circumference]]</f>
        <v>#DIV/0!</v>
      </c>
      <c r="N129" s="30">
        <f>'[54]DXA data'!$V$8</f>
        <v>19398.088824220999</v>
      </c>
      <c r="O129" s="30">
        <f>'[54]DXA data'!$W$8</f>
        <v>61419.967793347998</v>
      </c>
      <c r="P129" s="30">
        <f t="shared" si="6"/>
        <v>80818.056617569004</v>
      </c>
      <c r="Q129" s="29">
        <f>(Data[[#This Row],[Total_fat_g]]/Data[[#This Row],[Total_mass_g]])*100</f>
        <v>24.002171836440887</v>
      </c>
      <c r="R129" s="29">
        <f>(Data[[#This Row],[Lean_mass_g]]/Data[[#This Row],[Total_mass_g]])*100</f>
        <v>75.997828163559106</v>
      </c>
      <c r="S129" s="29">
        <f>'[55]Participant characteristics'!$J$8</f>
        <v>1080.7376797958</v>
      </c>
      <c r="T129" s="29">
        <f>[53]Spectroscopy!$P$30</f>
        <v>2.1811234178911532</v>
      </c>
      <c r="U129" s="29">
        <f>[56]Glu!$F$22</f>
        <v>5.4290000000000003</v>
      </c>
      <c r="V129" s="29">
        <f>[56]Ins!$F$21</f>
        <v>5.6615000000000002</v>
      </c>
      <c r="W129" s="29">
        <f>(Data[[#This Row],[Glucose (umol/L)]]*Data[[#This Row],[Insulin (umol/L)]])/22.5</f>
        <v>1.3660570444444446</v>
      </c>
      <c r="X129" s="29">
        <f>[56]NEFA!$F$22</f>
        <v>256.10000000000002</v>
      </c>
      <c r="Y129" s="29">
        <v>1380.3999999999999</v>
      </c>
      <c r="Z129" s="29">
        <f>'[56]3OHB'!$F$22</f>
        <v>26.6</v>
      </c>
      <c r="AA129" s="29">
        <f>[57]Cholesterol!$F$15</f>
        <v>4.0199999999999996</v>
      </c>
      <c r="AB129" s="29">
        <f>[57]Cholesterol!$F$32</f>
        <v>0.9</v>
      </c>
      <c r="AC129" s="29">
        <f>Data[[#This Row],[total_chol (umol/L)]]-Data[[#This Row],[HDL_chol (umol/L)]]</f>
        <v>3.1199999999999997</v>
      </c>
      <c r="AD129" s="29">
        <f>Data[[#This Row],[Non_HDL (umol/L)]]-(Data[[#This Row],[TAG (umol/L)]]/2200)</f>
        <v>2.4925454545454544</v>
      </c>
      <c r="AE129" s="29">
        <f>[59]concentrations!$AB$22</f>
        <v>518.76080809613711</v>
      </c>
      <c r="AF129" s="31">
        <f>'[58]plasma H2O'!$E$13</f>
        <v>3.3573511889425298E-3</v>
      </c>
      <c r="AG129" s="29">
        <f>'[58]16 DNL 20-400'!$E$14</f>
        <v>3.3564097417710133</v>
      </c>
      <c r="AH129" s="23">
        <f>(Data[[#This Row],[DNL (%)]]/100)*Data[[#This Row],[VLDL (umol/L)]]</f>
        <v>17.411738299428777</v>
      </c>
      <c r="AI129" s="29">
        <f>[4]SAMPLES!$L$78</f>
        <v>25.606308828315001</v>
      </c>
      <c r="AJ129" s="59">
        <f>(Data[[#This Row],[Gluconeogensis (%)]]/100)*Data[[#This Row],[Glucose (umol/L)]]</f>
        <v>1.3901665062892214</v>
      </c>
      <c r="AK129" s="27"/>
    </row>
    <row r="130" spans="1:37" s="33" customFormat="1" x14ac:dyDescent="0.25">
      <c r="A130" s="27">
        <v>145</v>
      </c>
      <c r="B130" s="27" t="s">
        <v>236</v>
      </c>
      <c r="C130" s="27" t="s">
        <v>232</v>
      </c>
      <c r="D130" s="27">
        <v>4</v>
      </c>
      <c r="E130" s="27" t="s">
        <v>306</v>
      </c>
      <c r="F130" s="27" t="s">
        <v>228</v>
      </c>
      <c r="G130" s="27">
        <f>G129</f>
        <v>54</v>
      </c>
      <c r="H130" s="27">
        <v>178</v>
      </c>
      <c r="I130" s="27">
        <f>[53]Spectroscopy!$R$6</f>
        <v>84.3</v>
      </c>
      <c r="J130" s="28">
        <f t="shared" ref="J130:J193" si="7">I130/((H130/100)*(H130/100))</f>
        <v>26.606489079661657</v>
      </c>
      <c r="K130" s="27">
        <f>[53]Spectroscopy!$X$6</f>
        <v>95</v>
      </c>
      <c r="L130" s="27"/>
      <c r="M130" s="29" t="e">
        <f>Data[[#This Row],[Waist_Circumference]]/Data[[#This Row],[Hip_circumference]]</f>
        <v>#DIV/0!</v>
      </c>
      <c r="N130" s="30">
        <f>'[54]DXA data'!$V$9</f>
        <v>18918.490355458998</v>
      </c>
      <c r="O130" s="30">
        <f>'[54]DXA data'!$W$9</f>
        <v>59958.387606333003</v>
      </c>
      <c r="P130" s="30">
        <f t="shared" si="6"/>
        <v>78876.877961791994</v>
      </c>
      <c r="Q130" s="29">
        <f>(Data[[#This Row],[Total_fat_g]]/Data[[#This Row],[Total_mass_g]])*100</f>
        <v>23.984836677515464</v>
      </c>
      <c r="R130" s="29">
        <f>(Data[[#This Row],[Lean_mass_g]]/Data[[#This Row],[Total_mass_g]])*100</f>
        <v>76.01516332248454</v>
      </c>
      <c r="S130" s="29">
        <f>'[55]Participant characteristics'!$J$9</f>
        <v>660.58208521271001</v>
      </c>
      <c r="T130" s="29">
        <f>[53]Spectroscopy!$M$30</f>
        <v>2.9</v>
      </c>
      <c r="U130" s="29">
        <f>[56]Glu!$F$6</f>
        <v>6.03</v>
      </c>
      <c r="V130" s="43">
        <f>[56]Ins!$F$6</f>
        <v>6.218</v>
      </c>
      <c r="W130" s="29">
        <f>(Data[[#This Row],[Glucose (umol/L)]]*Data[[#This Row],[Insulin (umol/L)]])/22.5</f>
        <v>1.6664240000000001</v>
      </c>
      <c r="X130" s="29">
        <f>[56]NEFA!$F$6</f>
        <v>194.8</v>
      </c>
      <c r="Y130" s="29">
        <v>1864.3999999999999</v>
      </c>
      <c r="Z130" s="29">
        <f>'[56]3OHB'!$F$6</f>
        <v>27.7</v>
      </c>
      <c r="AA130" s="29">
        <f>[57]Cholesterol!$F$7</f>
        <v>4.9000000000000004</v>
      </c>
      <c r="AB130" s="29">
        <f>[57]Cholesterol!$F$24</f>
        <v>1.1399999999999999</v>
      </c>
      <c r="AC130" s="29">
        <f>Data[[#This Row],[total_chol (umol/L)]]-Data[[#This Row],[HDL_chol (umol/L)]]</f>
        <v>3.7600000000000007</v>
      </c>
      <c r="AD130" s="29">
        <f>Data[[#This Row],[Non_HDL (umol/L)]]-(Data[[#This Row],[TAG (umol/L)]]/2200)</f>
        <v>2.9125454545454552</v>
      </c>
      <c r="AE130" s="29">
        <f>[59]concentrations!$F$22</f>
        <v>560.35609960999977</v>
      </c>
      <c r="AF130" s="31">
        <f>'[58]plasma H2O'!$E$4</f>
        <v>3.4760303300833718E-3</v>
      </c>
      <c r="AG130" s="29">
        <f>'[58]16 DNL 20-400'!$E$4</f>
        <v>0.47557371301506612</v>
      </c>
      <c r="AH130" s="23">
        <f>(Data[[#This Row],[DNL (%)]]/100)*Data[[#This Row],[VLDL (umol/L)]]</f>
        <v>2.6649063090216787</v>
      </c>
      <c r="AI130" s="29">
        <f>[4]SAMPLES!$L$79</f>
        <v>20.812138232902424</v>
      </c>
      <c r="AJ130" s="59">
        <f>(Data[[#This Row],[Gluconeogensis (%)]]/100)*Data[[#This Row],[Glucose (umol/L)]]</f>
        <v>1.2549719354440163</v>
      </c>
      <c r="AK130" s="27"/>
    </row>
    <row r="131" spans="1:37" s="33" customFormat="1" x14ac:dyDescent="0.25">
      <c r="A131" s="27">
        <v>146</v>
      </c>
      <c r="B131" s="27" t="s">
        <v>237</v>
      </c>
      <c r="C131" s="27" t="s">
        <v>232</v>
      </c>
      <c r="D131" s="27">
        <v>2</v>
      </c>
      <c r="E131" s="27" t="s">
        <v>306</v>
      </c>
      <c r="F131" s="27" t="s">
        <v>228</v>
      </c>
      <c r="G131" s="27">
        <f>[52]Sheet1!$E$7</f>
        <v>45</v>
      </c>
      <c r="H131" s="27">
        <v>176</v>
      </c>
      <c r="I131" s="27">
        <f>[53]Spectroscopy!$R$7</f>
        <v>84.6</v>
      </c>
      <c r="J131" s="28">
        <f t="shared" si="7"/>
        <v>27.311466942148758</v>
      </c>
      <c r="K131" s="27">
        <f>[53]Spectroscopy!$X$7</f>
        <v>98</v>
      </c>
      <c r="L131" s="27"/>
      <c r="M131" s="29" t="e">
        <f>Data[[#This Row],[Waist_Circumference]]/Data[[#This Row],[Hip_circumference]]</f>
        <v>#DIV/0!</v>
      </c>
      <c r="N131" s="30">
        <f>'[54]DXA data'!$V$10</f>
        <v>22481.545315570002</v>
      </c>
      <c r="O131" s="30">
        <f>'[54]DXA data'!$W$10</f>
        <v>57502.797555167999</v>
      </c>
      <c r="P131" s="30">
        <f t="shared" si="6"/>
        <v>79984.342870738008</v>
      </c>
      <c r="Q131" s="29">
        <f>(Data[[#This Row],[Total_fat_g]]/Data[[#This Row],[Total_mass_g]])*100</f>
        <v>28.107432665793393</v>
      </c>
      <c r="R131" s="29">
        <f>(Data[[#This Row],[Lean_mass_g]]/Data[[#This Row],[Total_mass_g]])*100</f>
        <v>71.892567334206603</v>
      </c>
      <c r="S131" s="29">
        <f>'[55]Participant characteristics'!$J$10</f>
        <v>722.87870517461999</v>
      </c>
      <c r="T131" s="29">
        <f>'[53]Iron correction'!$U$6</f>
        <v>1.7456075416963792</v>
      </c>
      <c r="U131" s="29">
        <f>[56]Glu!$G$6</f>
        <v>5.3760000000000003</v>
      </c>
      <c r="V131" s="43">
        <f>[56]Ins!$G$6</f>
        <v>6.5354999999999999</v>
      </c>
      <c r="W131" s="29">
        <f>(Data[[#This Row],[Glucose (umol/L)]]*Data[[#This Row],[Insulin (umol/L)]])/22.5</f>
        <v>1.5615488</v>
      </c>
      <c r="X131" s="29">
        <f>[56]NEFA!$G$6</f>
        <v>273.7</v>
      </c>
      <c r="Y131" s="29">
        <v>596.9</v>
      </c>
      <c r="Z131" s="29">
        <f>'[56]3OHB'!$G$6</f>
        <v>28.3</v>
      </c>
      <c r="AA131" s="29">
        <f>[57]Cholesterol!$G$7</f>
        <v>4.54</v>
      </c>
      <c r="AB131" s="29">
        <f>[57]Cholesterol!$G$24</f>
        <v>1.74</v>
      </c>
      <c r="AC131" s="29">
        <f>Data[[#This Row],[total_chol (umol/L)]]-Data[[#This Row],[HDL_chol (umol/L)]]</f>
        <v>2.8</v>
      </c>
      <c r="AD131" s="29">
        <f>Data[[#This Row],[Non_HDL (umol/L)]]-(Data[[#This Row],[TAG (umol/L)]]/2200)</f>
        <v>2.528681818181818</v>
      </c>
      <c r="AE131" s="29">
        <f>[59]concentrations!$G$22</f>
        <v>167.66015460855883</v>
      </c>
      <c r="AF131" s="31">
        <f>'[58]plasma H2O'!$F$4</f>
        <v>3.6517655472245768E-3</v>
      </c>
      <c r="AG131" s="29">
        <f>'[58]16 DNL 20-400'!$F$4</f>
        <v>7.566147566543151</v>
      </c>
      <c r="AH131" s="23">
        <f>(Data[[#This Row],[DNL (%)]]/100)*Data[[#This Row],[VLDL (umol/L)]]</f>
        <v>12.685414707977959</v>
      </c>
      <c r="AI131" s="29">
        <f>[4]SAMPLES!$L$80</f>
        <v>30.440330838334482</v>
      </c>
      <c r="AJ131" s="59">
        <f>(Data[[#This Row],[Gluconeogensis (%)]]/100)*Data[[#This Row],[Glucose (umol/L)]]</f>
        <v>1.636472185868862</v>
      </c>
      <c r="AK131" s="27"/>
    </row>
    <row r="132" spans="1:37" s="33" customFormat="1" x14ac:dyDescent="0.25">
      <c r="A132" s="27">
        <v>147</v>
      </c>
      <c r="B132" s="27" t="s">
        <v>237</v>
      </c>
      <c r="C132" s="27" t="s">
        <v>232</v>
      </c>
      <c r="D132" s="27">
        <v>4</v>
      </c>
      <c r="E132" s="27" t="s">
        <v>305</v>
      </c>
      <c r="F132" s="27" t="s">
        <v>228</v>
      </c>
      <c r="G132" s="27">
        <f>G131</f>
        <v>45</v>
      </c>
      <c r="H132" s="27">
        <v>176</v>
      </c>
      <c r="I132" s="27">
        <f>[53]Spectroscopy!$T$7</f>
        <v>85.5</v>
      </c>
      <c r="J132" s="28">
        <f t="shared" si="7"/>
        <v>27.602014462809919</v>
      </c>
      <c r="K132" s="27">
        <f>[53]Spectroscopy!$Z$7</f>
        <v>100</v>
      </c>
      <c r="L132" s="27"/>
      <c r="M132" s="29" t="e">
        <f>Data[[#This Row],[Waist_Circumference]]/Data[[#This Row],[Hip_circumference]]</f>
        <v>#DIV/0!</v>
      </c>
      <c r="N132" s="30">
        <f>'[54]DXA data'!$V$11</f>
        <v>24720.223027921002</v>
      </c>
      <c r="O132" s="30">
        <f>'[54]DXA data'!$W$11</f>
        <v>57168.963020251998</v>
      </c>
      <c r="P132" s="30">
        <f t="shared" si="6"/>
        <v>81889.186048172996</v>
      </c>
      <c r="Q132" s="29">
        <f>(Data[[#This Row],[Total_fat_g]]/Data[[#This Row],[Total_mass_g]])*100</f>
        <v>30.187408400150446</v>
      </c>
      <c r="R132" s="29">
        <f>(Data[[#This Row],[Lean_mass_g]]/Data[[#This Row],[Total_mass_g]])*100</f>
        <v>69.812591599849554</v>
      </c>
      <c r="S132" s="29">
        <f>'[55]Participant characteristics'!$J$11</f>
        <v>1442.7246107341</v>
      </c>
      <c r="T132" s="29">
        <f>'[53]Iron correction'!$W$6</f>
        <v>1.4022266748710785</v>
      </c>
      <c r="U132" s="29">
        <f>[56]Glu!$G$22</f>
        <v>5.2779999999999996</v>
      </c>
      <c r="V132" s="43">
        <f>[56]Ins!$G$21</f>
        <v>6.3849999999999998</v>
      </c>
      <c r="W132" s="29">
        <f>(Data[[#This Row],[Glucose (umol/L)]]*Data[[#This Row],[Insulin (umol/L)]])/22.5</f>
        <v>1.497779111111111</v>
      </c>
      <c r="X132" s="29">
        <f>[56]NEFA!$G$22</f>
        <v>273.7</v>
      </c>
      <c r="Y132" s="29">
        <v>677</v>
      </c>
      <c r="Z132" s="29">
        <f>'[56]3OHB'!$G$22</f>
        <v>49</v>
      </c>
      <c r="AA132" s="29">
        <f>[57]Cholesterol!$G$15</f>
        <v>4.91</v>
      </c>
      <c r="AB132" s="29">
        <f>[57]Cholesterol!$G$32</f>
        <v>1.45</v>
      </c>
      <c r="AC132" s="29">
        <f>Data[[#This Row],[total_chol (umol/L)]]-Data[[#This Row],[HDL_chol (umol/L)]]</f>
        <v>3.46</v>
      </c>
      <c r="AD132" s="29">
        <f>Data[[#This Row],[Non_HDL (umol/L)]]-(Data[[#This Row],[TAG (umol/L)]]/2200)</f>
        <v>3.1522727272727273</v>
      </c>
      <c r="AE132" s="29">
        <f>[59]concentrations!$AC$22</f>
        <v>112.39981089341194</v>
      </c>
      <c r="AF132" s="31">
        <f>'[58]plasma H2O'!$F$13</f>
        <v>3.4923738940805483E-3</v>
      </c>
      <c r="AG132" s="29">
        <f>'[58]16 DNL 20-400'!$F$14</f>
        <v>4.2862894265698532</v>
      </c>
      <c r="AH132" s="23">
        <f>(Data[[#This Row],[DNL (%)]]/100)*Data[[#This Row],[VLDL (umol/L)]]</f>
        <v>4.8177812098088255</v>
      </c>
      <c r="AI132" s="29">
        <f>[4]SAMPLES!$L$81</f>
        <v>26.944716715967353</v>
      </c>
      <c r="AJ132" s="59">
        <f>(Data[[#This Row],[Gluconeogensis (%)]]/100)*Data[[#This Row],[Glucose (umol/L)]]</f>
        <v>1.4221421482687568</v>
      </c>
      <c r="AK132" s="27"/>
    </row>
    <row r="133" spans="1:37" s="33" customFormat="1" x14ac:dyDescent="0.25">
      <c r="A133" s="27">
        <v>148</v>
      </c>
      <c r="B133" s="27" t="s">
        <v>238</v>
      </c>
      <c r="C133" s="27" t="s">
        <v>232</v>
      </c>
      <c r="D133" s="27">
        <v>2</v>
      </c>
      <c r="E133" s="27" t="s">
        <v>305</v>
      </c>
      <c r="F133" s="27" t="s">
        <v>228</v>
      </c>
      <c r="G133" s="27">
        <v>38</v>
      </c>
      <c r="H133" s="27">
        <v>188</v>
      </c>
      <c r="I133" s="27">
        <f>[53]Spectroscopy!$T$8</f>
        <v>119.5</v>
      </c>
      <c r="J133" s="28">
        <f t="shared" si="7"/>
        <v>33.810547759167044</v>
      </c>
      <c r="K133" s="27">
        <f>[53]Spectroscopy!$Z$8</f>
        <v>120</v>
      </c>
      <c r="L133" s="27"/>
      <c r="M133" s="29" t="e">
        <f>Data[[#This Row],[Waist_Circumference]]/Data[[#This Row],[Hip_circumference]]</f>
        <v>#DIV/0!</v>
      </c>
      <c r="N133" s="30">
        <f>'[54]DXA data'!$V$12</f>
        <v>43932.922846991001</v>
      </c>
      <c r="O133" s="30">
        <f>'[54]DXA data'!$W$12</f>
        <v>69249.307380961007</v>
      </c>
      <c r="P133" s="30">
        <f t="shared" si="6"/>
        <v>113182.23022795201</v>
      </c>
      <c r="Q133" s="29">
        <f>(Data[[#This Row],[Total_fat_g]]/Data[[#This Row],[Total_mass_g]])*100</f>
        <v>38.816095740920574</v>
      </c>
      <c r="R133" s="29">
        <f>(Data[[#This Row],[Lean_mass_g]]/Data[[#This Row],[Total_mass_g]])*100</f>
        <v>61.183904259079426</v>
      </c>
      <c r="S133" s="29">
        <f>'[55]Participant characteristics'!$J$12</f>
        <v>1789.9336073305001</v>
      </c>
      <c r="T133" s="29">
        <f>'[53]Iron correction'!$Y$6</f>
        <v>7.9457743259079798</v>
      </c>
      <c r="U133" s="29">
        <f>[56]Glu!$H$22</f>
        <v>5.3659999999999997</v>
      </c>
      <c r="V133" s="29">
        <f>[56]Ins!$H$21</f>
        <v>12.813000000000001</v>
      </c>
      <c r="W133" s="29">
        <f>(Data[[#This Row],[Glucose (umol/L)]]*Data[[#This Row],[Insulin (umol/L)]])/22.5</f>
        <v>3.0557581333333337</v>
      </c>
      <c r="X133" s="29">
        <f>[56]NEFA!$H$22</f>
        <v>289.54199999999997</v>
      </c>
      <c r="Y133" s="29">
        <v>797.577</v>
      </c>
      <c r="Z133" s="29">
        <f>'[56]3OHB'!$H$22</f>
        <v>25.7</v>
      </c>
      <c r="AA133" s="29">
        <f>[57]Cholesterol!$H$15</f>
        <v>4.0599999999999996</v>
      </c>
      <c r="AB133" s="29">
        <f>[57]Cholesterol!$H$32</f>
        <v>1.1599999999999999</v>
      </c>
      <c r="AC133" s="29">
        <f>Data[[#This Row],[total_chol (umol/L)]]-Data[[#This Row],[HDL_chol (umol/L)]]</f>
        <v>2.8999999999999995</v>
      </c>
      <c r="AD133" s="29">
        <f>Data[[#This Row],[Non_HDL (umol/L)]]-(Data[[#This Row],[TAG (umol/L)]]/2200)</f>
        <v>2.5374649999999996</v>
      </c>
      <c r="AE133" s="29">
        <f>[59]concentrations!$AD$22</f>
        <v>170.2267779968515</v>
      </c>
      <c r="AF133" s="31">
        <f>'[58]plasma H2O'!$G$13</f>
        <v>4.7088853028743665E-3</v>
      </c>
      <c r="AG133" s="29">
        <v>10.658373814911199</v>
      </c>
      <c r="AH133" s="23">
        <f>(Data[[#This Row],[DNL (%)]]/100)*Data[[#This Row],[VLDL (umol/L)]]</f>
        <v>18.143406331983439</v>
      </c>
      <c r="AI133" s="29">
        <f>[4]SAMPLES!$L$82</f>
        <v>15.505886101396364</v>
      </c>
      <c r="AJ133" s="59">
        <f>(Data[[#This Row],[Gluconeogensis (%)]]/100)*Data[[#This Row],[Glucose (umol/L)]]</f>
        <v>0.83204584820092875</v>
      </c>
      <c r="AK133" s="27"/>
    </row>
    <row r="134" spans="1:37" s="33" customFormat="1" x14ac:dyDescent="0.25">
      <c r="A134" s="27">
        <v>149</v>
      </c>
      <c r="B134" s="27" t="s">
        <v>238</v>
      </c>
      <c r="C134" s="27" t="s">
        <v>232</v>
      </c>
      <c r="D134" s="27">
        <v>4</v>
      </c>
      <c r="E134" s="27" t="s">
        <v>306</v>
      </c>
      <c r="F134" s="27" t="s">
        <v>228</v>
      </c>
      <c r="G134" s="27">
        <v>38</v>
      </c>
      <c r="H134" s="27">
        <v>188</v>
      </c>
      <c r="I134" s="27">
        <f>[53]Spectroscopy!$R$8</f>
        <v>125</v>
      </c>
      <c r="J134" s="28">
        <f t="shared" si="7"/>
        <v>35.366681756450888</v>
      </c>
      <c r="K134" s="27">
        <f>[53]Spectroscopy!$X$8</f>
        <v>120</v>
      </c>
      <c r="L134" s="27"/>
      <c r="M134" s="29" t="e">
        <f>Data[[#This Row],[Waist_Circumference]]/Data[[#This Row],[Hip_circumference]]</f>
        <v>#DIV/0!</v>
      </c>
      <c r="N134" s="30">
        <f>'[54]DXA data'!$V$13</f>
        <v>45827.744041407997</v>
      </c>
      <c r="O134" s="30">
        <f>'[54]DXA data'!$W$13</f>
        <v>70613.034052357005</v>
      </c>
      <c r="P134" s="30">
        <f t="shared" si="6"/>
        <v>116440.77809376499</v>
      </c>
      <c r="Q134" s="29">
        <f>(Data[[#This Row],[Total_fat_g]]/Data[[#This Row],[Total_mass_g]])*100</f>
        <v>39.357126250483134</v>
      </c>
      <c r="R134" s="29">
        <f>(Data[[#This Row],[Lean_mass_g]]/Data[[#This Row],[Total_mass_g]])*100</f>
        <v>60.642873749516866</v>
      </c>
      <c r="S134" s="29">
        <f>'[55]Participant characteristics'!$J$13</f>
        <v>1387.2678713354001</v>
      </c>
      <c r="T134" s="29">
        <f>'[53]Iron correction'!$AA$6</f>
        <v>13.124417338586936</v>
      </c>
      <c r="U134" s="29">
        <f>[56]Glu!$H$6</f>
        <v>5.7160000000000002</v>
      </c>
      <c r="V134" s="29">
        <f>[56]Ins!$H$6</f>
        <v>21.677</v>
      </c>
      <c r="W134" s="29">
        <f>(Data[[#This Row],[Glucose (umol/L)]]*Data[[#This Row],[Insulin (umol/L)]])/22.5</f>
        <v>5.5069214222222218</v>
      </c>
      <c r="X134" s="29">
        <f>[56]NEFA!$H$6</f>
        <v>261.65600000000001</v>
      </c>
      <c r="Y134" s="29">
        <v>556.17499999999995</v>
      </c>
      <c r="Z134" s="29">
        <f>'[56]3OHB'!$H$6</f>
        <v>34.6</v>
      </c>
      <c r="AA134" s="29">
        <f>[57]Cholesterol!$H$7</f>
        <v>3.87</v>
      </c>
      <c r="AB134" s="29">
        <f>[57]Cholesterol!$H$24</f>
        <v>1.33</v>
      </c>
      <c r="AC134" s="29">
        <f>Data[[#This Row],[total_chol (umol/L)]]-Data[[#This Row],[HDL_chol (umol/L)]]</f>
        <v>2.54</v>
      </c>
      <c r="AD134" s="29">
        <f>Data[[#This Row],[Non_HDL (umol/L)]]-(Data[[#This Row],[TAG (umol/L)]]/2200)</f>
        <v>2.2871931818181821</v>
      </c>
      <c r="AE134" s="29">
        <f>[59]concentrations!$H$22</f>
        <v>59.514709701018056</v>
      </c>
      <c r="AF134" s="31">
        <f>'[58]plasma H2O'!$G$4</f>
        <v>4.3806606256945107E-3</v>
      </c>
      <c r="AG134" s="29">
        <v>3.1621339181100305</v>
      </c>
      <c r="AH134" s="23">
        <f>(Data[[#This Row],[DNL (%)]]/100)*Data[[#This Row],[VLDL (umol/L)]]</f>
        <v>1.8819348217206127</v>
      </c>
      <c r="AI134" s="29">
        <f>[4]SAMPLES!$L$83</f>
        <v>21.038628746232828</v>
      </c>
      <c r="AJ134" s="59">
        <f>(Data[[#This Row],[Gluconeogensis (%)]]/100)*Data[[#This Row],[Glucose (umol/L)]]</f>
        <v>1.2025680191346684</v>
      </c>
      <c r="AK134" s="27"/>
    </row>
    <row r="135" spans="1:37" s="33" customFormat="1" x14ac:dyDescent="0.25">
      <c r="A135" s="27">
        <v>150</v>
      </c>
      <c r="B135" s="27" t="s">
        <v>239</v>
      </c>
      <c r="C135" s="27" t="s">
        <v>232</v>
      </c>
      <c r="D135" s="27">
        <v>2</v>
      </c>
      <c r="E135" s="27" t="s">
        <v>305</v>
      </c>
      <c r="F135" s="27" t="s">
        <v>228</v>
      </c>
      <c r="G135" s="27">
        <f>[52]Sheet1!$E$9</f>
        <v>42</v>
      </c>
      <c r="H135" s="27">
        <v>175</v>
      </c>
      <c r="I135" s="27">
        <f>[53]Spectroscopy!$T$9</f>
        <v>85.1</v>
      </c>
      <c r="J135" s="28">
        <f t="shared" si="7"/>
        <v>27.787755102040816</v>
      </c>
      <c r="K135" s="27">
        <f>[53]Spectroscopy!$Z$9</f>
        <v>98</v>
      </c>
      <c r="L135" s="27"/>
      <c r="M135" s="29" t="e">
        <f>Data[[#This Row],[Waist_Circumference]]/Data[[#This Row],[Hip_circumference]]</f>
        <v>#DIV/0!</v>
      </c>
      <c r="N135" s="30">
        <f>'[54]DXA data'!$V$14</f>
        <v>26535.360723999998</v>
      </c>
      <c r="O135" s="30">
        <f>'[54]DXA data'!$W$14</f>
        <v>55367.638722408999</v>
      </c>
      <c r="P135" s="30">
        <f t="shared" ref="P135:P166" si="8">N135+O135</f>
        <v>81902.999446408998</v>
      </c>
      <c r="Q135" s="29">
        <f>(Data[[#This Row],[Total_fat_g]]/Data[[#This Row],[Total_mass_g]])*100</f>
        <v>32.39852130368277</v>
      </c>
      <c r="R135" s="29">
        <f>(Data[[#This Row],[Lean_mass_g]]/Data[[#This Row],[Total_mass_g]])*100</f>
        <v>67.60147869631723</v>
      </c>
      <c r="S135" s="29">
        <f>'[55]Participant characteristics'!$J$14</f>
        <v>1708.4662876783</v>
      </c>
      <c r="T135" s="29">
        <f>'[53]Iron correction'!$AC$6</f>
        <v>2.3182079796592325</v>
      </c>
      <c r="U135" s="29">
        <f>[56]Glu!$I$22</f>
        <v>5.86</v>
      </c>
      <c r="V135" s="43">
        <f>[56]Ins!$I$21</f>
        <v>11.144500000000001</v>
      </c>
      <c r="W135" s="29">
        <f>(Data[[#This Row],[Glucose (umol/L)]]*Data[[#This Row],[Insulin (umol/L)]])/22.5</f>
        <v>2.9025231111111118</v>
      </c>
      <c r="X135" s="29">
        <f>[56]NEFA!$I$22</f>
        <v>442.26600000000002</v>
      </c>
      <c r="Y135" s="29">
        <v>792.86199999999997</v>
      </c>
      <c r="Z135" s="29">
        <f>'[56]3OHB'!$I$22</f>
        <v>34.6</v>
      </c>
      <c r="AA135" s="29">
        <f>[57]Cholesterol!$I$15</f>
        <v>4.72</v>
      </c>
      <c r="AB135" s="29">
        <f>[57]Cholesterol!$I$32</f>
        <v>1.26</v>
      </c>
      <c r="AC135" s="29">
        <f>Data[[#This Row],[total_chol (umol/L)]]-Data[[#This Row],[HDL_chol (umol/L)]]</f>
        <v>3.46</v>
      </c>
      <c r="AD135" s="29">
        <f>Data[[#This Row],[Non_HDL (umol/L)]]-(Data[[#This Row],[TAG (umol/L)]]/2200)</f>
        <v>3.0996081818181818</v>
      </c>
      <c r="AE135" s="29">
        <v>305.94628125000003</v>
      </c>
      <c r="AF135" s="31">
        <f>'[58]plasma H2O'!$H$13</f>
        <v>3.7427497332805136E-3</v>
      </c>
      <c r="AG135" s="29">
        <f>'[58]16 DNL 20-400'!$H$14</f>
        <v>5.3949222932373342</v>
      </c>
      <c r="AH135" s="23">
        <f>(Data[[#This Row],[DNL (%)]]/100)*Data[[#This Row],[VLDL (umol/L)]]</f>
        <v>16.505564132486846</v>
      </c>
      <c r="AI135" s="29">
        <f>[4]SAMPLES!$L$84</f>
        <v>28.40231017733959</v>
      </c>
      <c r="AJ135" s="59">
        <f>(Data[[#This Row],[Gluconeogensis (%)]]/100)*Data[[#This Row],[Glucose (umol/L)]]</f>
        <v>1.6643753763921001</v>
      </c>
      <c r="AK135" s="27"/>
    </row>
    <row r="136" spans="1:37" s="33" customFormat="1" x14ac:dyDescent="0.25">
      <c r="A136" s="27">
        <v>151</v>
      </c>
      <c r="B136" s="27" t="s">
        <v>239</v>
      </c>
      <c r="C136" s="27" t="s">
        <v>232</v>
      </c>
      <c r="D136" s="27">
        <v>4</v>
      </c>
      <c r="E136" s="27" t="s">
        <v>306</v>
      </c>
      <c r="F136" s="27" t="s">
        <v>228</v>
      </c>
      <c r="G136" s="27">
        <f>G135</f>
        <v>42</v>
      </c>
      <c r="H136" s="27">
        <v>175</v>
      </c>
      <c r="I136" s="27">
        <f>[53]Spectroscopy!$R$9</f>
        <v>88.8</v>
      </c>
      <c r="J136" s="28">
        <f t="shared" si="7"/>
        <v>28.995918367346938</v>
      </c>
      <c r="K136" s="27">
        <f>[53]Spectroscopy!$X$9</f>
        <v>101</v>
      </c>
      <c r="L136" s="27"/>
      <c r="M136" s="29" t="e">
        <f>Data[[#This Row],[Waist_Circumference]]/Data[[#This Row],[Hip_circumference]]</f>
        <v>#DIV/0!</v>
      </c>
      <c r="N136" s="30">
        <f>'[54]DXA data'!$V$15</f>
        <v>27122.535571974</v>
      </c>
      <c r="O136" s="30">
        <f>'[54]DXA data'!$W$15</f>
        <v>58819.619228697004</v>
      </c>
      <c r="P136" s="30">
        <f t="shared" si="8"/>
        <v>85942.154800671007</v>
      </c>
      <c r="Q136" s="29">
        <f>(Data[[#This Row],[Total_fat_g]]/Data[[#This Row],[Total_mass_g]])*100</f>
        <v>31.559059270599342</v>
      </c>
      <c r="R136" s="29">
        <f>(Data[[#This Row],[Lean_mass_g]]/Data[[#This Row],[Total_mass_g]])*100</f>
        <v>68.440940729400651</v>
      </c>
      <c r="S136" s="29">
        <f>'[55]Participant characteristics'!$J$15</f>
        <v>1808.8071539031</v>
      </c>
      <c r="T136" s="29">
        <f>'[53]Iron correction'!$AE$6</f>
        <v>2.963864308107202</v>
      </c>
      <c r="U136" s="29">
        <f>[56]Glu!$I$6</f>
        <v>6.1040000000000001</v>
      </c>
      <c r="V136" s="43">
        <f>[56]Ins!$I$6</f>
        <v>13.263</v>
      </c>
      <c r="W136" s="29">
        <f>(Data[[#This Row],[Glucose (umol/L)]]*Data[[#This Row],[Insulin (umol/L)]])/22.5</f>
        <v>3.5981045333333332</v>
      </c>
      <c r="X136" s="29">
        <f>[56]NEFA!$I$6</f>
        <v>359.041</v>
      </c>
      <c r="Y136" s="29">
        <v>656.05799999999999</v>
      </c>
      <c r="Z136" s="29">
        <f>'[56]3OHB'!$I$6</f>
        <v>37.200000000000003</v>
      </c>
      <c r="AA136" s="29">
        <f>[57]Cholesterol!$I$7</f>
        <v>4.67</v>
      </c>
      <c r="AB136" s="29">
        <f>[57]Cholesterol!$I$24</f>
        <v>1.4</v>
      </c>
      <c r="AC136" s="29">
        <f>Data[[#This Row],[total_chol (umol/L)]]-Data[[#This Row],[HDL_chol (umol/L)]]</f>
        <v>3.27</v>
      </c>
      <c r="AD136" s="29">
        <f>Data[[#This Row],[Non_HDL (umol/L)]]-(Data[[#This Row],[TAG (umol/L)]]/2200)</f>
        <v>2.9717918181818184</v>
      </c>
      <c r="AE136" s="29">
        <v>257.39379750000001</v>
      </c>
      <c r="AF136" s="31">
        <f>'[58]plasma H2O'!$H$4</f>
        <v>3.648316431566781E-3</v>
      </c>
      <c r="AG136" s="29">
        <f>'[58]16 DNL 20-400'!$H$4</f>
        <v>5.3695681947842848</v>
      </c>
      <c r="AH136" s="23">
        <f>(Data[[#This Row],[DNL (%)]]/100)*Data[[#This Row],[VLDL (umol/L)]]</f>
        <v>13.820935485907468</v>
      </c>
      <c r="AI136" s="29">
        <f>[4]SAMPLES!$L$85</f>
        <v>24.218899714112677</v>
      </c>
      <c r="AJ136" s="59">
        <f>(Data[[#This Row],[Gluconeogensis (%)]]/100)*Data[[#This Row],[Glucose (umol/L)]]</f>
        <v>1.4783216385494378</v>
      </c>
      <c r="AK136" s="27"/>
    </row>
    <row r="137" spans="1:37" s="33" customFormat="1" x14ac:dyDescent="0.25">
      <c r="A137" s="27">
        <v>152</v>
      </c>
      <c r="B137" s="27" t="s">
        <v>240</v>
      </c>
      <c r="C137" s="27" t="s">
        <v>232</v>
      </c>
      <c r="D137" s="27">
        <v>2</v>
      </c>
      <c r="E137" s="27" t="s">
        <v>306</v>
      </c>
      <c r="F137" s="27" t="s">
        <v>228</v>
      </c>
      <c r="G137" s="27">
        <f>[52]Sheet1!$E$10</f>
        <v>52</v>
      </c>
      <c r="H137" s="27">
        <v>192</v>
      </c>
      <c r="I137" s="27">
        <f>[53]Spectroscopy!$R$10</f>
        <v>98.4</v>
      </c>
      <c r="J137" s="28">
        <f t="shared" si="7"/>
        <v>26.692708333333336</v>
      </c>
      <c r="K137" s="27">
        <f>[53]Spectroscopy!$X$10</f>
        <v>99</v>
      </c>
      <c r="L137" s="27"/>
      <c r="M137" s="29" t="e">
        <f>Data[[#This Row],[Waist_Circumference]]/Data[[#This Row],[Hip_circumference]]</f>
        <v>#DIV/0!</v>
      </c>
      <c r="N137" s="30">
        <f>'[54]DXA data'!$V$16</f>
        <v>33838.009153519</v>
      </c>
      <c r="O137" s="30">
        <f>'[54]DXA data'!$W$16</f>
        <v>59571.918808467999</v>
      </c>
      <c r="P137" s="30">
        <f t="shared" si="8"/>
        <v>93409.927961987007</v>
      </c>
      <c r="Q137" s="29">
        <f>(Data[[#This Row],[Total_fat_g]]/Data[[#This Row],[Total_mass_g]])*100</f>
        <v>36.22528128625612</v>
      </c>
      <c r="R137" s="29">
        <f>(Data[[#This Row],[Lean_mass_g]]/Data[[#This Row],[Total_mass_g]])*100</f>
        <v>63.774718713743873</v>
      </c>
      <c r="S137" s="29">
        <f>'[55]Participant characteristics'!$J$16</f>
        <v>1802.0558290081001</v>
      </c>
      <c r="T137" s="29">
        <f>'[53]Iron correction'!$AG$6</f>
        <v>5.8192850943265135</v>
      </c>
      <c r="U137" s="29">
        <f>[56]Glu!$J$6</f>
        <v>4.8280000000000003</v>
      </c>
      <c r="V137" s="43">
        <f>[56]Ins!$J$6</f>
        <v>6.5775000000000006</v>
      </c>
      <c r="W137" s="29">
        <f>(Data[[#This Row],[Glucose (umol/L)]]*Data[[#This Row],[Insulin (umol/L)]])/22.5</f>
        <v>1.4113853333333335</v>
      </c>
      <c r="X137" s="29">
        <f>[56]NEFA!$J$6</f>
        <v>313.88600000000002</v>
      </c>
      <c r="Y137" s="29">
        <v>1085.97</v>
      </c>
      <c r="Z137" s="29">
        <f>'[56]3OHB'!$J$6</f>
        <v>35.9</v>
      </c>
      <c r="AA137" s="29">
        <f>[57]Cholesterol!$J$7</f>
        <v>6.67</v>
      </c>
      <c r="AB137" s="29">
        <f>[57]Cholesterol!$J$24</f>
        <v>1.52</v>
      </c>
      <c r="AC137" s="29">
        <f>Data[[#This Row],[total_chol (umol/L)]]-Data[[#This Row],[HDL_chol (umol/L)]]</f>
        <v>5.15</v>
      </c>
      <c r="AD137" s="29">
        <f>Data[[#This Row],[Non_HDL (umol/L)]]-(Data[[#This Row],[TAG (umol/L)]]/2200)</f>
        <v>4.6563772727272728</v>
      </c>
      <c r="AE137" s="29">
        <f>[59]concentrations!$J$22</f>
        <v>281.82277701995457</v>
      </c>
      <c r="AF137" s="31">
        <f>'[58]plasma H2O'!$I$4</f>
        <v>4.1877805904774806E-3</v>
      </c>
      <c r="AG137" s="29">
        <f>'[58]16 DNL 20-400'!$I$4</f>
        <v>1.6941938523828228</v>
      </c>
      <c r="AH137" s="23">
        <f>(Data[[#This Row],[DNL (%)]]/100)*Data[[#This Row],[VLDL (umol/L)]]</f>
        <v>4.7746241628866208</v>
      </c>
      <c r="AI137" s="29">
        <f>[4]SAMPLES!$L$86</f>
        <v>23.440321279090277</v>
      </c>
      <c r="AJ137" s="59">
        <f>(Data[[#This Row],[Gluconeogensis (%)]]/100)*Data[[#This Row],[Glucose (umol/L)]]</f>
        <v>1.1316987113544785</v>
      </c>
      <c r="AK137" s="27"/>
    </row>
    <row r="138" spans="1:37" s="33" customFormat="1" x14ac:dyDescent="0.25">
      <c r="A138" s="27">
        <v>153</v>
      </c>
      <c r="B138" s="27" t="s">
        <v>240</v>
      </c>
      <c r="C138" s="27" t="s">
        <v>232</v>
      </c>
      <c r="D138" s="27">
        <v>4</v>
      </c>
      <c r="E138" s="27" t="s">
        <v>305</v>
      </c>
      <c r="F138" s="27" t="s">
        <v>228</v>
      </c>
      <c r="G138" s="27">
        <f>G137</f>
        <v>52</v>
      </c>
      <c r="H138" s="27">
        <v>192</v>
      </c>
      <c r="I138" s="27">
        <f>[53]Spectroscopy!$T$10</f>
        <v>98.5</v>
      </c>
      <c r="J138" s="28">
        <f t="shared" si="7"/>
        <v>26.719835069444446</v>
      </c>
      <c r="K138" s="27">
        <f>[53]Spectroscopy!$Z$10</f>
        <v>103</v>
      </c>
      <c r="L138" s="27"/>
      <c r="M138" s="29" t="e">
        <f>Data[[#This Row],[Waist_Circumference]]/Data[[#This Row],[Hip_circumference]]</f>
        <v>#DIV/0!</v>
      </c>
      <c r="N138" s="30">
        <f>'[54]DXA data'!$V$17</f>
        <v>35477.834408089999</v>
      </c>
      <c r="O138" s="30">
        <f>'[54]DXA data'!$W$17</f>
        <v>57500.175750510003</v>
      </c>
      <c r="P138" s="30">
        <f t="shared" si="8"/>
        <v>92978.010158599995</v>
      </c>
      <c r="Q138" s="29">
        <f>(Data[[#This Row],[Total_fat_g]]/Data[[#This Row],[Total_mass_g]])*100</f>
        <v>38.157231314772851</v>
      </c>
      <c r="R138" s="29">
        <f>(Data[[#This Row],[Lean_mass_g]]/Data[[#This Row],[Total_mass_g]])*100</f>
        <v>61.842768685227156</v>
      </c>
      <c r="S138" s="29">
        <f>'[55]Participant characteristics'!$J$17</f>
        <v>601.87904753877001</v>
      </c>
      <c r="T138" s="29">
        <f>'[53]Iron correction'!$AI$6</f>
        <v>5.7091163400290332</v>
      </c>
      <c r="U138" s="29">
        <f>[56]Glu!$J$22</f>
        <v>4.9950000000000001</v>
      </c>
      <c r="V138" s="43">
        <f>[56]Ins!$J$21</f>
        <v>6.3599999999999994</v>
      </c>
      <c r="W138" s="29">
        <f>(Data[[#This Row],[Glucose (umol/L)]]*Data[[#This Row],[Insulin (umol/L)]])/22.5</f>
        <v>1.4119199999999998</v>
      </c>
      <c r="X138" s="29">
        <f>[56]NEFA!$J$22</f>
        <v>559.31100000000004</v>
      </c>
      <c r="Y138" s="29">
        <v>1202.6990000000001</v>
      </c>
      <c r="Z138" s="29">
        <f>'[56]3OHB'!$J$22</f>
        <v>91.5</v>
      </c>
      <c r="AA138" s="29">
        <f>[57]Cholesterol!$J$15</f>
        <v>6.22</v>
      </c>
      <c r="AB138" s="29">
        <f>[57]Cholesterol!$J$32</f>
        <v>1.37</v>
      </c>
      <c r="AC138" s="29">
        <f>Data[[#This Row],[total_chol (umol/L)]]-Data[[#This Row],[HDL_chol (umol/L)]]</f>
        <v>4.8499999999999996</v>
      </c>
      <c r="AD138" s="29">
        <f>Data[[#This Row],[Non_HDL (umol/L)]]-(Data[[#This Row],[TAG (umol/L)]]/2200)</f>
        <v>4.3033186363636364</v>
      </c>
      <c r="AE138" s="29">
        <f>[59]concentrations!$AF$22</f>
        <v>314.47970260347086</v>
      </c>
      <c r="AF138" s="31">
        <f>'[58]plasma H2O'!$I$13</f>
        <v>4.081655129419875E-3</v>
      </c>
      <c r="AG138" s="29">
        <f>'[58]16 DNL 20-400'!$I$14</f>
        <v>2.5021454195388309</v>
      </c>
      <c r="AH138" s="23">
        <f>(Data[[#This Row],[DNL (%)]]/100)*Data[[#This Row],[VLDL (umol/L)]]</f>
        <v>7.8687394740720835</v>
      </c>
      <c r="AI138" s="29">
        <f>[4]SAMPLES!$L$87</f>
        <v>25.932182542195743</v>
      </c>
      <c r="AJ138" s="59">
        <f>(Data[[#This Row],[Gluconeogensis (%)]]/100)*Data[[#This Row],[Glucose (umol/L)]]</f>
        <v>1.2953125179826774</v>
      </c>
      <c r="AK138" s="27"/>
    </row>
    <row r="139" spans="1:37" s="33" customFormat="1" x14ac:dyDescent="0.25">
      <c r="A139" s="27">
        <v>154</v>
      </c>
      <c r="B139" s="27" t="s">
        <v>241</v>
      </c>
      <c r="C139" s="27" t="s">
        <v>232</v>
      </c>
      <c r="D139" s="27">
        <v>2</v>
      </c>
      <c r="E139" s="27" t="s">
        <v>305</v>
      </c>
      <c r="F139" s="27" t="s">
        <v>228</v>
      </c>
      <c r="G139" s="27">
        <f>[52]Sheet1!$E$11</f>
        <v>52</v>
      </c>
      <c r="H139" s="27">
        <v>192</v>
      </c>
      <c r="I139" s="27">
        <f>[53]Spectroscopy!$T$11</f>
        <v>89</v>
      </c>
      <c r="J139" s="28">
        <f t="shared" si="7"/>
        <v>24.142795138888889</v>
      </c>
      <c r="K139" s="27">
        <f>[53]Spectroscopy!$Z$11</f>
        <v>90</v>
      </c>
      <c r="L139" s="27"/>
      <c r="M139" s="29" t="e">
        <f>Data[[#This Row],[Waist_Circumference]]/Data[[#This Row],[Hip_circumference]]</f>
        <v>#DIV/0!</v>
      </c>
      <c r="N139" s="30">
        <f>'[54]DXA data'!$V$18</f>
        <v>17280.37193428</v>
      </c>
      <c r="O139" s="30">
        <f>'[54]DXA data'!$W$18</f>
        <v>67117.106273989993</v>
      </c>
      <c r="P139" s="30">
        <f t="shared" si="8"/>
        <v>84397.478208269997</v>
      </c>
      <c r="Q139" s="29">
        <f>(Data[[#This Row],[Total_fat_g]]/Data[[#This Row],[Total_mass_g]])*100</f>
        <v>20.474986102827323</v>
      </c>
      <c r="R139" s="29">
        <f>(Data[[#This Row],[Lean_mass_g]]/Data[[#This Row],[Total_mass_g]])*100</f>
        <v>79.52501389717267</v>
      </c>
      <c r="S139" s="29">
        <f>'[55]Participant characteristics'!$J$18</f>
        <v>660.87214604594999</v>
      </c>
      <c r="T139" s="29">
        <f>'[53]Iron correction'!$AK$6</f>
        <v>3.7354659485507957</v>
      </c>
      <c r="U139" s="29">
        <f>[56]Glu!$K$22</f>
        <v>5.2770000000000001</v>
      </c>
      <c r="V139" s="43">
        <f>[56]Ins!$K$21</f>
        <v>6.9860000000000007</v>
      </c>
      <c r="W139" s="29">
        <f>(Data[[#This Row],[Glucose (umol/L)]]*Data[[#This Row],[Insulin (umol/L)]])/22.5</f>
        <v>1.6384498666666669</v>
      </c>
      <c r="X139" s="29">
        <f>[56]NEFA!$K$22</f>
        <v>340.36599999999999</v>
      </c>
      <c r="Y139" s="29">
        <v>909.89300000000003</v>
      </c>
      <c r="Z139" s="29">
        <f>'[56]3OHB'!$K$22</f>
        <v>40.6</v>
      </c>
      <c r="AA139" s="29">
        <f>[57]Cholesterol!$K$15</f>
        <v>3.73</v>
      </c>
      <c r="AB139" s="29">
        <f>[57]Cholesterol!$K$32</f>
        <v>0.8</v>
      </c>
      <c r="AC139" s="29">
        <f>Data[[#This Row],[total_chol (umol/L)]]-Data[[#This Row],[HDL_chol (umol/L)]]</f>
        <v>2.9299999999999997</v>
      </c>
      <c r="AD139" s="29">
        <f>Data[[#This Row],[Non_HDL (umol/L)]]-(Data[[#This Row],[TAG (umol/L)]]/2200)</f>
        <v>2.5164122727272726</v>
      </c>
      <c r="AE139" s="29">
        <f>[59]concentrations!$AG$22</f>
        <v>202.54918447702241</v>
      </c>
      <c r="AF139" s="31">
        <f>'[58]plasma H2O'!$J$13</f>
        <v>3.2280132311838495E-3</v>
      </c>
      <c r="AG139" s="29">
        <f>'[58]16 DNL 20-400'!$J$14</f>
        <v>7.5229836503120335</v>
      </c>
      <c r="AH139" s="23">
        <f>(Data[[#This Row],[DNL (%)]]/100)*Data[[#This Row],[VLDL (umol/L)]]</f>
        <v>15.237742032046754</v>
      </c>
      <c r="AI139" s="43">
        <f>[4]SAMPLES!$L$88</f>
        <v>24.485365749362551</v>
      </c>
      <c r="AJ139" s="59">
        <f>(Data[[#This Row],[Gluconeogensis (%)]]/100)*Data[[#This Row],[Glucose (umol/L)]]</f>
        <v>1.2920927505938617</v>
      </c>
      <c r="AK139" s="27"/>
    </row>
    <row r="140" spans="1:37" s="33" customFormat="1" x14ac:dyDescent="0.25">
      <c r="A140" s="27">
        <v>155</v>
      </c>
      <c r="B140" s="27" t="s">
        <v>241</v>
      </c>
      <c r="C140" s="27" t="s">
        <v>232</v>
      </c>
      <c r="D140" s="27">
        <v>4</v>
      </c>
      <c r="E140" s="27" t="s">
        <v>306</v>
      </c>
      <c r="F140" s="27" t="s">
        <v>228</v>
      </c>
      <c r="G140" s="27">
        <f>G139</f>
        <v>52</v>
      </c>
      <c r="H140" s="27">
        <v>192</v>
      </c>
      <c r="I140" s="27">
        <f>[53]Spectroscopy!$R$11</f>
        <v>89.9</v>
      </c>
      <c r="J140" s="28">
        <f t="shared" si="7"/>
        <v>24.386935763888893</v>
      </c>
      <c r="K140" s="27">
        <f>[53]Spectroscopy!$X$11</f>
        <v>90</v>
      </c>
      <c r="L140" s="27"/>
      <c r="M140" s="29" t="e">
        <f>Data[[#This Row],[Waist_Circumference]]/Data[[#This Row],[Hip_circumference]]</f>
        <v>#DIV/0!</v>
      </c>
      <c r="N140" s="30">
        <f>'[54]DXA data'!$V$19</f>
        <v>16877.364593019</v>
      </c>
      <c r="O140" s="30">
        <f>'[54]DXA data'!$W$19</f>
        <v>67270.597052234996</v>
      </c>
      <c r="P140" s="30">
        <f t="shared" si="8"/>
        <v>84147.961645253992</v>
      </c>
      <c r="Q140" s="29">
        <f>(Data[[#This Row],[Total_fat_g]]/Data[[#This Row],[Total_mass_g]])*100</f>
        <v>20.056771742338331</v>
      </c>
      <c r="R140" s="29">
        <f>(Data[[#This Row],[Lean_mass_g]]/Data[[#This Row],[Total_mass_g]])*100</f>
        <v>79.943228257661673</v>
      </c>
      <c r="S140" s="29">
        <f>'[55]Participant characteristics'!$J$19</f>
        <v>1996.6504112527</v>
      </c>
      <c r="T140" s="29">
        <f>'[53]Iron correction'!$AM$6</f>
        <v>6.0837983371519497</v>
      </c>
      <c r="U140" s="29">
        <f>[56]Glu!$K$6</f>
        <v>5.883</v>
      </c>
      <c r="V140" s="43">
        <f>[56]Ins!$K$6</f>
        <v>8.3849999999999998</v>
      </c>
      <c r="W140" s="29">
        <f>(Data[[#This Row],[Glucose (umol/L)]]*Data[[#This Row],[Insulin (umol/L)]])/22.5</f>
        <v>2.1923979999999998</v>
      </c>
      <c r="X140" s="29">
        <f>[56]NEFA!$K$6</f>
        <v>309.14999999999998</v>
      </c>
      <c r="Y140" s="29">
        <v>1186.837</v>
      </c>
      <c r="Z140" s="29">
        <f>'[56]3OHB'!$K$6</f>
        <v>38.1</v>
      </c>
      <c r="AA140" s="29">
        <f>[57]Cholesterol!$K$7</f>
        <v>4.03</v>
      </c>
      <c r="AB140" s="29">
        <f>[57]Cholesterol!$K$24</f>
        <v>0.87</v>
      </c>
      <c r="AC140" s="29">
        <f>Data[[#This Row],[total_chol (umol/L)]]-Data[[#This Row],[HDL_chol (umol/L)]]</f>
        <v>3.16</v>
      </c>
      <c r="AD140" s="29">
        <f>Data[[#This Row],[Non_HDL (umol/L)]]-(Data[[#This Row],[TAG (umol/L)]]/2200)</f>
        <v>2.6205286363636366</v>
      </c>
      <c r="AE140" s="29">
        <f>[59]concentrations!$K$22</f>
        <v>209.44179827239259</v>
      </c>
      <c r="AF140" s="31">
        <f>'[58]plasma H2O'!$J$4</f>
        <v>3.3542100664012038E-3</v>
      </c>
      <c r="AG140" s="29">
        <f>'[58]16 DNL 20-400'!$J$4</f>
        <v>9.4069506298581729</v>
      </c>
      <c r="AH140" s="23">
        <f>(Data[[#This Row],[DNL (%)]]/100)*Data[[#This Row],[VLDL (umol/L)]]</f>
        <v>19.702086561771118</v>
      </c>
      <c r="AI140" s="29">
        <f>[4]SAMPLES!$L$89</f>
        <v>25.157208438597156</v>
      </c>
      <c r="AJ140" s="59">
        <f>(Data[[#This Row],[Gluconeogensis (%)]]/100)*Data[[#This Row],[Glucose (umol/L)]]</f>
        <v>1.4799985724426707</v>
      </c>
      <c r="AK140" s="27"/>
    </row>
    <row r="141" spans="1:37" s="33" customFormat="1" x14ac:dyDescent="0.25">
      <c r="A141" s="27">
        <v>156</v>
      </c>
      <c r="B141" s="27" t="s">
        <v>242</v>
      </c>
      <c r="C141" s="27" t="s">
        <v>232</v>
      </c>
      <c r="D141" s="27">
        <v>2</v>
      </c>
      <c r="E141" s="27" t="s">
        <v>305</v>
      </c>
      <c r="F141" s="27" t="s">
        <v>228</v>
      </c>
      <c r="G141" s="27">
        <f>[52]Sheet1!$E$13</f>
        <v>51</v>
      </c>
      <c r="H141" s="27">
        <v>175</v>
      </c>
      <c r="I141" s="27">
        <f>[53]Spectroscopy!$T$12</f>
        <v>81.900000000000006</v>
      </c>
      <c r="J141" s="28">
        <f t="shared" si="7"/>
        <v>26.742857142857144</v>
      </c>
      <c r="K141" s="27">
        <f>[53]Spectroscopy!$Z$12</f>
        <v>90</v>
      </c>
      <c r="L141" s="27"/>
      <c r="M141" s="29" t="e">
        <f>Data[[#This Row],[Waist_Circumference]]/Data[[#This Row],[Hip_circumference]]</f>
        <v>#DIV/0!</v>
      </c>
      <c r="N141" s="30">
        <f>'[54]DXA data'!$V$21</f>
        <v>16459.856744096</v>
      </c>
      <c r="O141" s="30">
        <f>'[54]DXA data'!$W$20</f>
        <v>43337.223338306998</v>
      </c>
      <c r="P141" s="30">
        <f t="shared" si="8"/>
        <v>59797.080082403001</v>
      </c>
      <c r="Q141" s="29">
        <f>(Data[[#This Row],[Total_fat_g]]/Data[[#This Row],[Total_mass_g]])*100</f>
        <v>27.526188103856569</v>
      </c>
      <c r="R141" s="29">
        <f>(Data[[#This Row],[Lean_mass_g]]/Data[[#This Row],[Total_mass_g]])*100</f>
        <v>72.473811896143431</v>
      </c>
      <c r="S141" s="29">
        <f>'[55]Participant characteristics'!$J$20</f>
        <v>934.3524325441</v>
      </c>
      <c r="T141" s="29">
        <f>'[53]Iron correction'!$AO$6</f>
        <v>2.1106468364316351</v>
      </c>
      <c r="U141" s="29">
        <f>[56]Glu!$L$22</f>
        <v>4.9489999999999998</v>
      </c>
      <c r="V141" s="43">
        <f>[56]Ins!$L$21</f>
        <v>8.1575000000000006</v>
      </c>
      <c r="W141" s="29">
        <f>(Data[[#This Row],[Glucose (umol/L)]]*Data[[#This Row],[Insulin (umol/L)]])/22.5</f>
        <v>1.7942874444444445</v>
      </c>
      <c r="X141" s="29">
        <f>[56]NEFA!$L$22</f>
        <v>191.7</v>
      </c>
      <c r="Y141" s="29">
        <v>1527.3629999999998</v>
      </c>
      <c r="Z141" s="29">
        <f>'[56]3OHB'!$L$22</f>
        <v>18.276</v>
      </c>
      <c r="AA141" s="29">
        <f>[57]Cholesterol!$L$15</f>
        <v>4.74</v>
      </c>
      <c r="AB141" s="29">
        <f>[57]Cholesterol!$L$32</f>
        <v>1.0900000000000001</v>
      </c>
      <c r="AC141" s="29">
        <f>Data[[#This Row],[total_chol (umol/L)]]-Data[[#This Row],[HDL_chol (umol/L)]]</f>
        <v>3.6500000000000004</v>
      </c>
      <c r="AD141" s="29">
        <f>Data[[#This Row],[Non_HDL (umol/L)]]-(Data[[#This Row],[TAG (umol/L)]]/2200)</f>
        <v>2.9557440909090911</v>
      </c>
      <c r="AE141" s="29">
        <f>[59]concentrations!$AH$22</f>
        <v>549.94791960830275</v>
      </c>
      <c r="AF141" s="31">
        <f>'[58]plasma H2O'!$K$13</f>
        <v>3.2625387578907429E-3</v>
      </c>
      <c r="AG141" s="29">
        <f>'[58]16 DNL 20-400'!$K$14</f>
        <v>16.347803296417133</v>
      </c>
      <c r="AH141" s="23">
        <f>(Data[[#This Row],[DNL (%)]]/100)*Data[[#This Row],[VLDL (umol/L)]]</f>
        <v>89.904404130303561</v>
      </c>
      <c r="AI141" s="29">
        <f>[4]SAMPLES!$L$90</f>
        <v>19.950006915235068</v>
      </c>
      <c r="AJ141" s="59">
        <f>(Data[[#This Row],[Gluconeogensis (%)]]/100)*Data[[#This Row],[Glucose (umol/L)]]</f>
        <v>0.98732584223498354</v>
      </c>
      <c r="AK141" s="27"/>
    </row>
    <row r="142" spans="1:37" s="27" customFormat="1" x14ac:dyDescent="0.25">
      <c r="A142" s="27">
        <v>157</v>
      </c>
      <c r="B142" s="27" t="s">
        <v>242</v>
      </c>
      <c r="C142" s="27" t="s">
        <v>232</v>
      </c>
      <c r="D142" s="27">
        <v>4</v>
      </c>
      <c r="E142" s="27" t="s">
        <v>306</v>
      </c>
      <c r="F142" s="27" t="s">
        <v>228</v>
      </c>
      <c r="G142" s="27">
        <f>G141</f>
        <v>51</v>
      </c>
      <c r="H142" s="27">
        <v>177</v>
      </c>
      <c r="I142" s="27">
        <f>[53]Spectroscopy!$R$12</f>
        <v>81.900000000000006</v>
      </c>
      <c r="J142" s="28">
        <f t="shared" si="7"/>
        <v>26.141913243320886</v>
      </c>
      <c r="K142" s="27">
        <f>[53]Spectroscopy!$X$12</f>
        <v>89</v>
      </c>
      <c r="M142" s="29" t="e">
        <f>Data[[#This Row],[Waist_Circumference]]/Data[[#This Row],[Hip_circumference]]</f>
        <v>#DIV/0!</v>
      </c>
      <c r="N142" s="30">
        <f>'[54]DXA data'!$V$22</f>
        <v>15415.510163584</v>
      </c>
      <c r="O142" s="30">
        <f>'[54]DXA data'!$W$21</f>
        <v>60665.195623387997</v>
      </c>
      <c r="P142" s="30">
        <f t="shared" si="8"/>
        <v>76080.705786972001</v>
      </c>
      <c r="Q142" s="29">
        <f>(Data[[#This Row],[Total_fat_g]]/Data[[#This Row],[Total_mass_g]])*100</f>
        <v>20.262049364720458</v>
      </c>
      <c r="R142" s="29">
        <f>(Data[[#This Row],[Lean_mass_g]]/Data[[#This Row],[Total_mass_g]])*100</f>
        <v>79.737950635279546</v>
      </c>
      <c r="S142" s="29">
        <f>'[55]Participant characteristics'!$J$21</f>
        <v>680.67042496121996</v>
      </c>
      <c r="T142" s="29">
        <f>'[53]Iron correction'!$AQ$6</f>
        <v>2.7465055548735471</v>
      </c>
      <c r="U142" s="29">
        <f>[56]Glu!$L$6</f>
        <v>5.1470000000000002</v>
      </c>
      <c r="V142" s="43">
        <f>[56]Ins!$L$6</f>
        <v>6.8875000000000002</v>
      </c>
      <c r="W142" s="29">
        <f>(Data[[#This Row],[Glucose (umol/L)]]*Data[[#This Row],[Insulin (umol/L)]])/22.5</f>
        <v>1.5755538888888891</v>
      </c>
      <c r="X142" s="29">
        <f>[56]NEFA!$L$6</f>
        <v>376.48099999999999</v>
      </c>
      <c r="Y142" s="29">
        <v>1262.827</v>
      </c>
      <c r="Z142" s="29">
        <f>'[56]3OHB'!$L$6</f>
        <v>56.887999999999998</v>
      </c>
      <c r="AA142" s="29">
        <f>[57]Cholesterol!$L$7</f>
        <v>4.72</v>
      </c>
      <c r="AB142" s="29">
        <f>[57]Cholesterol!$L$24</f>
        <v>1.24</v>
      </c>
      <c r="AC142" s="29">
        <f>Data[[#This Row],[total_chol (umol/L)]]-Data[[#This Row],[HDL_chol (umol/L)]]</f>
        <v>3.4799999999999995</v>
      </c>
      <c r="AD142" s="29">
        <f>Data[[#This Row],[Non_HDL (umol/L)]]-(Data[[#This Row],[TAG (umol/L)]]/2200)</f>
        <v>2.905987727272727</v>
      </c>
      <c r="AE142" s="29">
        <f>[59]concentrations!$L$22</f>
        <v>404.14051850894424</v>
      </c>
      <c r="AF142" s="31">
        <f>'[58]plasma H2O'!$K$4</f>
        <v>3.6242849103011801E-3</v>
      </c>
      <c r="AG142" s="29">
        <f>'[58]16 DNL 20-400'!$K$4</f>
        <v>1.5923501359849002</v>
      </c>
      <c r="AH142" s="23">
        <f>(Data[[#This Row],[DNL (%)]]/100)*Data[[#This Row],[VLDL (umol/L)]]</f>
        <v>6.4353320960472535</v>
      </c>
      <c r="AI142" s="29">
        <f>[4]SAMPLES!$L$91</f>
        <v>32.183317781046782</v>
      </c>
      <c r="AJ142" s="59">
        <f>(Data[[#This Row],[Gluconeogensis (%)]]/100)*Data[[#This Row],[Glucose (umol/L)]]</f>
        <v>1.6564753661904781</v>
      </c>
    </row>
    <row r="143" spans="1:37" s="27" customFormat="1" x14ac:dyDescent="0.25">
      <c r="A143" s="27">
        <v>158</v>
      </c>
      <c r="B143" s="27" t="s">
        <v>243</v>
      </c>
      <c r="C143" s="27" t="s">
        <v>232</v>
      </c>
      <c r="D143" s="27">
        <v>2</v>
      </c>
      <c r="E143" s="27" t="s">
        <v>305</v>
      </c>
      <c r="F143" s="27" t="s">
        <v>228</v>
      </c>
      <c r="G143" s="27">
        <f>[52]Sheet1!$E$14</f>
        <v>47</v>
      </c>
      <c r="H143" s="27">
        <v>173</v>
      </c>
      <c r="I143" s="27">
        <f>[53]Spectroscopy!$T$13</f>
        <v>86.7</v>
      </c>
      <c r="J143" s="28">
        <f t="shared" si="7"/>
        <v>28.96855892278392</v>
      </c>
      <c r="K143" s="27">
        <f>[53]Spectroscopy!$Z$13</f>
        <v>100</v>
      </c>
      <c r="M143" s="29" t="e">
        <f>Data[[#This Row],[Waist_Circumference]]/Data[[#This Row],[Hip_circumference]]</f>
        <v>#DIV/0!</v>
      </c>
      <c r="N143" s="30">
        <f>'[54]DXA data'!$V$23</f>
        <v>27821.548618183999</v>
      </c>
      <c r="O143" s="30">
        <f>'[54]DXA data'!$W$22</f>
        <v>61205.207879586997</v>
      </c>
      <c r="P143" s="30">
        <f t="shared" si="8"/>
        <v>89026.756497770999</v>
      </c>
      <c r="Q143" s="29">
        <f>(Data[[#This Row],[Total_fat_g]]/Data[[#This Row],[Total_mass_g]])*100</f>
        <v>31.250771916957998</v>
      </c>
      <c r="R143" s="29">
        <f>(Data[[#This Row],[Lean_mass_g]]/Data[[#This Row],[Total_mass_g]])*100</f>
        <v>68.749228083041999</v>
      </c>
      <c r="S143" s="29">
        <f>'[55]Participant characteristics'!$J$22</f>
        <v>1980.0113785724</v>
      </c>
      <c r="T143" s="29">
        <f>[53]Spectroscopy!$P$37</f>
        <v>15.08</v>
      </c>
      <c r="U143" s="43">
        <f>[60]Glucose!$C$20</f>
        <v>4.8529999999999998</v>
      </c>
      <c r="V143" s="43">
        <f>[56]Ins!$M$21</f>
        <v>6.7490000000000006</v>
      </c>
      <c r="W143" s="29">
        <f>(Data[[#This Row],[Glucose (umol/L)]]*Data[[#This Row],[Insulin (umol/L)]])/22.5</f>
        <v>1.4556843111111113</v>
      </c>
      <c r="X143" s="29">
        <f>[56]NEFA!$M$22</f>
        <v>395.3</v>
      </c>
      <c r="Y143" s="29">
        <v>546.70000000000005</v>
      </c>
      <c r="Z143" s="29">
        <f>'[56]3OHB'!$M$22</f>
        <v>73</v>
      </c>
      <c r="AA143" s="29">
        <f>[57]Cholesterol!$M$15</f>
        <v>3.77</v>
      </c>
      <c r="AB143" s="29">
        <f>[57]Cholesterol!$M$32</f>
        <v>1.01</v>
      </c>
      <c r="AC143" s="29">
        <f>Data[[#This Row],[total_chol (umol/L)]]-Data[[#This Row],[HDL_chol (umol/L)]]</f>
        <v>2.76</v>
      </c>
      <c r="AD143" s="29">
        <f>Data[[#This Row],[Non_HDL (umol/L)]]-(Data[[#This Row],[TAG (umol/L)]]/2200)</f>
        <v>2.5114999999999998</v>
      </c>
      <c r="AE143" s="29">
        <f>[59]concentrations!$AI$22</f>
        <v>103.94065667435733</v>
      </c>
      <c r="AF143" s="31">
        <f>'[58]plasma H2O'!$L$13</f>
        <v>3.5945397333543398E-3</v>
      </c>
      <c r="AG143" s="29">
        <f>'[58]16 DNL 20-400'!$L$14</f>
        <v>6.4611654228796169</v>
      </c>
      <c r="AH143" s="23">
        <f>(Data[[#This Row],[DNL (%)]]/100)*Data[[#This Row],[VLDL (umol/L)]]</f>
        <v>6.7157777693575902</v>
      </c>
      <c r="AI143" s="29">
        <f>[4]SAMPLES!$L$92</f>
        <v>29.118303620112258</v>
      </c>
      <c r="AJ143" s="59">
        <f>(Data[[#This Row],[Gluconeogensis (%)]]/100)*Data[[#This Row],[Glucose (umol/L)]]</f>
        <v>1.4131112746840477</v>
      </c>
    </row>
    <row r="144" spans="1:37" s="27" customFormat="1" x14ac:dyDescent="0.25">
      <c r="A144" s="27">
        <v>159</v>
      </c>
      <c r="B144" s="27" t="s">
        <v>243</v>
      </c>
      <c r="C144" s="27" t="s">
        <v>232</v>
      </c>
      <c r="D144" s="27">
        <v>4</v>
      </c>
      <c r="E144" s="27" t="s">
        <v>306</v>
      </c>
      <c r="F144" s="27" t="s">
        <v>228</v>
      </c>
      <c r="G144" s="27">
        <f>G143</f>
        <v>47</v>
      </c>
      <c r="H144" s="27">
        <v>173</v>
      </c>
      <c r="I144" s="27">
        <f>[53]Spectroscopy!$R$13</f>
        <v>85.4</v>
      </c>
      <c r="J144" s="28">
        <f t="shared" si="7"/>
        <v>28.534197600989007</v>
      </c>
      <c r="K144" s="27">
        <f>[53]Spectroscopy!$X$13</f>
        <v>99</v>
      </c>
      <c r="M144" s="29" t="e">
        <f>Data[[#This Row],[Waist_Circumference]]/Data[[#This Row],[Hip_circumference]]</f>
        <v>#DIV/0!</v>
      </c>
      <c r="N144" s="30">
        <f>'[54]DXA data'!$V$24</f>
        <v>25852.959409444</v>
      </c>
      <c r="O144" s="30">
        <f>'[54]DXA data'!$W$23</f>
        <v>55976.907984226003</v>
      </c>
      <c r="P144" s="30">
        <f t="shared" si="8"/>
        <v>81829.867393670007</v>
      </c>
      <c r="Q144" s="29">
        <f>(Data[[#This Row],[Total_fat_g]]/Data[[#This Row],[Total_mass_g]])*100</f>
        <v>31.593549192826714</v>
      </c>
      <c r="R144" s="29">
        <f>(Data[[#This Row],[Lean_mass_g]]/Data[[#This Row],[Total_mass_g]])*100</f>
        <v>68.406450807173286</v>
      </c>
      <c r="S144" s="29">
        <f>'[55]Participant characteristics'!$J$23</f>
        <v>1753.8372768398001</v>
      </c>
      <c r="T144" s="29">
        <f>[53]Spectroscopy!$M$37</f>
        <v>11.84</v>
      </c>
      <c r="U144" s="29">
        <f>[60]Glucose!$C$5</f>
        <v>5.54</v>
      </c>
      <c r="V144" s="43">
        <f>[56]Ins!$M$6</f>
        <v>2.056</v>
      </c>
      <c r="W144" s="29">
        <f>(Data[[#This Row],[Glucose (umol/L)]]*Data[[#This Row],[Insulin (umol/L)]])/22.5</f>
        <v>0.50623288888888895</v>
      </c>
      <c r="X144" s="29">
        <f>[56]NEFA!$M$6</f>
        <v>500.4</v>
      </c>
      <c r="Y144" s="29">
        <v>962.8</v>
      </c>
      <c r="Z144" s="29">
        <f>'[56]3OHB'!$M$6</f>
        <v>75.599999999999994</v>
      </c>
      <c r="AA144" s="29">
        <f>[57]Cholesterol!$M$7</f>
        <v>5.05</v>
      </c>
      <c r="AB144" s="29">
        <f>[57]Cholesterol!$M$24</f>
        <v>1.22</v>
      </c>
      <c r="AC144" s="29">
        <f>Data[[#This Row],[total_chol (umol/L)]]-Data[[#This Row],[HDL_chol (umol/L)]]</f>
        <v>3.83</v>
      </c>
      <c r="AD144" s="29">
        <f>Data[[#This Row],[Non_HDL (umol/L)]]-(Data[[#This Row],[TAG (umol/L)]]/2200)</f>
        <v>3.3923636363636365</v>
      </c>
      <c r="AE144" s="29">
        <f>[59]concentrations!$M$22</f>
        <v>136.0481483855776</v>
      </c>
      <c r="AF144" s="31">
        <f>'[58]plasma H2O'!$L$4</f>
        <v>3.5767405922941661E-3</v>
      </c>
      <c r="AG144" s="29">
        <f>'[58]16 DNL 20-400'!$L$4</f>
        <v>3.9142528056106149</v>
      </c>
      <c r="AH144" s="23">
        <f>(Data[[#This Row],[DNL (%)]]/100)*Data[[#This Row],[VLDL (umol/L)]]</f>
        <v>5.3252684651637638</v>
      </c>
      <c r="AI144" s="29">
        <f>[4]SAMPLES!$L$93</f>
        <v>19.584621087780832</v>
      </c>
      <c r="AJ144" s="59">
        <f>(Data[[#This Row],[Gluconeogensis (%)]]/100)*Data[[#This Row],[Glucose (umol/L)]]</f>
        <v>1.0849880082630581</v>
      </c>
    </row>
    <row r="145" spans="1:37" s="27" customFormat="1" x14ac:dyDescent="0.25">
      <c r="A145" s="27">
        <v>160</v>
      </c>
      <c r="B145" s="27" t="s">
        <v>244</v>
      </c>
      <c r="C145" s="27" t="s">
        <v>232</v>
      </c>
      <c r="D145" s="27">
        <v>2</v>
      </c>
      <c r="E145" s="27" t="s">
        <v>306</v>
      </c>
      <c r="F145" s="27" t="s">
        <v>228</v>
      </c>
      <c r="G145" s="27">
        <f>[52]Sheet1!$E$15</f>
        <v>50</v>
      </c>
      <c r="H145" s="27">
        <v>170</v>
      </c>
      <c r="I145" s="27">
        <f>[53]Spectroscopy!$R$14</f>
        <v>80.5</v>
      </c>
      <c r="J145" s="28">
        <f t="shared" si="7"/>
        <v>27.854671280276818</v>
      </c>
      <c r="K145" s="27">
        <f>[53]Spectroscopy!$X$14</f>
        <v>95</v>
      </c>
      <c r="M145" s="29" t="e">
        <f>Data[[#This Row],[Waist_Circumference]]/Data[[#This Row],[Hip_circumference]]</f>
        <v>#DIV/0!</v>
      </c>
      <c r="N145" s="30">
        <f>'[54]DXA data'!$V$25</f>
        <v>21047.432104103998</v>
      </c>
      <c r="O145" s="30">
        <f>'[54]DXA data'!$W$24</f>
        <v>56320.562356927003</v>
      </c>
      <c r="P145" s="30">
        <f t="shared" si="8"/>
        <v>77367.994461031005</v>
      </c>
      <c r="Q145" s="29">
        <f>(Data[[#This Row],[Total_fat_g]]/Data[[#This Row],[Total_mass_g]])*100</f>
        <v>27.204313942382523</v>
      </c>
      <c r="R145" s="29">
        <f>(Data[[#This Row],[Lean_mass_g]]/Data[[#This Row],[Total_mass_g]])*100</f>
        <v>72.795686057617473</v>
      </c>
      <c r="S145" s="29">
        <f>'[55]Participant characteristics'!$J$24</f>
        <v>958.14586638581</v>
      </c>
      <c r="T145" s="29">
        <f>'[53]Iron correction'!$AW$6</f>
        <v>7.8900576899891686</v>
      </c>
      <c r="U145" s="29">
        <f>[56]Glu!$N$6</f>
        <v>6.0910000000000002</v>
      </c>
      <c r="V145" s="43">
        <f>[56]Ins!$N$6</f>
        <v>9.6980000000000004</v>
      </c>
      <c r="W145" s="29">
        <f>(Data[[#This Row],[Glucose (umol/L)]]*Data[[#This Row],[Insulin (umol/L)]])/22.5</f>
        <v>2.6253563555555557</v>
      </c>
      <c r="X145" s="29">
        <f>[56]NEFA!$N$6</f>
        <v>384.2</v>
      </c>
      <c r="Y145" s="29">
        <v>1527.9</v>
      </c>
      <c r="Z145" s="29">
        <f>'[56]3OHB'!$N$6</f>
        <v>30.3</v>
      </c>
      <c r="AA145" s="29">
        <f>[57]Cholesterol!$N$7</f>
        <v>3.83</v>
      </c>
      <c r="AB145" s="29">
        <f>[57]Cholesterol!$N$24</f>
        <v>0.89</v>
      </c>
      <c r="AC145" s="29">
        <f>Data[[#This Row],[total_chol (umol/L)]]-Data[[#This Row],[HDL_chol (umol/L)]]</f>
        <v>2.94</v>
      </c>
      <c r="AD145" s="29">
        <f>Data[[#This Row],[Non_HDL (umol/L)]]-(Data[[#This Row],[TAG (umol/L)]]/2200)</f>
        <v>2.2454999999999998</v>
      </c>
      <c r="AE145" s="29">
        <f>[59]concentrations!$N$22</f>
        <v>75.744109090909092</v>
      </c>
      <c r="AF145" s="31">
        <f>'[58]plasma H2O'!$M$4</f>
        <v>3.231763803790992E-3</v>
      </c>
      <c r="AG145" s="29">
        <f>'[58]16 DNL 20-400'!$M$4</f>
        <v>8.0493189755567425</v>
      </c>
      <c r="AH145" s="23">
        <f>(Data[[#This Row],[DNL (%)]]/100)*Data[[#This Row],[VLDL (umol/L)]]</f>
        <v>6.0968849459209444</v>
      </c>
      <c r="AI145" s="29">
        <f>[4]SAMPLES!$L$94</f>
        <v>27.183083736844573</v>
      </c>
      <c r="AJ145" s="59">
        <f>(Data[[#This Row],[Gluconeogensis (%)]]/100)*Data[[#This Row],[Glucose (umol/L)]]</f>
        <v>1.6557216304112028</v>
      </c>
    </row>
    <row r="146" spans="1:37" s="27" customFormat="1" x14ac:dyDescent="0.25">
      <c r="A146" s="27">
        <v>161</v>
      </c>
      <c r="B146" s="27" t="s">
        <v>244</v>
      </c>
      <c r="C146" s="27" t="s">
        <v>232</v>
      </c>
      <c r="D146" s="27">
        <v>4</v>
      </c>
      <c r="E146" s="27" t="s">
        <v>305</v>
      </c>
      <c r="F146" s="27" t="s">
        <v>228</v>
      </c>
      <c r="G146" s="27">
        <f>G145</f>
        <v>50</v>
      </c>
      <c r="H146" s="27">
        <v>170</v>
      </c>
      <c r="I146" s="27">
        <f>[53]Spectroscopy!$T$14</f>
        <v>81.3</v>
      </c>
      <c r="J146" s="28">
        <f t="shared" si="7"/>
        <v>28.131487889273359</v>
      </c>
      <c r="K146" s="27">
        <f>[53]Spectroscopy!$Z$14</f>
        <v>96</v>
      </c>
      <c r="M146" s="29" t="e">
        <f>Data[[#This Row],[Waist_Circumference]]/Data[[#This Row],[Hip_circumference]]</f>
        <v>#DIV/0!</v>
      </c>
      <c r="N146" s="30">
        <f>'[54]DXA data'!$V$25</f>
        <v>21047.432104103998</v>
      </c>
      <c r="O146" s="30">
        <f>'[54]DXA data'!$W$25</f>
        <v>54937.307497041998</v>
      </c>
      <c r="P146" s="30">
        <f t="shared" si="8"/>
        <v>75984.739601145993</v>
      </c>
      <c r="Q146" s="29">
        <f>(Data[[#This Row],[Total_fat_g]]/Data[[#This Row],[Total_mass_g]])*100</f>
        <v>27.699551534406474</v>
      </c>
      <c r="R146" s="29">
        <f>(Data[[#This Row],[Lean_mass_g]]/Data[[#This Row],[Total_mass_g]])*100</f>
        <v>72.300448465593533</v>
      </c>
      <c r="S146" s="29">
        <f>'[55]Participant characteristics'!$J$25</f>
        <v>958.14586638581</v>
      </c>
      <c r="T146" s="29">
        <f>'[53]Iron correction'!$AY$6</f>
        <v>10.173899645492964</v>
      </c>
      <c r="U146" s="29">
        <f>[56]Glu!$N$22</f>
        <v>6.4089999999999998</v>
      </c>
      <c r="V146" s="43">
        <f>[56]Ins!$N$21</f>
        <v>6.5035000000000007</v>
      </c>
      <c r="W146" s="29">
        <f>(Data[[#This Row],[Glucose (umol/L)]]*Data[[#This Row],[Insulin (umol/L)]])/22.5</f>
        <v>1.8524858444444448</v>
      </c>
      <c r="X146" s="29">
        <f>[56]NEFA!$N$22</f>
        <v>558.29999999999995</v>
      </c>
      <c r="Y146" s="29">
        <v>1883.5</v>
      </c>
      <c r="Z146" s="29">
        <f>'[56]3OHB'!$N$22</f>
        <v>75</v>
      </c>
      <c r="AA146" s="29">
        <f>[57]Cholesterol!$N$15</f>
        <v>4.05</v>
      </c>
      <c r="AB146" s="29">
        <f>[57]Cholesterol!$N$32</f>
        <v>1.02</v>
      </c>
      <c r="AC146" s="29">
        <f>Data[[#This Row],[total_chol (umol/L)]]-Data[[#This Row],[HDL_chol (umol/L)]]</f>
        <v>3.03</v>
      </c>
      <c r="AD146" s="29">
        <f>Data[[#This Row],[Non_HDL (umol/L)]]-(Data[[#This Row],[TAG (umol/L)]]/2200)</f>
        <v>2.1738636363636363</v>
      </c>
      <c r="AE146" s="29">
        <f>[59]concentrations!$AJ$22</f>
        <v>450.96148988223081</v>
      </c>
      <c r="AF146" s="31">
        <f>'[58]plasma H2O'!$M$13</f>
        <v>3.1081410459913687E-3</v>
      </c>
      <c r="AG146" s="29">
        <f>'[58]16 DNL 20-400'!$M$14</f>
        <v>1.9348157069555061</v>
      </c>
      <c r="AH146" s="23">
        <f>(Data[[#This Row],[DNL (%)]]/100)*Data[[#This Row],[VLDL (umol/L)]]</f>
        <v>8.7252737385619668</v>
      </c>
      <c r="AI146" s="29">
        <f>[4]SAMPLES!$L$95</f>
        <v>36.520778827828202</v>
      </c>
      <c r="AJ146" s="59">
        <f>(Data[[#This Row],[Gluconeogensis (%)]]/100)*Data[[#This Row],[Glucose (umol/L)]]</f>
        <v>2.3406167150755097</v>
      </c>
    </row>
    <row r="147" spans="1:37" s="27" customFormat="1" x14ac:dyDescent="0.25">
      <c r="A147" s="27">
        <v>162</v>
      </c>
      <c r="B147" s="27" t="s">
        <v>245</v>
      </c>
      <c r="C147" s="27" t="s">
        <v>232</v>
      </c>
      <c r="D147" s="27">
        <v>2</v>
      </c>
      <c r="E147" s="27" t="s">
        <v>306</v>
      </c>
      <c r="F147" s="27" t="s">
        <v>228</v>
      </c>
      <c r="G147" s="27">
        <f>[52]Sheet1!$E$16</f>
        <v>52</v>
      </c>
      <c r="H147" s="27">
        <v>180</v>
      </c>
      <c r="I147" s="27">
        <f>[53]Spectroscopy!$R$15</f>
        <v>90.5</v>
      </c>
      <c r="J147" s="28">
        <f t="shared" si="7"/>
        <v>27.932098765432098</v>
      </c>
      <c r="K147" s="27">
        <f>[53]Spectroscopy!$X$15</f>
        <v>102</v>
      </c>
      <c r="M147" s="29" t="e">
        <f>Data[[#This Row],[Waist_Circumference]]/Data[[#This Row],[Hip_circumference]]</f>
        <v>#DIV/0!</v>
      </c>
      <c r="N147" s="30">
        <f>'[54]DXA data'!$V$26</f>
        <v>23143.81812055</v>
      </c>
      <c r="O147" s="30">
        <f>'[54]DXA data'!$W$25</f>
        <v>54937.307497041998</v>
      </c>
      <c r="P147" s="30">
        <f t="shared" si="8"/>
        <v>78081.125617591999</v>
      </c>
      <c r="Q147" s="29">
        <f>(Data[[#This Row],[Total_fat_g]]/Data[[#This Row],[Total_mass_g]])*100</f>
        <v>29.640733195751473</v>
      </c>
      <c r="R147" s="29">
        <f>(Data[[#This Row],[Lean_mass_g]]/Data[[#This Row],[Total_mass_g]])*100</f>
        <v>70.35926680424852</v>
      </c>
      <c r="S147" s="29">
        <f>'[55]Participant characteristics'!$J$26</f>
        <v>1643.1254481286001</v>
      </c>
      <c r="T147" s="29">
        <f>'[53]Iron correction'!$BA$6</f>
        <v>2.2282993513143681</v>
      </c>
      <c r="U147" s="29">
        <f>[56]Glu!$O$6</f>
        <v>6.0380000000000003</v>
      </c>
      <c r="V147" s="43">
        <f>[56]Ins!$O$6</f>
        <v>13.8085</v>
      </c>
      <c r="W147" s="29">
        <f>(Data[[#This Row],[Glucose (umol/L)]]*Data[[#This Row],[Insulin (umol/L)]])/22.5</f>
        <v>3.7055876888888895</v>
      </c>
      <c r="X147" s="29">
        <f>[56]NEFA!$O$6</f>
        <v>256.10000000000002</v>
      </c>
      <c r="Y147" s="29">
        <v>966.19999999999993</v>
      </c>
      <c r="Z147" s="29">
        <f>'[56]3OHB'!$O$6</f>
        <v>26.3</v>
      </c>
      <c r="AA147" s="29">
        <f>[57]Cholesterol!$O$7</f>
        <v>4.78</v>
      </c>
      <c r="AB147" s="29">
        <f>[57]Cholesterol!$O$24</f>
        <v>1.1100000000000001</v>
      </c>
      <c r="AC147" s="29">
        <f>Data[[#This Row],[total_chol (umol/L)]]-Data[[#This Row],[HDL_chol (umol/L)]]</f>
        <v>3.67</v>
      </c>
      <c r="AD147" s="29">
        <f>Data[[#This Row],[Non_HDL (umol/L)]]-(Data[[#This Row],[TAG (umol/L)]]/2200)</f>
        <v>3.2308181818181816</v>
      </c>
      <c r="AE147" s="29">
        <f>[59]concentrations!$O$22</f>
        <v>126.46432188321359</v>
      </c>
      <c r="AF147" s="31">
        <f>'[58]plasma H2O'!$N$4</f>
        <v>3.2417759491745243E-3</v>
      </c>
      <c r="AG147" s="29">
        <f>'[58]16 DNL 20-400'!$N$4</f>
        <v>5.5563109555892867</v>
      </c>
      <c r="AH147" s="23">
        <f>(Data[[#This Row],[DNL (%)]]/100)*Data[[#This Row],[VLDL (umol/L)]]</f>
        <v>7.0267509717086964</v>
      </c>
      <c r="AI147" s="29">
        <f>[4]SAMPLES!$L$96</f>
        <v>20.422277337116533</v>
      </c>
      <c r="AJ147" s="59">
        <f>(Data[[#This Row],[Gluconeogensis (%)]]/100)*Data[[#This Row],[Glucose (umol/L)]]</f>
        <v>1.2330971056150963</v>
      </c>
    </row>
    <row r="148" spans="1:37" s="27" customFormat="1" x14ac:dyDescent="0.25">
      <c r="A148" s="27">
        <v>163</v>
      </c>
      <c r="B148" s="27" t="s">
        <v>245</v>
      </c>
      <c r="C148" s="27" t="s">
        <v>232</v>
      </c>
      <c r="D148" s="27">
        <v>4</v>
      </c>
      <c r="E148" s="27" t="s">
        <v>305</v>
      </c>
      <c r="F148" s="27" t="s">
        <v>228</v>
      </c>
      <c r="G148" s="27">
        <f>G147</f>
        <v>52</v>
      </c>
      <c r="H148" s="27">
        <v>180</v>
      </c>
      <c r="I148" s="27">
        <f>[53]Spectroscopy!$T$15</f>
        <v>90.2</v>
      </c>
      <c r="J148" s="28">
        <f t="shared" si="7"/>
        <v>27.839506172839506</v>
      </c>
      <c r="K148" s="27">
        <f>[53]Spectroscopy!$Z$15</f>
        <v>103</v>
      </c>
      <c r="M148" s="29" t="e">
        <f>Data[[#This Row],[Waist_Circumference]]/Data[[#This Row],[Hip_circumference]]</f>
        <v>#DIV/0!</v>
      </c>
      <c r="N148" s="30">
        <f>'[54]DXA data'!$V$27</f>
        <v>25231.491732339</v>
      </c>
      <c r="O148" s="30">
        <f>'[54]DXA data'!$W$26</f>
        <v>62927.453943665998</v>
      </c>
      <c r="P148" s="30">
        <f t="shared" si="8"/>
        <v>88158.945676004994</v>
      </c>
      <c r="Q148" s="29">
        <f>(Data[[#This Row],[Total_fat_g]]/Data[[#This Row],[Total_mass_g]])*100</f>
        <v>28.620455404568752</v>
      </c>
      <c r="R148" s="29">
        <f>(Data[[#This Row],[Lean_mass_g]]/Data[[#This Row],[Total_mass_g]])*100</f>
        <v>71.379544595431256</v>
      </c>
      <c r="S148" s="29">
        <f>'[55]Participant characteristics'!$J$27</f>
        <v>1868.4301533257001</v>
      </c>
      <c r="T148" s="29">
        <f>'[53]Iron correction'!$BC$6</f>
        <v>1.4857794366321171</v>
      </c>
      <c r="U148" s="29">
        <f>[56]Glu!$O$22</f>
        <v>5.6159999999999997</v>
      </c>
      <c r="V148" s="43">
        <f>[56]Ins!$O$21</f>
        <v>11.428000000000001</v>
      </c>
      <c r="W148" s="29">
        <f>(Data[[#This Row],[Glucose (umol/L)]]*Data[[#This Row],[Insulin (umol/L)]])/22.5</f>
        <v>2.8524288000000002</v>
      </c>
      <c r="X148" s="29">
        <f>[56]NEFA!$O$22</f>
        <v>336.7</v>
      </c>
      <c r="Y148" s="29">
        <v>1604.4</v>
      </c>
      <c r="Z148" s="29">
        <f>'[56]3OHB'!$O$22</f>
        <v>26.2</v>
      </c>
      <c r="AA148" s="29">
        <f>[57]Cholesterol!$O$15</f>
        <v>4.0999999999999996</v>
      </c>
      <c r="AB148" s="29">
        <f>[57]Cholesterol!$O$32</f>
        <v>0.85</v>
      </c>
      <c r="AC148" s="29">
        <f>Data[[#This Row],[total_chol (umol/L)]]-Data[[#This Row],[HDL_chol (umol/L)]]</f>
        <v>3.2499999999999996</v>
      </c>
      <c r="AD148" s="29">
        <f>Data[[#This Row],[Non_HDL (umol/L)]]-(Data[[#This Row],[TAG (umol/L)]]/2200)</f>
        <v>2.5207272727272723</v>
      </c>
      <c r="AE148" s="29">
        <f>[59]concentrations!$AK$22</f>
        <v>339.46551162121835</v>
      </c>
      <c r="AF148" s="31">
        <f>'[58]plasma H2O'!$N$13</f>
        <v>2.8742163249293688E-3</v>
      </c>
      <c r="AG148" s="29">
        <f>'[58]16 DNL 20-400'!$N$14</f>
        <v>5.6090200617632213</v>
      </c>
      <c r="AH148" s="23">
        <f>(Data[[#This Row],[DNL (%)]]/100)*Data[[#This Row],[VLDL (umol/L)]]</f>
        <v>19.040688649601297</v>
      </c>
      <c r="AI148" s="29">
        <f>[4]SAMPLES!$L$97</f>
        <v>15.231876070260814</v>
      </c>
      <c r="AJ148" s="59">
        <f>(Data[[#This Row],[Gluconeogensis (%)]]/100)*Data[[#This Row],[Glucose (umol/L)]]</f>
        <v>0.85542216010584726</v>
      </c>
    </row>
    <row r="149" spans="1:37" s="27" customFormat="1" x14ac:dyDescent="0.25">
      <c r="A149" s="27">
        <v>164</v>
      </c>
      <c r="B149" s="27" t="s">
        <v>246</v>
      </c>
      <c r="C149" s="27" t="s">
        <v>232</v>
      </c>
      <c r="D149" s="27">
        <v>2</v>
      </c>
      <c r="E149" s="27" t="s">
        <v>305</v>
      </c>
      <c r="F149" s="27" t="s">
        <v>228</v>
      </c>
      <c r="G149" s="27">
        <f>[52]Sheet1!$E$17</f>
        <v>48</v>
      </c>
      <c r="H149" s="27">
        <v>178</v>
      </c>
      <c r="I149" s="27">
        <f>[53]Spectroscopy!$T$16</f>
        <v>90.6</v>
      </c>
      <c r="J149" s="28">
        <f t="shared" si="7"/>
        <v>28.594874384547403</v>
      </c>
      <c r="K149" s="27">
        <f>[53]Spectroscopy!$Z$16</f>
        <v>93</v>
      </c>
      <c r="M149" s="29" t="e">
        <f>Data[[#This Row],[Waist_Circumference]]/Data[[#This Row],[Hip_circumference]]</f>
        <v>#DIV/0!</v>
      </c>
      <c r="N149" s="30">
        <f>'[54]DXA data'!$V$28</f>
        <v>21141.459804912</v>
      </c>
      <c r="O149" s="30">
        <f>'[54]DXA data'!$W$27</f>
        <v>62056.393597454</v>
      </c>
      <c r="P149" s="30">
        <f t="shared" si="8"/>
        <v>83197.853402366003</v>
      </c>
      <c r="Q149" s="29">
        <f>(Data[[#This Row],[Total_fat_g]]/Data[[#This Row],[Total_mass_g]])*100</f>
        <v>25.41106403631175</v>
      </c>
      <c r="R149" s="29">
        <f>(Data[[#This Row],[Lean_mass_g]]/Data[[#This Row],[Total_mass_g]])*100</f>
        <v>74.588935963688243</v>
      </c>
      <c r="S149" s="29">
        <f>'[55]Participant characteristics'!$J$28</f>
        <v>1069.9785422709001</v>
      </c>
      <c r="T149" s="29">
        <f>'[53]Iron correction'!$BE$6</f>
        <v>5.6479514186004307</v>
      </c>
      <c r="U149" s="29">
        <f>[56]Glu!$P$22</f>
        <v>5.1559999999999997</v>
      </c>
      <c r="V149" s="43">
        <f>[56]Ins!$P$21</f>
        <v>7.3784999999999998</v>
      </c>
      <c r="W149" s="29">
        <f>(Data[[#This Row],[Glucose (umol/L)]]*Data[[#This Row],[Insulin (umol/L)]])/22.5</f>
        <v>1.6908242666666666</v>
      </c>
      <c r="X149" s="29">
        <f>[56]NEFA!$P$22</f>
        <v>381.1</v>
      </c>
      <c r="Y149" s="29">
        <v>1093.8999999999999</v>
      </c>
      <c r="Z149" s="29">
        <f>'[56]3OHB'!$P$22</f>
        <v>21.9</v>
      </c>
      <c r="AA149" s="29">
        <f>[57]Cholesterol!$P$15</f>
        <v>3.71</v>
      </c>
      <c r="AB149" s="29">
        <f>[57]Cholesterol!$P$32</f>
        <v>0.72</v>
      </c>
      <c r="AC149" s="29">
        <f>Data[[#This Row],[total_chol (umol/L)]]-Data[[#This Row],[HDL_chol (umol/L)]]</f>
        <v>2.99</v>
      </c>
      <c r="AD149" s="29">
        <f>Data[[#This Row],[Non_HDL (umol/L)]]-(Data[[#This Row],[TAG (umol/L)]]/2200)</f>
        <v>2.4927727272727274</v>
      </c>
      <c r="AE149" s="29">
        <f>[59]concentrations!$AL$22</f>
        <v>207.1310046330486</v>
      </c>
      <c r="AF149" s="31">
        <f>'[58]plasma H2O'!$O$13</f>
        <v>3.3281768058524832E-3</v>
      </c>
      <c r="AG149" s="29">
        <f>'[58]16 DNL 20-400'!$O$14</f>
        <v>9.7562254563401041</v>
      </c>
      <c r="AH149" s="23">
        <f>(Data[[#This Row],[DNL (%)]]/100)*Data[[#This Row],[VLDL (umol/L)]]</f>
        <v>20.208167801982487</v>
      </c>
      <c r="AI149" s="29">
        <f>[4]SAMPLES!$L$98</f>
        <v>42.765305950779137</v>
      </c>
      <c r="AJ149" s="59">
        <f>(Data[[#This Row],[Gluconeogensis (%)]]/100)*Data[[#This Row],[Glucose (umol/L)]]</f>
        <v>2.2049791748221721</v>
      </c>
    </row>
    <row r="150" spans="1:37" s="27" customFormat="1" x14ac:dyDescent="0.25">
      <c r="A150" s="27">
        <v>165</v>
      </c>
      <c r="B150" s="27" t="s">
        <v>246</v>
      </c>
      <c r="C150" s="27" t="s">
        <v>232</v>
      </c>
      <c r="D150" s="27">
        <v>4</v>
      </c>
      <c r="E150" s="27" t="s">
        <v>306</v>
      </c>
      <c r="F150" s="27" t="s">
        <v>228</v>
      </c>
      <c r="G150" s="27">
        <f>G149</f>
        <v>48</v>
      </c>
      <c r="H150" s="27">
        <v>178</v>
      </c>
      <c r="I150" s="27">
        <f>[53]Spectroscopy!$R$16</f>
        <v>91.6</v>
      </c>
      <c r="J150" s="28">
        <f t="shared" si="7"/>
        <v>28.910491099608631</v>
      </c>
      <c r="K150" s="27">
        <f>[53]Spectroscopy!$X$16</f>
        <v>100</v>
      </c>
      <c r="M150" s="29" t="e">
        <f>Data[[#This Row],[Waist_Circumference]]/Data[[#This Row],[Hip_circumference]]</f>
        <v>#DIV/0!</v>
      </c>
      <c r="N150" s="30">
        <f>'[54]DXA data'!$V$30</f>
        <v>28232.215788938</v>
      </c>
      <c r="O150" s="30">
        <f>'[54]DXA data'!$W$29</f>
        <v>54772.561258226</v>
      </c>
      <c r="P150" s="30">
        <f t="shared" si="8"/>
        <v>83004.777047163996</v>
      </c>
      <c r="Q150" s="29">
        <f>(Data[[#This Row],[Total_fat_g]]/Data[[#This Row],[Total_mass_g]])*100</f>
        <v>34.012760220892133</v>
      </c>
      <c r="R150" s="29">
        <f>(Data[[#This Row],[Lean_mass_g]]/Data[[#This Row],[Total_mass_g]])*100</f>
        <v>65.987239779107881</v>
      </c>
      <c r="S150" s="29">
        <f>'[55]Participant characteristics'!$J$29</f>
        <v>1552.809327788</v>
      </c>
      <c r="T150" s="29">
        <f>'[53]Iron correction'!$BG$6</f>
        <v>6.4943075976990841</v>
      </c>
      <c r="U150" s="29">
        <f>[56]Glu!$P$6</f>
        <v>4.625</v>
      </c>
      <c r="V150" s="29">
        <f>[56]Ins!$P$6</f>
        <v>7.3784999999999998</v>
      </c>
      <c r="W150" s="29">
        <f>(Data[[#This Row],[Glucose (umol/L)]]*Data[[#This Row],[Insulin (umol/L)]])/22.5</f>
        <v>1.5166916666666668</v>
      </c>
      <c r="X150" s="29">
        <f>[56]NEFA!$P$6</f>
        <v>411.4</v>
      </c>
      <c r="Y150" s="29">
        <v>605.9</v>
      </c>
      <c r="Z150" s="29">
        <f>'[56]3OHB'!$P$6</f>
        <v>26.4</v>
      </c>
      <c r="AA150" s="29">
        <f>[57]Cholesterol!$P$7</f>
        <v>3.79</v>
      </c>
      <c r="AB150" s="29">
        <f>[57]Cholesterol!$P$24</f>
        <v>0.82</v>
      </c>
      <c r="AC150" s="29">
        <f>Data[[#This Row],[total_chol (umol/L)]]-Data[[#This Row],[HDL_chol (umol/L)]]</f>
        <v>2.97</v>
      </c>
      <c r="AD150" s="29">
        <f>Data[[#This Row],[Non_HDL (umol/L)]]-(Data[[#This Row],[TAG (umol/L)]]/2200)</f>
        <v>2.6945909090909095</v>
      </c>
      <c r="AE150" s="29">
        <f>[59]concentrations!$P$22</f>
        <v>89.378649576781399</v>
      </c>
      <c r="AF150" s="31">
        <f>'[58]plasma H2O'!$O$4</f>
        <v>3.0725823368983243E-3</v>
      </c>
      <c r="AG150" s="29">
        <f>'[58]16 DNL 20-400'!$O$4</f>
        <v>15.382164761086953</v>
      </c>
      <c r="AH150" s="23">
        <f>(Data[[#This Row],[DNL (%)]]/100)*Data[[#This Row],[VLDL (umol/L)]]</f>
        <v>13.748371139135061</v>
      </c>
      <c r="AI150" s="43">
        <f>[4]SAMPLES!$L$99</f>
        <v>19.896570716096569</v>
      </c>
      <c r="AJ150" s="59">
        <f>(Data[[#This Row],[Gluconeogensis (%)]]/100)*Data[[#This Row],[Glucose (umol/L)]]</f>
        <v>0.92021639561946633</v>
      </c>
    </row>
    <row r="151" spans="1:37" s="27" customFormat="1" x14ac:dyDescent="0.25">
      <c r="A151" s="27">
        <v>166</v>
      </c>
      <c r="B151" s="27" t="s">
        <v>247</v>
      </c>
      <c r="C151" s="27" t="s">
        <v>232</v>
      </c>
      <c r="D151" s="27">
        <v>2</v>
      </c>
      <c r="E151" s="27" t="s">
        <v>306</v>
      </c>
      <c r="F151" s="27" t="s">
        <v>228</v>
      </c>
      <c r="G151" s="27">
        <f>[52]Sheet1!$E$18</f>
        <v>52</v>
      </c>
      <c r="H151" s="27">
        <v>181</v>
      </c>
      <c r="I151" s="27">
        <f>[53]Spectroscopy!$R$17</f>
        <v>94.8</v>
      </c>
      <c r="J151" s="28">
        <f t="shared" si="7"/>
        <v>28.936845639632487</v>
      </c>
      <c r="K151" s="27">
        <f>[53]Spectroscopy!$X$17</f>
        <v>97</v>
      </c>
      <c r="M151" s="29" t="e">
        <f>Data[[#This Row],[Waist_Circumference]]/Data[[#This Row],[Hip_circumference]]</f>
        <v>#DIV/0!</v>
      </c>
      <c r="N151" s="30">
        <f>'[54]DXA data'!$V$32</f>
        <v>28598.365706001001</v>
      </c>
      <c r="O151" s="30">
        <f>'[54]DXA data'!$W$32</f>
        <v>60330.613035581999</v>
      </c>
      <c r="P151" s="30">
        <f t="shared" si="8"/>
        <v>88928.978741583007</v>
      </c>
      <c r="Q151" s="29">
        <f>(Data[[#This Row],[Total_fat_g]]/Data[[#This Row],[Total_mass_g]])*100</f>
        <v>32.158657516021229</v>
      </c>
      <c r="R151" s="29">
        <f>(Data[[#This Row],[Lean_mass_g]]/Data[[#This Row],[Total_mass_g]])*100</f>
        <v>67.841342483978764</v>
      </c>
      <c r="S151" s="29">
        <f>'[55]Participant characteristics'!$J$30</f>
        <v>982.37294237794003</v>
      </c>
      <c r="T151" s="29">
        <f>'[53]Iron correction'!$BI$6</f>
        <v>2.3461073137739321</v>
      </c>
      <c r="U151" s="29">
        <f>[56]Glu!$Q$6</f>
        <v>5.3120000000000003</v>
      </c>
      <c r="V151" s="43">
        <f>[56]Ins!$Q$6</f>
        <v>5.7319999999999993</v>
      </c>
      <c r="W151" s="29">
        <f>(Data[[#This Row],[Glucose (umol/L)]]*Data[[#This Row],[Insulin (umol/L)]])/22.5</f>
        <v>1.353261511111111</v>
      </c>
      <c r="X151" s="29">
        <f>[56]NEFA!$Q$6</f>
        <v>355.9</v>
      </c>
      <c r="Y151" s="43">
        <v>948.9</v>
      </c>
      <c r="Z151" s="29">
        <f>'[56]3OHB'!$Q$6</f>
        <v>29.4</v>
      </c>
      <c r="AA151" s="29">
        <f>[57]Cholesterol!$Q$7</f>
        <v>4.32</v>
      </c>
      <c r="AB151" s="29">
        <f>[57]Cholesterol!$Q$24</f>
        <v>0.81</v>
      </c>
      <c r="AC151" s="29">
        <f>Data[[#This Row],[total_chol (umol/L)]]-Data[[#This Row],[HDL_chol (umol/L)]]</f>
        <v>3.5100000000000002</v>
      </c>
      <c r="AD151" s="29">
        <f>Data[[#This Row],[Non_HDL (umol/L)]]-(Data[[#This Row],[TAG (umol/L)]]/2200)</f>
        <v>3.0786818181818183</v>
      </c>
      <c r="AE151" s="29">
        <v>604.33506</v>
      </c>
      <c r="AF151" s="31">
        <f>'[58]plasma H2O'!$P$4</f>
        <v>3.2314888403463466E-3</v>
      </c>
      <c r="AG151" s="29">
        <f>'[58]16 DNL 20-400'!$P$4</f>
        <v>0.74140655130449951</v>
      </c>
      <c r="AH151" s="23">
        <f>(Data[[#This Row],[DNL (%)]]/100)*Data[[#This Row],[VLDL (umol/L)]]</f>
        <v>4.4805797266699781</v>
      </c>
      <c r="AI151" s="29">
        <f>[4]SAMPLES!$L$100</f>
        <v>36.850048307202407</v>
      </c>
      <c r="AJ151" s="59">
        <f>(Data[[#This Row],[Gluconeogensis (%)]]/100)*Data[[#This Row],[Glucose (umol/L)]]</f>
        <v>1.9574745660785917</v>
      </c>
      <c r="AK151" s="11"/>
    </row>
    <row r="152" spans="1:37" s="27" customFormat="1" x14ac:dyDescent="0.25">
      <c r="A152" s="27">
        <v>167</v>
      </c>
      <c r="B152" s="27" t="s">
        <v>247</v>
      </c>
      <c r="C152" s="27" t="s">
        <v>232</v>
      </c>
      <c r="D152" s="27">
        <v>4</v>
      </c>
      <c r="E152" s="27" t="s">
        <v>305</v>
      </c>
      <c r="F152" s="27" t="s">
        <v>228</v>
      </c>
      <c r="G152" s="27">
        <f>G151</f>
        <v>52</v>
      </c>
      <c r="H152" s="27">
        <v>181</v>
      </c>
      <c r="I152" s="27">
        <f>[53]Spectroscopy!$T$17</f>
        <v>94.1</v>
      </c>
      <c r="J152" s="28">
        <f t="shared" si="7"/>
        <v>28.723176948200603</v>
      </c>
      <c r="K152" s="27">
        <f>[53]Spectroscopy!$Z$17</f>
        <v>103</v>
      </c>
      <c r="M152" s="29" t="e">
        <f>Data[[#This Row],[Waist_Circumference]]/Data[[#This Row],[Hip_circumference]]</f>
        <v>#DIV/0!</v>
      </c>
      <c r="N152" s="30">
        <f>'[54]DXA data'!$V$31</f>
        <v>27174.647194678</v>
      </c>
      <c r="O152" s="30">
        <f>'[54]DXA data'!$W$31</f>
        <v>59511.998090612004</v>
      </c>
      <c r="P152" s="30">
        <f t="shared" si="8"/>
        <v>86686.645285289997</v>
      </c>
      <c r="Q152" s="29">
        <f>(Data[[#This Row],[Total_fat_g]]/Data[[#This Row],[Total_mass_g]])*100</f>
        <v>31.348135696386571</v>
      </c>
      <c r="R152" s="29">
        <f>(Data[[#This Row],[Lean_mass_g]]/Data[[#This Row],[Total_mass_g]])*100</f>
        <v>68.651864303613436</v>
      </c>
      <c r="S152" s="29">
        <f>'[61]Participant characteristics'!$J$31</f>
        <v>1199.4689381808</v>
      </c>
      <c r="T152" s="29">
        <f>'[53]Iron correction'!$BK$6</f>
        <v>2.1302448069998774</v>
      </c>
      <c r="U152" s="29">
        <f>[56]Glu!$Q$22</f>
        <v>4.7210000000000001</v>
      </c>
      <c r="V152" s="43">
        <f>[56]Ins!$Q$21</f>
        <v>7.4910000000000005</v>
      </c>
      <c r="W152" s="29">
        <f>(Data[[#This Row],[Glucose (umol/L)]]*Data[[#This Row],[Insulin (umol/L)]])/22.5</f>
        <v>1.5717782666666669</v>
      </c>
      <c r="X152" s="29">
        <f>[56]NEFA!$Q$22</f>
        <v>186.2</v>
      </c>
      <c r="Y152" s="43">
        <v>740.7</v>
      </c>
      <c r="Z152" s="29">
        <f>'[56]3OHB'!$Q$22</f>
        <v>17.2</v>
      </c>
      <c r="AA152" s="29">
        <f>[57]Cholesterol!$Q$15</f>
        <v>3.31</v>
      </c>
      <c r="AB152" s="29">
        <f>[57]Cholesterol!$Q$32</f>
        <v>0.67</v>
      </c>
      <c r="AC152" s="29">
        <f>Data[[#This Row],[total_chol (umol/L)]]-Data[[#This Row],[HDL_chol (umol/L)]]</f>
        <v>2.64</v>
      </c>
      <c r="AD152" s="29">
        <f>Data[[#This Row],[Non_HDL (umol/L)]]-(Data[[#This Row],[TAG (umol/L)]]/2200)</f>
        <v>2.3033181818181818</v>
      </c>
      <c r="AE152" s="29">
        <v>238.27278750000005</v>
      </c>
      <c r="AF152" s="31">
        <f>'[58]plasma H2O'!$P$13</f>
        <v>3.2925069115230764E-3</v>
      </c>
      <c r="AG152" s="29">
        <f>'[58]16 DNL 20-400'!$P$14</f>
        <v>6.5297702813806922</v>
      </c>
      <c r="AH152" s="23">
        <f>(Data[[#This Row],[DNL (%)]]/100)*Data[[#This Row],[VLDL (umol/L)]]</f>
        <v>15.558665666792372</v>
      </c>
      <c r="AI152" s="29">
        <f>[4]SAMPLES!$L$101</f>
        <v>13.729696346697537</v>
      </c>
      <c r="AJ152" s="59">
        <f>(Data[[#This Row],[Gluconeogensis (%)]]/100)*Data[[#This Row],[Glucose (umol/L)]]</f>
        <v>0.64817896452759072</v>
      </c>
      <c r="AK152" s="11"/>
    </row>
    <row r="153" spans="1:37" s="27" customFormat="1" x14ac:dyDescent="0.25">
      <c r="A153" s="27">
        <v>168</v>
      </c>
      <c r="B153" s="27" t="s">
        <v>248</v>
      </c>
      <c r="C153" s="27" t="s">
        <v>232</v>
      </c>
      <c r="D153" s="27">
        <v>2</v>
      </c>
      <c r="E153" s="27" t="s">
        <v>305</v>
      </c>
      <c r="F153" s="27" t="s">
        <v>228</v>
      </c>
      <c r="G153" s="27">
        <v>45</v>
      </c>
      <c r="H153" s="27">
        <v>184</v>
      </c>
      <c r="I153" s="27">
        <f>[53]Spectroscopy!$T$18</f>
        <v>105.6</v>
      </c>
      <c r="J153" s="28">
        <f t="shared" si="7"/>
        <v>31.190926275992435</v>
      </c>
      <c r="K153" s="27">
        <f>[53]Spectroscopy!$Z$18</f>
        <v>116</v>
      </c>
      <c r="M153" s="29" t="e">
        <f>Data[[#This Row],[Waist_Circumference]]/Data[[#This Row],[Hip_circumference]]</f>
        <v>#DIV/0!</v>
      </c>
      <c r="N153" s="30">
        <f>'[54]DXA data'!$V$33</f>
        <v>38926.902857317997</v>
      </c>
      <c r="O153" s="30">
        <f>'[54]DXA data'!$W$33</f>
        <v>58757.664284883998</v>
      </c>
      <c r="P153" s="30">
        <f t="shared" si="8"/>
        <v>97684.567142201995</v>
      </c>
      <c r="Q153" s="29">
        <f>(Data[[#This Row],[Total_fat_g]]/Data[[#This Row],[Total_mass_g]])*100</f>
        <v>39.849593437468052</v>
      </c>
      <c r="R153" s="29">
        <f>(Data[[#This Row],[Lean_mass_g]]/Data[[#This Row],[Total_mass_g]])*100</f>
        <v>60.150406562531956</v>
      </c>
      <c r="S153" s="29">
        <f>'[54]DXA data'!$AB$33</f>
        <v>3538.0239034348001</v>
      </c>
      <c r="T153" s="29">
        <f>'[53]Iron correction'!$BM$6</f>
        <v>15.352254471362672</v>
      </c>
      <c r="U153" s="29">
        <f>[56]Glu!$R$6</f>
        <v>5.2249999999999996</v>
      </c>
      <c r="V153" s="29">
        <f>[56]Ins!$R$6</f>
        <v>15.454499999999999</v>
      </c>
      <c r="W153" s="29">
        <f>(Data[[#This Row],[Glucose (umol/L)]]*Data[[#This Row],[Insulin (umol/L)]])/22.5</f>
        <v>3.5888783333333327</v>
      </c>
      <c r="X153" s="29">
        <f>[56]NEFA!$R$6</f>
        <v>363.4</v>
      </c>
      <c r="Y153" s="29">
        <v>921.2</v>
      </c>
      <c r="Z153" s="29">
        <f>'[56]3OHB'!$R$6</f>
        <v>24</v>
      </c>
      <c r="AA153" s="29">
        <f>[57]Cholesterol!$R$15</f>
        <v>3.87</v>
      </c>
      <c r="AB153" s="29">
        <f>[57]Cholesterol!$R$32</f>
        <v>0.68</v>
      </c>
      <c r="AC153" s="29">
        <f>Data[[#This Row],[total_chol (umol/L)]]-Data[[#This Row],[HDL_chol (umol/L)]]</f>
        <v>3.19</v>
      </c>
      <c r="AD153" s="29">
        <f>Data[[#This Row],[Non_HDL (umol/L)]]-(Data[[#This Row],[TAG (umol/L)]]/2200)</f>
        <v>2.7712727272727271</v>
      </c>
      <c r="AE153" s="29">
        <f>[59]concentrations!$AN$22</f>
        <v>100.54925756249999</v>
      </c>
      <c r="AF153" s="31">
        <f>'[58]plasma H2O'!$Q$13</f>
        <v>4.2224720694895735E-3</v>
      </c>
      <c r="AG153" s="29">
        <f>'[62]Collated DNL studies'!$BF$137</f>
        <v>5.4795258174234043</v>
      </c>
      <c r="AH153" s="23">
        <f>(Data[[#This Row],[DNL (%)]]/100)*Data[[#This Row],[VLDL (umol/L)]]</f>
        <v>5.5096225273647415</v>
      </c>
      <c r="AI153" s="29">
        <f>[4]SAMPLES!$L$102</f>
        <v>23.044277600323564</v>
      </c>
      <c r="AJ153" s="59">
        <f>(Data[[#This Row],[Gluconeogensis (%)]]/100)*Data[[#This Row],[Glucose (umol/L)]]</f>
        <v>1.2040635046169061</v>
      </c>
      <c r="AK153" s="11"/>
    </row>
    <row r="154" spans="1:37" s="27" customFormat="1" x14ac:dyDescent="0.25">
      <c r="A154" s="27">
        <v>169</v>
      </c>
      <c r="B154" s="27" t="s">
        <v>248</v>
      </c>
      <c r="C154" s="27" t="s">
        <v>232</v>
      </c>
      <c r="D154" s="27">
        <v>4</v>
      </c>
      <c r="E154" s="27" t="s">
        <v>306</v>
      </c>
      <c r="F154" s="27" t="s">
        <v>228</v>
      </c>
      <c r="G154" s="27">
        <v>45</v>
      </c>
      <c r="H154" s="27">
        <v>184</v>
      </c>
      <c r="I154" s="27">
        <f>[53]Spectroscopy!$R$18</f>
        <v>103.5</v>
      </c>
      <c r="J154" s="28">
        <f t="shared" si="7"/>
        <v>30.570652173913043</v>
      </c>
      <c r="K154" s="27">
        <f>[53]Spectroscopy!$X$18</f>
        <v>115</v>
      </c>
      <c r="M154" s="29" t="e">
        <f>Data[[#This Row],[Waist_Circumference]]/Data[[#This Row],[Hip_circumference]]</f>
        <v>#DIV/0!</v>
      </c>
      <c r="N154" s="30">
        <f>'[54]DXA data'!$V$34</f>
        <v>41109.980105142997</v>
      </c>
      <c r="O154" s="30">
        <f>'[54]DXA data'!$W$34</f>
        <v>59241.261705131001</v>
      </c>
      <c r="P154" s="30">
        <f t="shared" si="8"/>
        <v>100351.24181027399</v>
      </c>
      <c r="Q154" s="29">
        <f>(Data[[#This Row],[Total_fat_g]]/Data[[#This Row],[Total_mass_g]])*100</f>
        <v>40.966090068786912</v>
      </c>
      <c r="R154" s="29">
        <f>(Data[[#This Row],[Lean_mass_g]]/Data[[#This Row],[Total_mass_g]])*100</f>
        <v>59.033909931213088</v>
      </c>
      <c r="S154" s="29">
        <f>'[54]DXA data'!$AB$34</f>
        <v>3687.4330870609001</v>
      </c>
      <c r="T154" s="29">
        <f>'[53]Iron correction'!$BO$6</f>
        <v>20.691255855441721</v>
      </c>
      <c r="U154" s="29">
        <f>[56]Glu!$R$22</f>
        <v>4.53</v>
      </c>
      <c r="V154" s="29">
        <f>[56]Ins!$R$21</f>
        <v>12.751999999999999</v>
      </c>
      <c r="W154" s="29">
        <f>(Data[[#This Row],[Glucose (umol/L)]]*Data[[#This Row],[Insulin (umol/L)]])/22.5</f>
        <v>2.5674026666666667</v>
      </c>
      <c r="X154" s="29">
        <f>[56]NEFA!$R$22</f>
        <v>359</v>
      </c>
      <c r="Y154" s="29">
        <v>1061.7</v>
      </c>
      <c r="Z154" s="29">
        <f>'[56]3OHB'!$R$22</f>
        <v>22.8</v>
      </c>
      <c r="AA154" s="29">
        <f>[57]Cholesterol!$R$7</f>
        <v>4.1900000000000004</v>
      </c>
      <c r="AB154" s="29">
        <f>[57]Cholesterol!$R$24</f>
        <v>0.77</v>
      </c>
      <c r="AC154" s="29">
        <f>Data[[#This Row],[total_chol (umol/L)]]-Data[[#This Row],[HDL_chol (umol/L)]]</f>
        <v>3.4200000000000004</v>
      </c>
      <c r="AD154" s="29">
        <f>Data[[#This Row],[Non_HDL (umol/L)]]-(Data[[#This Row],[TAG (umol/L)]]/2200)</f>
        <v>2.9374090909090911</v>
      </c>
      <c r="AE154" s="29">
        <f>[59]concentrations!$R$22</f>
        <v>88.091556867087945</v>
      </c>
      <c r="AF154" s="31">
        <f>'[58]plasma H2O'!$Q$4</f>
        <v>4.3984078956598423E-3</v>
      </c>
      <c r="AG154" s="29">
        <f>'[58]16 DNL 20-400'!$Q$14</f>
        <v>7.7720914983028688</v>
      </c>
      <c r="AH154" s="23">
        <f>(Data[[#This Row],[DNL (%)]]/100)*Data[[#This Row],[VLDL (umol/L)]]</f>
        <v>6.846556401989579</v>
      </c>
      <c r="AI154" s="29">
        <f>[4]SAMPLES!$L$103</f>
        <v>17.691956315113192</v>
      </c>
      <c r="AJ154" s="59">
        <f>(Data[[#This Row],[Gluconeogensis (%)]]/100)*Data[[#This Row],[Glucose (umol/L)]]</f>
        <v>0.80144562107462758</v>
      </c>
      <c r="AK154" s="11"/>
    </row>
    <row r="155" spans="1:37" s="27" customFormat="1" x14ac:dyDescent="0.25">
      <c r="A155" s="11">
        <v>170</v>
      </c>
      <c r="B155" s="11" t="s">
        <v>287</v>
      </c>
      <c r="C155" s="11" t="s">
        <v>233</v>
      </c>
      <c r="D155" s="11">
        <v>1</v>
      </c>
      <c r="E155" s="11"/>
      <c r="F155" s="11" t="s">
        <v>228</v>
      </c>
      <c r="G155" s="11">
        <f>[63]Characteristics!$B$8</f>
        <v>53</v>
      </c>
      <c r="H155" s="11">
        <f>'[63]Anthro, DXA, Liver fat'!$B$6</f>
        <v>166</v>
      </c>
      <c r="I155" s="11">
        <f>'[63]Anthro, DXA, Liver fat'!$B$5</f>
        <v>75.8</v>
      </c>
      <c r="J155" s="12">
        <f t="shared" si="7"/>
        <v>27.507620844825084</v>
      </c>
      <c r="K155" s="11">
        <f>'[63]Anthro, DXA, Liver fat'!$B$8</f>
        <v>85</v>
      </c>
      <c r="L155" s="11"/>
      <c r="M155" s="13" t="e">
        <f>Data[[#This Row],[Waist_Circumference]]/Data[[#This Row],[Hip_circumference]]</f>
        <v>#DIV/0!</v>
      </c>
      <c r="N155" s="14">
        <f>'[63]Anthro, DXA, Liver fat'!$B$19</f>
        <v>11757.809644860001</v>
      </c>
      <c r="O155" s="14">
        <f>'[63]Anthro, DXA, Liver fat'!$B$20</f>
        <v>62617.963468372996</v>
      </c>
      <c r="P155" s="14">
        <f t="shared" si="8"/>
        <v>74375.773113232994</v>
      </c>
      <c r="Q155" s="13">
        <f>(Data[[#This Row],[Total_fat_g]]/Data[[#This Row],[Total_mass_g]])*100</f>
        <v>15.808655362760918</v>
      </c>
      <c r="R155" s="13">
        <f>(Data[[#This Row],[Lean_mass_g]]/Data[[#This Row],[Total_mass_g]])*100</f>
        <v>84.191344637239084</v>
      </c>
      <c r="S155" s="13">
        <f>'[63]Anthro, DXA, Liver fat'!$B$27</f>
        <v>44.081997781406997</v>
      </c>
      <c r="T155" s="13">
        <f>'[64]IHTG Corrected'!$D$2</f>
        <v>1.084542857243836</v>
      </c>
      <c r="U155" s="13">
        <f>[63]Glucose!$B$7</f>
        <v>4.8150000000000004</v>
      </c>
      <c r="V155" s="13" t="e">
        <f>[65]Insulin!$I$3</f>
        <v>#REF!</v>
      </c>
      <c r="W155" s="13" t="e">
        <f>(Data[[#This Row],[Glucose (umol/L)]]*Data[[#This Row],[Insulin (umol/L)]])/22.5</f>
        <v>#REF!</v>
      </c>
      <c r="X155" s="13">
        <f>[63]NEFA!$B$7</f>
        <v>263.697</v>
      </c>
      <c r="Y155" s="13">
        <f>[63]TAG!$B$7</f>
        <v>595.93499999999995</v>
      </c>
      <c r="Z155" s="13">
        <f>'[63]3-OHB'!$B$7</f>
        <v>44.2</v>
      </c>
      <c r="AA155" s="13">
        <f>'[63]Apo B, Cholesterol, HDL, ALT'!$B$17</f>
        <v>4.82</v>
      </c>
      <c r="AB155" s="13">
        <f>'[63]Apo B, Cholesterol, HDL, ALT'!$B$27</f>
        <v>1.62</v>
      </c>
      <c r="AC155" s="13">
        <f>Data[[#This Row],[total_chol (umol/L)]]-Data[[#This Row],[HDL_chol (umol/L)]]</f>
        <v>3.2</v>
      </c>
      <c r="AD155" s="13">
        <f>Data[[#This Row],[Non_HDL (umol/L)]]-(Data[[#This Row],[TAG (umol/L)]]/2200)</f>
        <v>2.9291204545454548</v>
      </c>
      <c r="AE155" s="13">
        <f>[66]Data!$AQ$3</f>
        <v>175.53442149184397</v>
      </c>
      <c r="AF155" s="53">
        <f>'[63]DNL_Bounds Visit A'!$B$16</f>
        <v>3.5590794305319804E-3</v>
      </c>
      <c r="AG155" s="13">
        <f>'[63]DNL_Bounds Visit A'!$B$24</f>
        <v>1.2601837306102144</v>
      </c>
      <c r="AH155" s="23">
        <f>(Data[[#This Row],[DNL (%)]]/100)*Data[[#This Row],[VLDL (umol/L)]]</f>
        <v>2.2120562212609771</v>
      </c>
      <c r="AI155" s="13">
        <f>[4]SAMPLES!$L$104</f>
        <v>27.947320387818447</v>
      </c>
      <c r="AJ155" s="60">
        <f>(Data[[#This Row],[Gluconeogensis (%)]]/100)*Data[[#This Row],[Glucose (umol/L)]]</f>
        <v>1.3456634766734583</v>
      </c>
      <c r="AK155" s="11"/>
    </row>
    <row r="156" spans="1:37" s="27" customFormat="1" x14ac:dyDescent="0.25">
      <c r="A156" s="11">
        <v>171</v>
      </c>
      <c r="B156" s="11" t="s">
        <v>287</v>
      </c>
      <c r="C156" s="11" t="s">
        <v>233</v>
      </c>
      <c r="D156" s="11">
        <v>2</v>
      </c>
      <c r="E156" s="11"/>
      <c r="F156" s="11" t="s">
        <v>228</v>
      </c>
      <c r="G156" s="11">
        <f>[63]Characteristics!$B$8</f>
        <v>53</v>
      </c>
      <c r="H156" s="11">
        <f>'[63]Anthro, DXA, Liver fat'!$B$6</f>
        <v>166</v>
      </c>
      <c r="I156" s="11">
        <f>'[63]Anthro, DXA, Liver fat'!$B$33</f>
        <v>77.2</v>
      </c>
      <c r="J156" s="12">
        <f t="shared" si="7"/>
        <v>28.015677166497316</v>
      </c>
      <c r="K156" s="11">
        <f>'[63]Anthro, DXA, Liver fat'!$B$36</f>
        <v>86</v>
      </c>
      <c r="L156" s="11"/>
      <c r="M156" s="13" t="e">
        <f>Data[[#This Row],[Waist_Circumference]]/Data[[#This Row],[Hip_circumference]]</f>
        <v>#DIV/0!</v>
      </c>
      <c r="N156" s="14">
        <f>'[63]Anthro, DXA, Liver fat'!$B$47</f>
        <v>11768.160810453999</v>
      </c>
      <c r="O156" s="14">
        <f>'[63]Anthro, DXA, Liver fat'!$B$48</f>
        <v>61266.338075175001</v>
      </c>
      <c r="P156" s="14">
        <f t="shared" si="8"/>
        <v>73034.498885629</v>
      </c>
      <c r="Q156" s="13">
        <f>(Data[[#This Row],[Total_fat_g]]/Data[[#This Row],[Total_mass_g]])*100</f>
        <v>16.113153359048543</v>
      </c>
      <c r="R156" s="13">
        <f>(Data[[#This Row],[Lean_mass_g]]/Data[[#This Row],[Total_mass_g]])*100</f>
        <v>83.886846640951461</v>
      </c>
      <c r="S156" s="13">
        <f>'[63]Anthro, DXA, Liver fat'!$B$55</f>
        <v>160.29951236034</v>
      </c>
      <c r="T156" s="13">
        <f>'[64]IHTG Corrected'!$D$3</f>
        <v>1.3885395218795316</v>
      </c>
      <c r="U156" s="13">
        <f>[63]Glucose!$B$23</f>
        <v>4.774</v>
      </c>
      <c r="V156" s="13" t="e">
        <f>[65]Insulin!$I$16</f>
        <v>#REF!</v>
      </c>
      <c r="W156" s="13" t="e">
        <f>(Data[[#This Row],[Glucose (umol/L)]]*Data[[#This Row],[Insulin (umol/L)]])/22.5</f>
        <v>#REF!</v>
      </c>
      <c r="X156" s="13">
        <f>[63]NEFA!$B$23</f>
        <v>248.965</v>
      </c>
      <c r="Y156" s="13">
        <f>[63]TAG!$B$23</f>
        <v>533.66</v>
      </c>
      <c r="Z156" s="13">
        <f>'[63]3-OHB'!$B$25</f>
        <v>24.4</v>
      </c>
      <c r="AA156" s="13">
        <f>'[63]Apo B, Cholesterol, HDL, ALT'!$B$22</f>
        <v>5.22</v>
      </c>
      <c r="AB156" s="13">
        <f>'[63]Apo B, Cholesterol, HDL, ALT'!$B$32</f>
        <v>1.46</v>
      </c>
      <c r="AC156" s="13">
        <f>Data[[#This Row],[total_chol (umol/L)]]-Data[[#This Row],[HDL_chol (umol/L)]]</f>
        <v>3.76</v>
      </c>
      <c r="AD156" s="13">
        <f>Data[[#This Row],[Non_HDL (umol/L)]]-(Data[[#This Row],[TAG (umol/L)]]/2200)</f>
        <v>3.5174272727272724</v>
      </c>
      <c r="AE156" s="13">
        <f>[66]Data!$AQ$13</f>
        <v>327.76220804687506</v>
      </c>
      <c r="AF156" s="53">
        <f>'[63]DNL_Bounds Visit B'!$B$16</f>
        <v>4.0383969416869156E-3</v>
      </c>
      <c r="AG156" s="13">
        <f>'[63]DNL_Bounds Visit B'!$B$24</f>
        <v>7.1547175518632473</v>
      </c>
      <c r="AH156" s="23">
        <f>(Data[[#This Row],[DNL (%)]]/100)*Data[[#This Row],[VLDL (umol/L)]]</f>
        <v>23.450460227504305</v>
      </c>
      <c r="AI156" s="13">
        <f>[4]SAMPLES!$L$105</f>
        <v>18.232156528689224</v>
      </c>
      <c r="AJ156" s="60">
        <f>(Data[[#This Row],[Gluconeogensis (%)]]/100)*Data[[#This Row],[Glucose (umol/L)]]</f>
        <v>0.87040315267962365</v>
      </c>
      <c r="AK156" s="11"/>
    </row>
    <row r="157" spans="1:37" s="27" customFormat="1" x14ac:dyDescent="0.25">
      <c r="A157" s="11">
        <v>172</v>
      </c>
      <c r="B157" s="11" t="s">
        <v>288</v>
      </c>
      <c r="C157" s="11" t="s">
        <v>233</v>
      </c>
      <c r="D157" s="11">
        <v>1</v>
      </c>
      <c r="E157" s="11"/>
      <c r="F157" s="11" t="s">
        <v>228</v>
      </c>
      <c r="G157" s="11">
        <f>[63]Characteristics!$C$8</f>
        <v>47</v>
      </c>
      <c r="H157" s="11">
        <f>'[63]Anthro, DXA, Liver fat'!$C$6</f>
        <v>180</v>
      </c>
      <c r="I157" s="11">
        <f>'[63]Anthro, DXA, Liver fat'!$C$5</f>
        <v>76.2</v>
      </c>
      <c r="J157" s="12">
        <f t="shared" si="7"/>
        <v>23.518518518518519</v>
      </c>
      <c r="K157" s="11">
        <f>'[63]Anthro, DXA, Liver fat'!$C$8</f>
        <v>85</v>
      </c>
      <c r="L157" s="11"/>
      <c r="M157" s="13" t="e">
        <f>Data[[#This Row],[Waist_Circumference]]/Data[[#This Row],[Hip_circumference]]</f>
        <v>#DIV/0!</v>
      </c>
      <c r="N157" s="14">
        <f>'[63]Anthro, DXA, Liver fat'!$C$19</f>
        <v>11903.336743541</v>
      </c>
      <c r="O157" s="14">
        <f>'[63]Anthro, DXA, Liver fat'!$C$20</f>
        <v>60716.528168696001</v>
      </c>
      <c r="P157" s="14">
        <f t="shared" si="8"/>
        <v>72619.864912236997</v>
      </c>
      <c r="Q157" s="13">
        <f>(Data[[#This Row],[Total_fat_g]]/Data[[#This Row],[Total_mass_g]])*100</f>
        <v>16.39129562954502</v>
      </c>
      <c r="R157" s="13">
        <f>(Data[[#This Row],[Lean_mass_g]]/Data[[#This Row],[Total_mass_g]])*100</f>
        <v>83.608704370454987</v>
      </c>
      <c r="S157" s="13">
        <f>'[63]Anthro, DXA, Liver fat'!$C$27</f>
        <v>660.67841184813005</v>
      </c>
      <c r="T157" s="13">
        <f>'[64]IHTG Corrected'!$D$4</f>
        <v>0.94905089054151737</v>
      </c>
      <c r="U157" s="13">
        <f>[63]Glucose!$C$7</f>
        <v>5.0540000000000003</v>
      </c>
      <c r="V157" s="13">
        <f>[67]Insulin!$I$3</f>
        <v>4.4824999999999999</v>
      </c>
      <c r="W157" s="13">
        <f>(Data[[#This Row],[Glucose (umol/L)]]*Data[[#This Row],[Insulin (umol/L)]])/22.5</f>
        <v>1.0068691111111112</v>
      </c>
      <c r="X157" s="13">
        <f>[63]NEFA!$C$7</f>
        <v>1054.307</v>
      </c>
      <c r="Y157" s="13">
        <f>[63]TAG!$C$7</f>
        <v>1057.212</v>
      </c>
      <c r="Z157" s="13">
        <f>'[63]3-OHB'!$C$7</f>
        <v>83.1</v>
      </c>
      <c r="AA157" s="13">
        <f>'[63]Apo B, Cholesterol, HDL, ALT'!$C$17</f>
        <v>3.82</v>
      </c>
      <c r="AB157" s="13">
        <f>'[63]Apo B, Cholesterol, HDL, ALT'!$C$27</f>
        <v>1.34</v>
      </c>
      <c r="AC157" s="13">
        <f>Data[[#This Row],[total_chol (umol/L)]]-Data[[#This Row],[HDL_chol (umol/L)]]</f>
        <v>2.4799999999999995</v>
      </c>
      <c r="AD157" s="13">
        <f>Data[[#This Row],[Non_HDL (umol/L)]]-(Data[[#This Row],[TAG (umol/L)]]/2200)</f>
        <v>1.9994490909090905</v>
      </c>
      <c r="AE157" s="13">
        <f>[66]Data!$AQ$23</f>
        <v>345.70378355209294</v>
      </c>
      <c r="AF157" s="53">
        <f>'[63]DNL_Bounds Visit A'!$C$16</f>
        <v>3.1536991666440755E-3</v>
      </c>
      <c r="AG157" s="13">
        <f>'[63]DNL_Bounds Visit A'!$C$24</f>
        <v>3.0448128132182481</v>
      </c>
      <c r="AH157" s="23">
        <f>(Data[[#This Row],[DNL (%)]]/100)*Data[[#This Row],[VLDL (umol/L)]]</f>
        <v>10.526033097374405</v>
      </c>
      <c r="AI157" s="13">
        <f>[4]SAMPLES!$L$106</f>
        <v>28.527042801843994</v>
      </c>
      <c r="AJ157" s="60">
        <f>(Data[[#This Row],[Gluconeogensis (%)]]/100)*Data[[#This Row],[Glucose (umol/L)]]</f>
        <v>1.4417567432051954</v>
      </c>
      <c r="AK157" s="11"/>
    </row>
    <row r="158" spans="1:37" s="27" customFormat="1" x14ac:dyDescent="0.25">
      <c r="A158" s="11">
        <v>173</v>
      </c>
      <c r="B158" s="11" t="s">
        <v>288</v>
      </c>
      <c r="C158" s="11" t="s">
        <v>233</v>
      </c>
      <c r="D158" s="11">
        <v>2</v>
      </c>
      <c r="E158" s="11"/>
      <c r="F158" s="11" t="s">
        <v>228</v>
      </c>
      <c r="G158" s="11">
        <f>[63]Characteristics!$C$8</f>
        <v>47</v>
      </c>
      <c r="H158" s="11">
        <f>'[63]Anthro, DXA, Liver fat'!$C$6</f>
        <v>180</v>
      </c>
      <c r="I158" s="11">
        <f>'[63]Anthro, DXA, Liver fat'!$C$33</f>
        <v>76.599999999999994</v>
      </c>
      <c r="J158" s="12">
        <f t="shared" si="7"/>
        <v>23.641975308641971</v>
      </c>
      <c r="K158" s="11">
        <f>'[63]Anthro, DXA, Liver fat'!$C$36</f>
        <v>84</v>
      </c>
      <c r="L158" s="11"/>
      <c r="M158" s="13" t="e">
        <f>Data[[#This Row],[Waist_Circumference]]/Data[[#This Row],[Hip_circumference]]</f>
        <v>#DIV/0!</v>
      </c>
      <c r="N158" s="14">
        <f>'[63]Anthro, DXA, Liver fat'!$C$47</f>
        <v>11281.60185418</v>
      </c>
      <c r="O158" s="14">
        <f>'[63]Anthro, DXA, Liver fat'!$C$48</f>
        <v>61806.750897696002</v>
      </c>
      <c r="P158" s="14">
        <f t="shared" si="8"/>
        <v>73088.352751875995</v>
      </c>
      <c r="Q158" s="13">
        <f>(Data[[#This Row],[Total_fat_g]]/Data[[#This Row],[Total_mass_g]])*100</f>
        <v>15.435567268124577</v>
      </c>
      <c r="R158" s="13">
        <f>(Data[[#This Row],[Lean_mass_g]]/Data[[#This Row],[Total_mass_g]])*100</f>
        <v>84.564432731875428</v>
      </c>
      <c r="S158" s="13">
        <f>'[63]Anthro, DXA, Liver fat'!$C$55</f>
        <v>585.96722371099997</v>
      </c>
      <c r="T158" s="13">
        <f>'[64]IHTG Corrected'!$D$5</f>
        <v>1.2331769638359893</v>
      </c>
      <c r="U158" s="13">
        <f>[63]Glucose!$C$23</f>
        <v>4.6890000000000001</v>
      </c>
      <c r="V158" s="13">
        <f>[67]Insulin!$I$16</f>
        <v>4.9105000000000008</v>
      </c>
      <c r="W158" s="13">
        <f>(Data[[#This Row],[Glucose (umol/L)]]*Data[[#This Row],[Insulin (umol/L)]])/22.5</f>
        <v>1.0233482</v>
      </c>
      <c r="X158" s="13">
        <f>[63]NEFA!$C$23</f>
        <v>637.40800000000002</v>
      </c>
      <c r="Y158" s="13">
        <f>[63]TAG!$C$23</f>
        <v>1413.1009999999999</v>
      </c>
      <c r="Z158" s="13">
        <f>'[63]3-OHB'!$C$25</f>
        <v>30.6</v>
      </c>
      <c r="AA158" s="13">
        <f>'[63]Apo B, Cholesterol, HDL, ALT'!$C$22</f>
        <v>4.1500000000000004</v>
      </c>
      <c r="AB158" s="13">
        <f>'[63]Apo B, Cholesterol, HDL, ALT'!$C$32</f>
        <v>1.1299999999999999</v>
      </c>
      <c r="AC158" s="13">
        <f>Data[[#This Row],[total_chol (umol/L)]]-Data[[#This Row],[HDL_chol (umol/L)]]</f>
        <v>3.0200000000000005</v>
      </c>
      <c r="AD158" s="13">
        <f>Data[[#This Row],[Non_HDL (umol/L)]]-(Data[[#This Row],[TAG (umol/L)]]/2200)</f>
        <v>2.3776813636363641</v>
      </c>
      <c r="AE158" s="13">
        <f>[66]Data!$AQ$33</f>
        <v>363.31560935894413</v>
      </c>
      <c r="AF158" s="53">
        <f>'[63]DNL_Bounds Visit B'!$C$16</f>
        <v>3.7061243143809677E-3</v>
      </c>
      <c r="AG158" s="13">
        <f>'[63]DNL_Bounds Visit B'!$C$24</f>
        <v>7.2411797115949108</v>
      </c>
      <c r="AH158" s="23">
        <f>(Data[[#This Row],[DNL (%)]]/100)*Data[[#This Row],[VLDL (umol/L)]]</f>
        <v>26.308336193957285</v>
      </c>
      <c r="AI158" s="13">
        <f>[4]SAMPLES!$L$107</f>
        <v>25.543030106050189</v>
      </c>
      <c r="AJ158" s="60">
        <f>(Data[[#This Row],[Gluconeogensis (%)]]/100)*Data[[#This Row],[Glucose (umol/L)]]</f>
        <v>1.1977126816726935</v>
      </c>
      <c r="AK158" s="11"/>
    </row>
    <row r="159" spans="1:37" s="27" customFormat="1" x14ac:dyDescent="0.25">
      <c r="A159" s="11">
        <v>174</v>
      </c>
      <c r="B159" s="11" t="s">
        <v>289</v>
      </c>
      <c r="C159" s="11" t="s">
        <v>233</v>
      </c>
      <c r="D159" s="11">
        <v>1</v>
      </c>
      <c r="E159" s="11"/>
      <c r="F159" s="11" t="s">
        <v>228</v>
      </c>
      <c r="G159" s="11">
        <f>[63]Characteristics!$D$8</f>
        <v>51</v>
      </c>
      <c r="H159" s="11">
        <f>'[63]Anthro, DXA, Liver fat'!$D$6</f>
        <v>178</v>
      </c>
      <c r="I159" s="11">
        <f>'[63]Anthro, DXA, Liver fat'!$D$5</f>
        <v>94.2</v>
      </c>
      <c r="J159" s="12">
        <f t="shared" si="7"/>
        <v>29.731094558767833</v>
      </c>
      <c r="K159" s="11">
        <f>'[63]Anthro, DXA, Liver fat'!$D$8</f>
        <v>104</v>
      </c>
      <c r="L159" s="11"/>
      <c r="M159" s="13" t="e">
        <f>Data[[#This Row],[Waist_Circumference]]/Data[[#This Row],[Hip_circumference]]</f>
        <v>#DIV/0!</v>
      </c>
      <c r="N159" s="14">
        <f>'[63]Anthro, DXA, Liver fat'!$D$19</f>
        <v>32473.931995497001</v>
      </c>
      <c r="O159" s="14">
        <f>'[63]Anthro, DXA, Liver fat'!$D$20</f>
        <v>58930.257620119002</v>
      </c>
      <c r="P159" s="14">
        <f t="shared" si="8"/>
        <v>91404.189615616007</v>
      </c>
      <c r="Q159" s="13">
        <f>(Data[[#This Row],[Total_fat_g]]/Data[[#This Row],[Total_mass_g]])*100</f>
        <v>35.527837544493664</v>
      </c>
      <c r="R159" s="13">
        <f>(Data[[#This Row],[Lean_mass_g]]/Data[[#This Row],[Total_mass_g]])*100</f>
        <v>64.472162455506336</v>
      </c>
      <c r="S159" s="13">
        <f>'[63]Anthro, DXA, Liver fat'!$D$27</f>
        <v>2109.1224918564999</v>
      </c>
      <c r="T159" s="13">
        <f>'[64]IHTG Corrected'!$D$6</f>
        <v>5.8724242455643303</v>
      </c>
      <c r="U159" s="13">
        <f>[63]Glucose!$D$7</f>
        <v>5.1840000000000002</v>
      </c>
      <c r="V159" s="13">
        <f>[68]Insulin!$K$4</f>
        <v>6.4525000000000006</v>
      </c>
      <c r="W159" s="13">
        <f>(Data[[#This Row],[Glucose (umol/L)]]*Data[[#This Row],[Insulin (umol/L)]])/22.5</f>
        <v>1.4866560000000002</v>
      </c>
      <c r="X159" s="13">
        <f>[63]NEFA!$D$7</f>
        <v>325.45499999999998</v>
      </c>
      <c r="Y159" s="13">
        <f>[63]TAG!$D$7</f>
        <v>1689.855</v>
      </c>
      <c r="Z159" s="13">
        <f>'[63]3-OHB'!$D$7</f>
        <v>20.6</v>
      </c>
      <c r="AA159" s="13">
        <f>'[63]Apo B, Cholesterol, HDL, ALT'!$D$17</f>
        <v>5.03</v>
      </c>
      <c r="AB159" s="13">
        <f>'[63]Apo B, Cholesterol, HDL, ALT'!$D$27</f>
        <v>1.32</v>
      </c>
      <c r="AC159" s="13">
        <f>Data[[#This Row],[total_chol (umol/L)]]-Data[[#This Row],[HDL_chol (umol/L)]]</f>
        <v>3.71</v>
      </c>
      <c r="AD159" s="13">
        <f>Data[[#This Row],[Non_HDL (umol/L)]]-(Data[[#This Row],[TAG (umol/L)]]/2200)</f>
        <v>2.9418840909090909</v>
      </c>
      <c r="AE159" s="13">
        <f>[66]Data!$AQ$43</f>
        <v>511.45450058244364</v>
      </c>
      <c r="AF159" s="53">
        <f>'[63]DNL_Bounds Visit A'!$D$16</f>
        <v>4.0512145442337978E-3</v>
      </c>
      <c r="AG159" s="13">
        <f>'[63]DNL_Bounds Visit A'!$D$24</f>
        <v>6.3895985519542373</v>
      </c>
      <c r="AH159" s="23">
        <f>(Data[[#This Row],[DNL (%)]]/100)*Data[[#This Row],[VLDL (umol/L)]]</f>
        <v>32.679889363120594</v>
      </c>
      <c r="AI159" s="13">
        <f>[4]SAMPLES!$L$108</f>
        <v>18.29235587562453</v>
      </c>
      <c r="AJ159" s="60">
        <f>(Data[[#This Row],[Gluconeogensis (%)]]/100)*Data[[#This Row],[Glucose (umol/L)]]</f>
        <v>0.94827572859237563</v>
      </c>
      <c r="AK159" s="11"/>
    </row>
    <row r="160" spans="1:37" s="27" customFormat="1" x14ac:dyDescent="0.25">
      <c r="A160" s="11">
        <v>175</v>
      </c>
      <c r="B160" s="11" t="s">
        <v>289</v>
      </c>
      <c r="C160" s="11" t="s">
        <v>233</v>
      </c>
      <c r="D160" s="11">
        <v>2</v>
      </c>
      <c r="E160" s="11"/>
      <c r="F160" s="11" t="s">
        <v>228</v>
      </c>
      <c r="G160" s="11">
        <f>[63]Characteristics!$D$8</f>
        <v>51</v>
      </c>
      <c r="H160" s="11">
        <f>'[63]Anthro, DXA, Liver fat'!$D$6</f>
        <v>178</v>
      </c>
      <c r="I160" s="11">
        <f>'[63]Anthro, DXA, Liver fat'!$D$33</f>
        <v>93.2</v>
      </c>
      <c r="J160" s="12">
        <f t="shared" si="7"/>
        <v>29.415477843706604</v>
      </c>
      <c r="K160" s="11">
        <f>'[63]Anthro, DXA, Liver fat'!$D$36</f>
        <v>103</v>
      </c>
      <c r="L160" s="11"/>
      <c r="M160" s="13" t="e">
        <f>Data[[#This Row],[Waist_Circumference]]/Data[[#This Row],[Hip_circumference]]</f>
        <v>#DIV/0!</v>
      </c>
      <c r="N160" s="14">
        <f>'[63]Anthro, DXA, Liver fat'!$D$47</f>
        <v>31600.458702348002</v>
      </c>
      <c r="O160" s="14">
        <f>'[63]Anthro, DXA, Liver fat'!$D$48</f>
        <v>58284.392326882997</v>
      </c>
      <c r="P160" s="14">
        <f t="shared" si="8"/>
        <v>89884.851029230995</v>
      </c>
      <c r="Q160" s="13">
        <f>(Data[[#This Row],[Total_fat_g]]/Data[[#This Row],[Total_mass_g]])*100</f>
        <v>35.156601296553717</v>
      </c>
      <c r="R160" s="13">
        <f>(Data[[#This Row],[Lean_mass_g]]/Data[[#This Row],[Total_mass_g]])*100</f>
        <v>64.843398703446283</v>
      </c>
      <c r="S160" s="13">
        <f>'[63]Anthro, DXA, Liver fat'!$D$55</f>
        <v>1906.7877035772001</v>
      </c>
      <c r="T160" s="13">
        <f>'[64]IHTG Corrected'!$D$7</f>
        <v>6.1384262264244587</v>
      </c>
      <c r="U160" s="13">
        <f>[63]Glucose!$D$23</f>
        <v>4.9539999999999997</v>
      </c>
      <c r="V160" s="13">
        <f>[68]Insulin!$K$17</f>
        <v>6.5569999999999995</v>
      </c>
      <c r="W160" s="13">
        <f>(Data[[#This Row],[Glucose (umol/L)]]*Data[[#This Row],[Insulin (umol/L)]])/22.5</f>
        <v>1.4437056888888886</v>
      </c>
      <c r="X160" s="13">
        <f>[63]NEFA!$D$23</f>
        <v>485.233</v>
      </c>
      <c r="Y160" s="13">
        <f>[63]TAG!$D$23</f>
        <v>2602.8939999999998</v>
      </c>
      <c r="Z160" s="13">
        <f>'[63]3-OHB'!$D$25</f>
        <v>13.3</v>
      </c>
      <c r="AA160" s="13">
        <f>'[63]Apo B, Cholesterol, HDL, ALT'!$D$22</f>
        <v>5.05</v>
      </c>
      <c r="AB160" s="13">
        <f>'[63]Apo B, Cholesterol, HDL, ALT'!$D$32</f>
        <v>1.25</v>
      </c>
      <c r="AC160" s="13">
        <f>Data[[#This Row],[total_chol (umol/L)]]-Data[[#This Row],[HDL_chol (umol/L)]]</f>
        <v>3.8</v>
      </c>
      <c r="AD160" s="13">
        <f>Data[[#This Row],[Non_HDL (umol/L)]]-(Data[[#This Row],[TAG (umol/L)]]/2200)</f>
        <v>2.6168663636363636</v>
      </c>
      <c r="AE160" s="13">
        <f>[66]Data!$AQ$53</f>
        <v>693.32739632332289</v>
      </c>
      <c r="AF160" s="53">
        <f>'[63]DNL_Bounds Visit B'!$D$16</f>
        <v>4.9005788788948007E-3</v>
      </c>
      <c r="AG160" s="13">
        <f>'[63]DNL_Bounds Visit B'!$D$24</f>
        <v>11.076131569788005</v>
      </c>
      <c r="AH160" s="23">
        <f>(Data[[#This Row],[DNL (%)]]/100)*Data[[#This Row],[VLDL (umol/L)]]</f>
        <v>76.793854626156772</v>
      </c>
      <c r="AI160" s="13">
        <f>[4]SAMPLES!$L$109</f>
        <v>13.063752224378716</v>
      </c>
      <c r="AJ160" s="60">
        <f>(Data[[#This Row],[Gluconeogensis (%)]]/100)*Data[[#This Row],[Glucose (umol/L)]]</f>
        <v>0.64717828519572163</v>
      </c>
      <c r="AK160" s="11"/>
    </row>
    <row r="161" spans="1:37" s="27" customFormat="1" x14ac:dyDescent="0.25">
      <c r="A161" s="11">
        <v>176</v>
      </c>
      <c r="B161" s="11" t="s">
        <v>290</v>
      </c>
      <c r="C161" s="11" t="s">
        <v>233</v>
      </c>
      <c r="D161" s="11">
        <v>1</v>
      </c>
      <c r="E161" s="11"/>
      <c r="F161" s="11" t="s">
        <v>227</v>
      </c>
      <c r="G161" s="11">
        <f>[63]Characteristics!$E$8</f>
        <v>48</v>
      </c>
      <c r="H161" s="11">
        <f>'[63]Anthro, DXA, Liver fat'!$E$6</f>
        <v>155</v>
      </c>
      <c r="I161" s="11">
        <f>'[63]Anthro, DXA, Liver fat'!$E$5</f>
        <v>52.9</v>
      </c>
      <c r="J161" s="12">
        <f t="shared" si="7"/>
        <v>22.018730489073878</v>
      </c>
      <c r="K161" s="11">
        <f>'[63]Anthro, DXA, Liver fat'!$E$8</f>
        <v>71</v>
      </c>
      <c r="L161" s="11"/>
      <c r="M161" s="13" t="e">
        <f>Data[[#This Row],[Waist_Circumference]]/Data[[#This Row],[Hip_circumference]]</f>
        <v>#DIV/0!</v>
      </c>
      <c r="N161" s="14">
        <f>'[63]Anthro, DXA, Liver fat'!$E$19</f>
        <v>14716.867839397</v>
      </c>
      <c r="O161" s="14">
        <f>'[63]Anthro, DXA, Liver fat'!$E$20</f>
        <v>36187.919547156998</v>
      </c>
      <c r="P161" s="14">
        <f t="shared" si="8"/>
        <v>50904.787386554002</v>
      </c>
      <c r="Q161" s="13">
        <f>(Data[[#This Row],[Total_fat_g]]/Data[[#This Row],[Total_mass_g]])*100</f>
        <v>28.910577167609024</v>
      </c>
      <c r="R161" s="13">
        <f>(Data[[#This Row],[Lean_mass_g]]/Data[[#This Row],[Total_mass_g]])*100</f>
        <v>71.089422832390966</v>
      </c>
      <c r="S161" s="38">
        <f>'[63]Anthro, DXA, Liver fat'!$E$27</f>
        <v>0.152158584253</v>
      </c>
      <c r="T161" s="13">
        <f>'[64]IHTG Corrected'!$D$8</f>
        <v>0.88460371196806031</v>
      </c>
      <c r="U161" s="13">
        <f>[63]Glucose!$E$7</f>
        <v>4.6120000000000001</v>
      </c>
      <c r="V161" s="13">
        <f>[69]Insulin!$K$4</f>
        <v>1.7887500000000001</v>
      </c>
      <c r="W161" s="13">
        <f>(Data[[#This Row],[Glucose (umol/L)]]*Data[[#This Row],[Insulin (umol/L)]])/22.5</f>
        <v>0.36665399999999998</v>
      </c>
      <c r="X161" s="13">
        <f>[63]NEFA!$E$7</f>
        <v>662.00300000000004</v>
      </c>
      <c r="Y161" s="13">
        <f>[63]TAG!$E$7</f>
        <v>361.71999999999997</v>
      </c>
      <c r="Z161" s="13">
        <f>'[63]3-OHB'!$E$7</f>
        <v>280.2</v>
      </c>
      <c r="AA161" s="13">
        <f>'[63]Apo B, Cholesterol, HDL, ALT'!$E$17</f>
        <v>4.53</v>
      </c>
      <c r="AB161" s="13">
        <f>'[63]Apo B, Cholesterol, HDL, ALT'!$E$27</f>
        <v>2.2400000000000002</v>
      </c>
      <c r="AC161" s="13">
        <f>Data[[#This Row],[total_chol (umol/L)]]-Data[[#This Row],[HDL_chol (umol/L)]]</f>
        <v>2.29</v>
      </c>
      <c r="AD161" s="13">
        <f>Data[[#This Row],[Non_HDL (umol/L)]]-(Data[[#This Row],[TAG (umol/L)]]/2200)</f>
        <v>2.1255818181818182</v>
      </c>
      <c r="AE161" s="48"/>
      <c r="AF161" s="53">
        <f>'[63]DNL_Bounds Visit A'!$E$16</f>
        <v>4.5286009601113661E-3</v>
      </c>
      <c r="AG161" s="13">
        <f>'[63]DNL_Bounds Visit A'!$E$24</f>
        <v>1.0576987156113189</v>
      </c>
      <c r="AH161" s="23"/>
      <c r="AI161" s="13">
        <f>[4]SAMPLES!$L$110</f>
        <v>23.427910260990448</v>
      </c>
      <c r="AJ161" s="60">
        <f>(Data[[#This Row],[Gluconeogensis (%)]]/100)*Data[[#This Row],[Glucose (umol/L)]]</f>
        <v>1.0804952212368795</v>
      </c>
      <c r="AK161" s="11"/>
    </row>
    <row r="162" spans="1:37" s="27" customFormat="1" x14ac:dyDescent="0.25">
      <c r="A162" s="11">
        <v>177</v>
      </c>
      <c r="B162" s="11" t="s">
        <v>290</v>
      </c>
      <c r="C162" s="11" t="s">
        <v>233</v>
      </c>
      <c r="D162" s="11">
        <v>2</v>
      </c>
      <c r="E162" s="11"/>
      <c r="F162" s="11" t="s">
        <v>227</v>
      </c>
      <c r="G162" s="11">
        <f>[63]Characteristics!$E$8</f>
        <v>48</v>
      </c>
      <c r="H162" s="11">
        <f>'[63]Anthro, DXA, Liver fat'!$E$6</f>
        <v>155</v>
      </c>
      <c r="I162" s="11">
        <f>'[63]Anthro, DXA, Liver fat'!$E$33</f>
        <v>54.5</v>
      </c>
      <c r="J162" s="12">
        <f t="shared" si="7"/>
        <v>22.684703433922994</v>
      </c>
      <c r="K162" s="11">
        <f>'[63]Anthro, DXA, Liver fat'!$E$36</f>
        <v>70</v>
      </c>
      <c r="L162" s="11"/>
      <c r="M162" s="13" t="e">
        <f>Data[[#This Row],[Waist_Circumference]]/Data[[#This Row],[Hip_circumference]]</f>
        <v>#DIV/0!</v>
      </c>
      <c r="N162" s="14">
        <f>'[63]Anthro, DXA, Liver fat'!$E$47</f>
        <v>15040.542793189001</v>
      </c>
      <c r="O162" s="14">
        <f>'[63]Anthro, DXA, Liver fat'!$E$48</f>
        <v>36187.919547156998</v>
      </c>
      <c r="P162" s="14">
        <f t="shared" si="8"/>
        <v>51228.462340345999</v>
      </c>
      <c r="Q162" s="13">
        <f>(Data[[#This Row],[Total_fat_g]]/Data[[#This Row],[Total_mass_g]])*100</f>
        <v>29.359738914793702</v>
      </c>
      <c r="R162" s="13">
        <f>(Data[[#This Row],[Lean_mass_g]]/Data[[#This Row],[Total_mass_g]])*100</f>
        <v>70.640261085206305</v>
      </c>
      <c r="S162" s="13">
        <f>'[63]Anthro, DXA, Liver fat'!$E$55</f>
        <v>74.178363432846993</v>
      </c>
      <c r="T162" s="13">
        <f>'[64]IHTG Corrected'!$D$9</f>
        <v>1.0780861565608957</v>
      </c>
      <c r="U162" s="13">
        <f>[63]Glucose!$E$23</f>
        <v>5.0579999999999998</v>
      </c>
      <c r="V162" s="13">
        <f>[69]Insulin!$K$17</f>
        <v>1.069</v>
      </c>
      <c r="W162" s="13">
        <f>(Data[[#This Row],[Glucose (umol/L)]]*Data[[#This Row],[Insulin (umol/L)]])/22.5</f>
        <v>0.24031119999999997</v>
      </c>
      <c r="X162" s="13">
        <f>[63]NEFA!$E$23</f>
        <v>464.93599999999998</v>
      </c>
      <c r="Y162" s="13">
        <f>[63]TAG!$E$23</f>
        <v>415</v>
      </c>
      <c r="Z162" s="13">
        <f>'[63]3-OHB'!$E$25</f>
        <v>23.9</v>
      </c>
      <c r="AA162" s="13">
        <f>'[63]Apo B, Cholesterol, HDL, ALT'!$E$22</f>
        <v>3.69</v>
      </c>
      <c r="AB162" s="13">
        <f>'[63]Apo B, Cholesterol, HDL, ALT'!$E$32</f>
        <v>1.79</v>
      </c>
      <c r="AC162" s="13">
        <f>Data[[#This Row],[total_chol (umol/L)]]-Data[[#This Row],[HDL_chol (umol/L)]]</f>
        <v>1.9</v>
      </c>
      <c r="AD162" s="13">
        <f>Data[[#This Row],[Non_HDL (umol/L)]]-(Data[[#This Row],[TAG (umol/L)]]/2200)</f>
        <v>1.7113636363636362</v>
      </c>
      <c r="AE162" s="48"/>
      <c r="AF162" s="53">
        <f>'[63]DNL_Bounds Visit B'!$E$16</f>
        <v>5.4080054807680447E-3</v>
      </c>
      <c r="AG162" s="13">
        <f>'[63]DNL_Bounds Visit B'!$E$24</f>
        <v>9.7339949800664609</v>
      </c>
      <c r="AH162" s="23"/>
      <c r="AI162" s="13">
        <f>[4]SAMPLES!$L$111</f>
        <v>18.119124660660272</v>
      </c>
      <c r="AJ162" s="60">
        <f>(Data[[#This Row],[Gluconeogensis (%)]]/100)*Data[[#This Row],[Glucose (umol/L)]]</f>
        <v>0.91646532533619651</v>
      </c>
      <c r="AK162" s="11"/>
    </row>
    <row r="163" spans="1:37" s="27" customFormat="1" x14ac:dyDescent="0.25">
      <c r="A163" s="11">
        <v>178</v>
      </c>
      <c r="B163" s="11" t="s">
        <v>291</v>
      </c>
      <c r="C163" s="11" t="s">
        <v>233</v>
      </c>
      <c r="D163" s="11">
        <v>1</v>
      </c>
      <c r="E163" s="11"/>
      <c r="F163" s="11" t="s">
        <v>228</v>
      </c>
      <c r="G163" s="11">
        <f>[63]Characteristics!$F$8</f>
        <v>51</v>
      </c>
      <c r="H163" s="11">
        <f>'[63]Anthro, DXA, Liver fat'!$F$6</f>
        <v>172</v>
      </c>
      <c r="I163" s="11">
        <f>'[63]Anthro, DXA, Liver fat'!$F$5</f>
        <v>101.1</v>
      </c>
      <c r="J163" s="12">
        <f t="shared" si="7"/>
        <v>34.173877771768524</v>
      </c>
      <c r="K163" s="11">
        <f>'[63]Anthro, DXA, Liver fat'!$F$8</f>
        <v>110</v>
      </c>
      <c r="L163" s="11"/>
      <c r="M163" s="13" t="e">
        <f>Data[[#This Row],[Waist_Circumference]]/Data[[#This Row],[Hip_circumference]]</f>
        <v>#DIV/0!</v>
      </c>
      <c r="N163" s="14">
        <f>'[63]Anthro, DXA, Liver fat'!$F$19</f>
        <v>41876.253297304</v>
      </c>
      <c r="O163" s="14">
        <f>'[63]Anthro, DXA, Liver fat'!$F$20</f>
        <v>55137.732429055002</v>
      </c>
      <c r="P163" s="14">
        <f t="shared" si="8"/>
        <v>97013.985726359009</v>
      </c>
      <c r="Q163" s="13">
        <f>(Data[[#This Row],[Total_fat_g]]/Data[[#This Row],[Total_mass_g]])*100</f>
        <v>43.165171478905734</v>
      </c>
      <c r="R163" s="13">
        <f>(Data[[#This Row],[Lean_mass_g]]/Data[[#This Row],[Total_mass_g]])*100</f>
        <v>56.834828521094259</v>
      </c>
      <c r="S163" s="13">
        <f>'[63]Anthro, DXA, Liver fat'!$F$27</f>
        <v>3347.3785451910999</v>
      </c>
      <c r="T163" s="13">
        <f>'[64]IHTG Corrected'!$D$10</f>
        <v>13.360367421718401</v>
      </c>
      <c r="U163" s="13">
        <f>[63]Glucose!$F$7</f>
        <v>5.3849999999999998</v>
      </c>
      <c r="V163" s="13">
        <f>[70]Insulin!$K$4</f>
        <v>26.11375</v>
      </c>
      <c r="W163" s="13">
        <f>(Data[[#This Row],[Glucose (umol/L)]]*Data[[#This Row],[Insulin (umol/L)]])/22.5</f>
        <v>6.2498908333333336</v>
      </c>
      <c r="X163" s="13">
        <f>[63]NEFA!$F$7</f>
        <v>650.9</v>
      </c>
      <c r="Y163" s="13">
        <f>[63]TAG!$F$7</f>
        <v>1936.6999999999998</v>
      </c>
      <c r="Z163" s="13">
        <f>'[63]3-OHB'!$F$7</f>
        <v>228.1</v>
      </c>
      <c r="AA163" s="13">
        <f>'[63]Apo B, Cholesterol, HDL, ALT'!$F$17</f>
        <v>4.13</v>
      </c>
      <c r="AB163" s="13">
        <f>'[63]Apo B, Cholesterol, HDL, ALT'!$F$27</f>
        <v>0.87</v>
      </c>
      <c r="AC163" s="13">
        <f>Data[[#This Row],[total_chol (umol/L)]]-Data[[#This Row],[HDL_chol (umol/L)]]</f>
        <v>3.26</v>
      </c>
      <c r="AD163" s="13">
        <f>Data[[#This Row],[Non_HDL (umol/L)]]-(Data[[#This Row],[TAG (umol/L)]]/2200)</f>
        <v>2.379681818181818</v>
      </c>
      <c r="AE163" s="13">
        <f>[66]Data!$AQ$83</f>
        <v>630.72301339591638</v>
      </c>
      <c r="AF163" s="53">
        <f>'[63]DNL_Bounds Visit A'!$F$16</f>
        <v>4.6447236832245324E-3</v>
      </c>
      <c r="AG163" s="13">
        <f>'[63]DNL_Bounds Visit A'!$F$24</f>
        <v>4.796355216622195</v>
      </c>
      <c r="AH163" s="23">
        <f>(Data[[#This Row],[DNL (%)]]/100)*Data[[#This Row],[VLDL (umol/L)]]</f>
        <v>30.251716155451742</v>
      </c>
      <c r="AI163" s="13">
        <f>[4]SAMPLES!$L$112</f>
        <v>27.618721471000505</v>
      </c>
      <c r="AJ163" s="60">
        <f>(Data[[#This Row],[Gluconeogensis (%)]]/100)*Data[[#This Row],[Glucose (umol/L)]]</f>
        <v>1.4872681512133772</v>
      </c>
      <c r="AK163" s="11"/>
    </row>
    <row r="164" spans="1:37" s="27" customFormat="1" x14ac:dyDescent="0.25">
      <c r="A164" s="11">
        <v>179</v>
      </c>
      <c r="B164" s="11" t="s">
        <v>291</v>
      </c>
      <c r="C164" s="11" t="s">
        <v>233</v>
      </c>
      <c r="D164" s="11">
        <v>2</v>
      </c>
      <c r="E164" s="11"/>
      <c r="F164" s="11" t="s">
        <v>228</v>
      </c>
      <c r="G164" s="11">
        <f>[63]Characteristics!$F$8</f>
        <v>51</v>
      </c>
      <c r="H164" s="11">
        <f>'[63]Anthro, DXA, Liver fat'!$F$6</f>
        <v>172</v>
      </c>
      <c r="I164" s="11">
        <f>'[63]Anthro, DXA, Liver fat'!$F$33</f>
        <v>102</v>
      </c>
      <c r="J164" s="12">
        <f t="shared" si="7"/>
        <v>34.478096268253111</v>
      </c>
      <c r="K164" s="11">
        <f>'[63]Anthro, DXA, Liver fat'!$F$36</f>
        <v>111</v>
      </c>
      <c r="L164" s="11"/>
      <c r="M164" s="13" t="e">
        <f>Data[[#This Row],[Waist_Circumference]]/Data[[#This Row],[Hip_circumference]]</f>
        <v>#DIV/0!</v>
      </c>
      <c r="N164" s="14">
        <f>'[63]Anthro, DXA, Liver fat'!$F$47</f>
        <v>42455.238010679001</v>
      </c>
      <c r="O164" s="14">
        <f>'[63]Anthro, DXA, Liver fat'!$F$48</f>
        <v>55149.112174645001</v>
      </c>
      <c r="P164" s="14">
        <f t="shared" si="8"/>
        <v>97604.350185324001</v>
      </c>
      <c r="Q164" s="13">
        <f>(Data[[#This Row],[Total_fat_g]]/Data[[#This Row],[Total_mass_g]])*100</f>
        <v>43.497280531111677</v>
      </c>
      <c r="R164" s="13">
        <f>(Data[[#This Row],[Lean_mass_g]]/Data[[#This Row],[Total_mass_g]])*100</f>
        <v>56.502719468888316</v>
      </c>
      <c r="S164" s="13">
        <f>'[63]Anthro, DXA, Liver fat'!$F$55</f>
        <v>3325.7360139984999</v>
      </c>
      <c r="T164" s="13">
        <f>'[64]IHTG Corrected'!$D$11</f>
        <v>16.841328813142425</v>
      </c>
      <c r="U164" s="13">
        <f>[63]Glucose!$F$23</f>
        <v>5.226</v>
      </c>
      <c r="V164" s="13">
        <f>[70]Insulin!$K$17</f>
        <v>22.372499999999999</v>
      </c>
      <c r="W164" s="13">
        <f>(Data[[#This Row],[Glucose (umol/L)]]*Data[[#This Row],[Insulin (umol/L)]])/22.5</f>
        <v>5.1963859999999995</v>
      </c>
      <c r="X164" s="13">
        <f>[63]NEFA!$F$23</f>
        <v>573.9</v>
      </c>
      <c r="Y164" s="13">
        <f>[63]TAG!$F$23</f>
        <v>2262.5</v>
      </c>
      <c r="Z164" s="13">
        <f>'[63]3-OHB'!$F$25</f>
        <v>46.6</v>
      </c>
      <c r="AA164" s="13">
        <f>'[63]Apo B, Cholesterol, HDL, ALT'!$F$22</f>
        <v>4.71</v>
      </c>
      <c r="AB164" s="13">
        <f>'[63]Apo B, Cholesterol, HDL, ALT'!$F$32</f>
        <v>0.88</v>
      </c>
      <c r="AC164" s="13">
        <f>Data[[#This Row],[total_chol (umol/L)]]-Data[[#This Row],[HDL_chol (umol/L)]]</f>
        <v>3.83</v>
      </c>
      <c r="AD164" s="13">
        <f>Data[[#This Row],[Non_HDL (umol/L)]]-(Data[[#This Row],[TAG (umol/L)]]/2200)</f>
        <v>2.8015909090909092</v>
      </c>
      <c r="AE164" s="13">
        <f>[66]Data!$AQ$93</f>
        <v>464.13234175992784</v>
      </c>
      <c r="AF164" s="53">
        <f>'[63]DNL_Bounds Visit B'!$F$16</f>
        <v>6.1552859751944199E-3</v>
      </c>
      <c r="AG164" s="13">
        <f>'[63]DNL_Bounds Visit B'!$F$24</f>
        <v>12.879656667306886</v>
      </c>
      <c r="AH164" s="23">
        <f>(Data[[#This Row],[DNL (%)]]/100)*Data[[#This Row],[VLDL (umol/L)]]</f>
        <v>59.778652100610124</v>
      </c>
      <c r="AI164" s="13">
        <f>[4]SAMPLES!$L$113</f>
        <v>22.112520376957562</v>
      </c>
      <c r="AJ164" s="60">
        <f>(Data[[#This Row],[Gluconeogensis (%)]]/100)*Data[[#This Row],[Glucose (umol/L)]]</f>
        <v>1.1556003148998022</v>
      </c>
      <c r="AK164" s="11"/>
    </row>
    <row r="165" spans="1:37" s="27" customFormat="1" x14ac:dyDescent="0.25">
      <c r="A165" s="11">
        <v>180</v>
      </c>
      <c r="B165" s="11" t="s">
        <v>292</v>
      </c>
      <c r="C165" s="11" t="s">
        <v>233</v>
      </c>
      <c r="D165" s="11">
        <v>1</v>
      </c>
      <c r="E165" s="11"/>
      <c r="F165" s="11" t="s">
        <v>227</v>
      </c>
      <c r="G165" s="11">
        <f>[63]Characteristics!$H$8</f>
        <v>49</v>
      </c>
      <c r="H165" s="11">
        <f>'[63]Anthro, DXA, Liver fat'!$H$6</f>
        <v>166</v>
      </c>
      <c r="I165" s="11">
        <f>'[63]Anthro, DXA, Liver fat'!$H$5</f>
        <v>63.5</v>
      </c>
      <c r="J165" s="12">
        <f t="shared" si="7"/>
        <v>23.043983161561911</v>
      </c>
      <c r="K165" s="11">
        <f>'[63]Anthro, DXA, Liver fat'!$H$8</f>
        <v>75</v>
      </c>
      <c r="L165" s="11"/>
      <c r="M165" s="13" t="e">
        <f>Data[[#This Row],[Waist_Circumference]]/Data[[#This Row],[Hip_circumference]]</f>
        <v>#DIV/0!</v>
      </c>
      <c r="N165" s="14">
        <f>'[63]Anthro, DXA, Liver fat'!$H$19</f>
        <v>19569.043729361001</v>
      </c>
      <c r="O165" s="14">
        <f>'[63]Anthro, DXA, Liver fat'!$H$20</f>
        <v>41413.576709948</v>
      </c>
      <c r="P165" s="14">
        <f t="shared" si="8"/>
        <v>60982.620439309001</v>
      </c>
      <c r="Q165" s="13">
        <f>(Data[[#This Row],[Total_fat_g]]/Data[[#This Row],[Total_mass_g]])*100</f>
        <v>32.089542214468239</v>
      </c>
      <c r="R165" s="13">
        <f>(Data[[#This Row],[Lean_mass_g]]/Data[[#This Row],[Total_mass_g]])*100</f>
        <v>67.910457785531747</v>
      </c>
      <c r="S165" s="13">
        <f>'[63]Anthro, DXA, Liver fat'!$H$27</f>
        <v>623.77211829369003</v>
      </c>
      <c r="T165" s="13">
        <f>'[64]IHTG Corrected'!$D$14</f>
        <v>1.4468706877171309</v>
      </c>
      <c r="U165" s="13">
        <f>[63]Glucose!$H$7</f>
        <v>5.6340000000000003</v>
      </c>
      <c r="V165" s="13">
        <f>[71]Insulin!$I$3</f>
        <v>12.521000000000001</v>
      </c>
      <c r="W165" s="13">
        <f>(Data[[#This Row],[Glucose (umol/L)]]*Data[[#This Row],[Insulin (umol/L)]])/22.5</f>
        <v>3.1352584000000006</v>
      </c>
      <c r="X165" s="13">
        <f>[63]NEFA!$H$7</f>
        <v>416.1</v>
      </c>
      <c r="Y165" s="13">
        <f>[63]TAG!$H$7</f>
        <v>2034.4999999999998</v>
      </c>
      <c r="Z165" s="13">
        <f>'[63]3-OHB'!$H$7</f>
        <v>31</v>
      </c>
      <c r="AA165" s="13">
        <f>'[63]Apo B, Cholesterol, HDL, ALT'!$H$17</f>
        <v>3.96</v>
      </c>
      <c r="AB165" s="13">
        <f>'[63]Apo B, Cholesterol, HDL, ALT'!$H$27</f>
        <v>0.91</v>
      </c>
      <c r="AC165" s="13">
        <f>Data[[#This Row],[total_chol (umol/L)]]-Data[[#This Row],[HDL_chol (umol/L)]]</f>
        <v>3.05</v>
      </c>
      <c r="AD165" s="13">
        <f>Data[[#This Row],[Non_HDL (umol/L)]]-(Data[[#This Row],[TAG (umol/L)]]/2200)</f>
        <v>2.1252272727272725</v>
      </c>
      <c r="AE165" s="13">
        <f>[66]Data!$AQ$123</f>
        <v>367.44571939256684</v>
      </c>
      <c r="AF165" s="53">
        <f>'[63]DNL_Bounds Visit A'!$H$16</f>
        <v>5.6078369066862093E-3</v>
      </c>
      <c r="AG165" s="13">
        <f>'[63]DNL_Bounds Visit A'!$H$24</f>
        <v>4.8781816561912672</v>
      </c>
      <c r="AH165" s="23">
        <f>(Data[[#This Row],[DNL (%)]]/100)*Data[[#This Row],[VLDL (umol/L)]]</f>
        <v>17.924669679868234</v>
      </c>
      <c r="AI165" s="13">
        <f>[4]SAMPLES!$L$114</f>
        <v>13.156735399284189</v>
      </c>
      <c r="AJ165" s="60">
        <f>(Data[[#This Row],[Gluconeogensis (%)]]/100)*Data[[#This Row],[Glucose (umol/L)]]</f>
        <v>0.74125047239567121</v>
      </c>
      <c r="AK165" s="11"/>
    </row>
    <row r="166" spans="1:37" s="27" customFormat="1" x14ac:dyDescent="0.25">
      <c r="A166" s="11">
        <v>181</v>
      </c>
      <c r="B166" s="11" t="s">
        <v>292</v>
      </c>
      <c r="C166" s="11" t="s">
        <v>233</v>
      </c>
      <c r="D166" s="11">
        <v>2</v>
      </c>
      <c r="E166" s="11"/>
      <c r="F166" s="11" t="s">
        <v>227</v>
      </c>
      <c r="G166" s="11">
        <f>[63]Characteristics!$H$8</f>
        <v>49</v>
      </c>
      <c r="H166" s="11">
        <f>'[63]Anthro, DXA, Liver fat'!$H$6</f>
        <v>166</v>
      </c>
      <c r="I166" s="11">
        <f>'[63]Anthro, DXA, Liver fat'!$H$33</f>
        <v>63.7</v>
      </c>
      <c r="J166" s="12">
        <f t="shared" si="7"/>
        <v>23.116562636086517</v>
      </c>
      <c r="K166" s="11">
        <f>'[63]Anthro, DXA, Liver fat'!$H$36</f>
        <v>74</v>
      </c>
      <c r="L166" s="11"/>
      <c r="M166" s="13" t="e">
        <f>Data[[#This Row],[Waist_Circumference]]/Data[[#This Row],[Hip_circumference]]</f>
        <v>#DIV/0!</v>
      </c>
      <c r="N166" s="14">
        <f>'[63]Anthro, DXA, Liver fat'!$H$47</f>
        <v>19881.333785890001</v>
      </c>
      <c r="O166" s="14">
        <f>'[63]Anthro, DXA, Liver fat'!$H$48</f>
        <v>41161.789583867001</v>
      </c>
      <c r="P166" s="14">
        <f t="shared" si="8"/>
        <v>61043.123369756999</v>
      </c>
      <c r="Q166" s="13">
        <f>(Data[[#This Row],[Total_fat_g]]/Data[[#This Row],[Total_mass_g]])*100</f>
        <v>32.569325893536998</v>
      </c>
      <c r="R166" s="13">
        <f>(Data[[#This Row],[Lean_mass_g]]/Data[[#This Row],[Total_mass_g]])*100</f>
        <v>67.430674106463002</v>
      </c>
      <c r="S166" s="13">
        <f>'[63]Anthro, DXA, Liver fat'!$H$55</f>
        <v>596.98182924054004</v>
      </c>
      <c r="T166" s="13">
        <f>'[64]IHTG Corrected'!$D$15</f>
        <v>1.2461134544600578</v>
      </c>
      <c r="U166" s="13">
        <f>[63]Glucose!$H$23</f>
        <v>6.048</v>
      </c>
      <c r="V166" s="13">
        <f>[71]Insulin!$I$15</f>
        <v>12.301500000000001</v>
      </c>
      <c r="W166" s="13">
        <f>(Data[[#This Row],[Glucose (umol/L)]]*Data[[#This Row],[Insulin (umol/L)]])/22.5</f>
        <v>3.3066432000000003</v>
      </c>
      <c r="X166" s="13">
        <f>[63]NEFA!$H$23</f>
        <v>391.9</v>
      </c>
      <c r="Y166" s="13">
        <f>[63]TAG!$H$23</f>
        <v>1524</v>
      </c>
      <c r="Z166" s="13">
        <f>'[63]3-OHB'!$H$25</f>
        <v>34.700000000000003</v>
      </c>
      <c r="AA166" s="13">
        <f>'[63]Apo B, Cholesterol, HDL, ALT'!$H$22</f>
        <v>4.13</v>
      </c>
      <c r="AB166" s="13">
        <f>'[63]Apo B, Cholesterol, HDL, ALT'!$H$32</f>
        <v>1.04</v>
      </c>
      <c r="AC166" s="13">
        <f>Data[[#This Row],[total_chol (umol/L)]]-Data[[#This Row],[HDL_chol (umol/L)]]</f>
        <v>3.09</v>
      </c>
      <c r="AD166" s="13">
        <f>Data[[#This Row],[Non_HDL (umol/L)]]-(Data[[#This Row],[TAG (umol/L)]]/2200)</f>
        <v>2.397272727272727</v>
      </c>
      <c r="AE166" s="13">
        <f>[66]Data!$AQ$133</f>
        <v>546.85929523108848</v>
      </c>
      <c r="AF166" s="53">
        <f>'[63]DNL_Bounds Visit B'!$H$16</f>
        <v>5.9989440550630747E-3</v>
      </c>
      <c r="AG166" s="13">
        <f>'[63]DNL_Bounds Visit B'!$H$24</f>
        <v>11.434463732810638</v>
      </c>
      <c r="AH166" s="23">
        <f>(Data[[#This Row],[DNL (%)]]/100)*Data[[#This Row],[VLDL (umol/L)]]</f>
        <v>62.530427782702667</v>
      </c>
      <c r="AI166" s="13">
        <f>[4]SAMPLES!$L$115</f>
        <v>9.9312198666720022</v>
      </c>
      <c r="AJ166" s="60">
        <f>(Data[[#This Row],[Gluconeogensis (%)]]/100)*Data[[#This Row],[Glucose (umol/L)]]</f>
        <v>0.60064017753632271</v>
      </c>
      <c r="AK166" s="11"/>
    </row>
    <row r="167" spans="1:37" s="27" customFormat="1" x14ac:dyDescent="0.25">
      <c r="A167" s="11">
        <v>182</v>
      </c>
      <c r="B167" s="11" t="s">
        <v>293</v>
      </c>
      <c r="C167" s="11" t="s">
        <v>233</v>
      </c>
      <c r="D167" s="11">
        <v>1</v>
      </c>
      <c r="E167" s="11"/>
      <c r="F167" s="11" t="s">
        <v>228</v>
      </c>
      <c r="G167" s="11">
        <f>[63]Characteristics!$I$8</f>
        <v>47</v>
      </c>
      <c r="H167" s="11">
        <f>'[63]Anthro, DXA, Liver fat'!$I$6</f>
        <v>184</v>
      </c>
      <c r="I167" s="11">
        <f>'[63]Anthro, DXA, Liver fat'!$I$5</f>
        <v>105.7</v>
      </c>
      <c r="J167" s="12">
        <f t="shared" si="7"/>
        <v>31.220463137996219</v>
      </c>
      <c r="K167" s="11">
        <f>'[63]Anthro, DXA, Liver fat'!$I$8</f>
        <v>105</v>
      </c>
      <c r="L167" s="11"/>
      <c r="M167" s="13" t="e">
        <f>Data[[#This Row],[Waist_Circumference]]/Data[[#This Row],[Hip_circumference]]</f>
        <v>#DIV/0!</v>
      </c>
      <c r="N167" s="14">
        <f>'[63]Anthro, DXA, Liver fat'!$I$19</f>
        <v>33884.635297781002</v>
      </c>
      <c r="O167" s="14">
        <f>'[63]Anthro, DXA, Liver fat'!$I$20</f>
        <v>67575.288749337997</v>
      </c>
      <c r="P167" s="14">
        <f t="shared" ref="P167:P198" si="9">N167+O167</f>
        <v>101459.924047119</v>
      </c>
      <c r="Q167" s="13">
        <f>(Data[[#This Row],[Total_fat_g]]/Data[[#This Row],[Total_mass_g]])*100</f>
        <v>33.397063536184632</v>
      </c>
      <c r="R167" s="13">
        <f>(Data[[#This Row],[Lean_mass_g]]/Data[[#This Row],[Total_mass_g]])*100</f>
        <v>66.602936463815368</v>
      </c>
      <c r="S167" s="13">
        <f>'[63]Anthro, DXA, Liver fat'!$I$27</f>
        <v>2099.9199084451998</v>
      </c>
      <c r="T167" s="13">
        <f>'[64]IHTG Corrected'!$D$16</f>
        <v>4.3729280712400396</v>
      </c>
      <c r="U167" s="13">
        <f>[63]Glucose!$I$7</f>
        <v>5.7149999999999999</v>
      </c>
      <c r="V167" s="13">
        <f>[72]Insulin!$I$3</f>
        <v>11.161999999999999</v>
      </c>
      <c r="W167" s="13">
        <f>(Data[[#This Row],[Glucose (umol/L)]]*Data[[#This Row],[Insulin (umol/L)]])/22.5</f>
        <v>2.8351479999999998</v>
      </c>
      <c r="X167" s="13">
        <f>[63]NEFA!$I$7</f>
        <v>589.9</v>
      </c>
      <c r="Y167" s="13">
        <f>[63]TAG!$I$7</f>
        <v>1263.9000000000001</v>
      </c>
      <c r="Z167" s="13">
        <f>'[63]3-OHB'!$I$7</f>
        <v>153.1</v>
      </c>
      <c r="AA167" s="13">
        <f>'[63]Apo B, Cholesterol, HDL, ALT'!$I$17</f>
        <v>5.34</v>
      </c>
      <c r="AB167" s="13">
        <f>'[63]Apo B, Cholesterol, HDL, ALT'!$I$27</f>
        <v>0.88</v>
      </c>
      <c r="AC167" s="13">
        <f>Data[[#This Row],[total_chol (umol/L)]]-Data[[#This Row],[HDL_chol (umol/L)]]</f>
        <v>4.46</v>
      </c>
      <c r="AD167" s="13">
        <f>Data[[#This Row],[Non_HDL (umol/L)]]-(Data[[#This Row],[TAG (umol/L)]]/2200)</f>
        <v>3.8855</v>
      </c>
      <c r="AE167" s="13">
        <f>[66]Data!$AQ$143</f>
        <v>376.38064756596009</v>
      </c>
      <c r="AF167" s="53">
        <f>'[63]DNL_Bounds Visit A'!$I$16</f>
        <v>4.7159381146575606E-3</v>
      </c>
      <c r="AG167" s="13">
        <f>'[63]DNL_Bounds Visit A'!$I$24</f>
        <v>3.4602616037070848</v>
      </c>
      <c r="AH167" s="23">
        <f>(Data[[#This Row],[DNL (%)]]/100)*Data[[#This Row],[VLDL (umol/L)]]</f>
        <v>13.023755031509001</v>
      </c>
      <c r="AI167" s="13">
        <f>[4]SAMPLES!$L$116</f>
        <v>26.047019318455611</v>
      </c>
      <c r="AJ167" s="60">
        <f>(Data[[#This Row],[Gluconeogensis (%)]]/100)*Data[[#This Row],[Glucose (umol/L)]]</f>
        <v>1.4885871540497382</v>
      </c>
      <c r="AK167" s="11"/>
    </row>
    <row r="168" spans="1:37" s="27" customFormat="1" x14ac:dyDescent="0.25">
      <c r="A168" s="11">
        <v>183</v>
      </c>
      <c r="B168" s="11" t="s">
        <v>293</v>
      </c>
      <c r="C168" s="11" t="s">
        <v>233</v>
      </c>
      <c r="D168" s="11">
        <v>2</v>
      </c>
      <c r="E168" s="11"/>
      <c r="F168" s="11" t="s">
        <v>228</v>
      </c>
      <c r="G168" s="11">
        <f>[63]Characteristics!$I$8</f>
        <v>47</v>
      </c>
      <c r="H168" s="11">
        <f>'[63]Anthro, DXA, Liver fat'!$I$6</f>
        <v>184</v>
      </c>
      <c r="I168" s="11">
        <f>'[63]Anthro, DXA, Liver fat'!$I$33</f>
        <v>107.3</v>
      </c>
      <c r="J168" s="12">
        <f t="shared" si="7"/>
        <v>31.693052930056709</v>
      </c>
      <c r="K168" s="11">
        <f>'[63]Anthro, DXA, Liver fat'!$I$36</f>
        <v>107</v>
      </c>
      <c r="L168" s="11"/>
      <c r="M168" s="13" t="e">
        <f>Data[[#This Row],[Waist_Circumference]]/Data[[#This Row],[Hip_circumference]]</f>
        <v>#DIV/0!</v>
      </c>
      <c r="N168" s="14">
        <f>'[63]Anthro, DXA, Liver fat'!$I$47</f>
        <v>33722.398504488003</v>
      </c>
      <c r="O168" s="14">
        <f>'[63]Anthro, DXA, Liver fat'!$I$48</f>
        <v>68762.354195826003</v>
      </c>
      <c r="P168" s="14">
        <f t="shared" si="9"/>
        <v>102484.75270031401</v>
      </c>
      <c r="Q168" s="13">
        <f>(Data[[#This Row],[Total_fat_g]]/Data[[#This Row],[Total_mass_g]])*100</f>
        <v>32.904795704683082</v>
      </c>
      <c r="R168" s="13">
        <f>(Data[[#This Row],[Lean_mass_g]]/Data[[#This Row],[Total_mass_g]])*100</f>
        <v>67.095204295316918</v>
      </c>
      <c r="S168" s="13">
        <f>'[63]Anthro, DXA, Liver fat'!$I$55</f>
        <v>2167.9806801926002</v>
      </c>
      <c r="T168" s="13">
        <f>'[64]IHTG Corrected'!$D$17</f>
        <v>5.9814592678801377</v>
      </c>
      <c r="U168" s="13">
        <f>[63]Glucose!$I$23</f>
        <v>5.4850000000000003</v>
      </c>
      <c r="V168" s="13">
        <f>[72]Insulin!$I$15</f>
        <v>12.977499999999999</v>
      </c>
      <c r="W168" s="13">
        <f>(Data[[#This Row],[Glucose (umol/L)]]*Data[[#This Row],[Insulin (umol/L)]])/22.5</f>
        <v>3.1636261111111112</v>
      </c>
      <c r="X168" s="13">
        <f>[63]NEFA!$I$23</f>
        <v>171.8</v>
      </c>
      <c r="Y168" s="13">
        <f>[63]TAG!$I$23</f>
        <v>1728.1000000000001</v>
      </c>
      <c r="Z168" s="13">
        <f>'[63]3-OHB'!$I$25</f>
        <v>25</v>
      </c>
      <c r="AA168" s="13">
        <f>'[63]Apo B, Cholesterol, HDL, ALT'!$I$22</f>
        <v>5.52</v>
      </c>
      <c r="AB168" s="13">
        <f>'[63]Apo B, Cholesterol, HDL, ALT'!$I$32</f>
        <v>0.86</v>
      </c>
      <c r="AC168" s="13">
        <f>Data[[#This Row],[total_chol (umol/L)]]-Data[[#This Row],[HDL_chol (umol/L)]]</f>
        <v>4.6599999999999993</v>
      </c>
      <c r="AD168" s="13">
        <f>Data[[#This Row],[Non_HDL (umol/L)]]-(Data[[#This Row],[TAG (umol/L)]]/2200)</f>
        <v>3.8744999999999994</v>
      </c>
      <c r="AE168" s="13">
        <f>[66]Data!$AQ$153</f>
        <v>422.81276771940463</v>
      </c>
      <c r="AF168" s="53">
        <f>'[63]DNL_Bounds Visit B'!$I$16</f>
        <v>6.5594002416359681E-3</v>
      </c>
      <c r="AG168" s="13">
        <f>'[63]DNL_Bounds Visit B'!$I$24</f>
        <v>8.3683259260141689</v>
      </c>
      <c r="AH168" s="23">
        <f>(Data[[#This Row],[DNL (%)]]/100)*Data[[#This Row],[VLDL (umol/L)]]</f>
        <v>35.38235045956101</v>
      </c>
      <c r="AI168" s="13">
        <f>[4]SAMPLES!$L$117</f>
        <v>22.096778741320261</v>
      </c>
      <c r="AJ168" s="60">
        <f>(Data[[#This Row],[Gluconeogensis (%)]]/100)*Data[[#This Row],[Glucose (umol/L)]]</f>
        <v>1.2120083139614164</v>
      </c>
      <c r="AK168" s="11"/>
    </row>
    <row r="169" spans="1:37" s="27" customFormat="1" x14ac:dyDescent="0.25">
      <c r="A169" s="11">
        <v>184</v>
      </c>
      <c r="B169" s="11" t="s">
        <v>294</v>
      </c>
      <c r="C169" s="11" t="s">
        <v>233</v>
      </c>
      <c r="D169" s="11">
        <v>1</v>
      </c>
      <c r="E169" s="11"/>
      <c r="F169" s="11" t="s">
        <v>228</v>
      </c>
      <c r="G169" s="11">
        <f>[63]Characteristics!$J$8</f>
        <v>45</v>
      </c>
      <c r="H169" s="11">
        <f>'[63]Anthro, DXA, Liver fat'!$J$6</f>
        <v>180</v>
      </c>
      <c r="I169" s="11">
        <f>'[63]Anthro, DXA, Liver fat'!$J$5</f>
        <v>80.2</v>
      </c>
      <c r="J169" s="12">
        <f t="shared" si="7"/>
        <v>24.753086419753085</v>
      </c>
      <c r="K169" s="11">
        <f>'[63]Anthro, DXA, Liver fat'!$J$8</f>
        <v>90</v>
      </c>
      <c r="L169" s="11"/>
      <c r="M169" s="13" t="e">
        <f>Data[[#This Row],[Waist_Circumference]]/Data[[#This Row],[Hip_circumference]]</f>
        <v>#DIV/0!</v>
      </c>
      <c r="N169" s="14">
        <f>'[63]Anthro, DXA, Liver fat'!$J$19</f>
        <v>21692.878159070999</v>
      </c>
      <c r="O169" s="14">
        <f>'[63]Anthro, DXA, Liver fat'!$J$20</f>
        <v>54920.472689157999</v>
      </c>
      <c r="P169" s="14">
        <f t="shared" si="9"/>
        <v>76613.350848228991</v>
      </c>
      <c r="Q169" s="13">
        <f>(Data[[#This Row],[Total_fat_g]]/Data[[#This Row],[Total_mass_g]])*100</f>
        <v>28.314749216549188</v>
      </c>
      <c r="R169" s="13">
        <f>(Data[[#This Row],[Lean_mass_g]]/Data[[#This Row],[Total_mass_g]])*100</f>
        <v>71.685250783450826</v>
      </c>
      <c r="S169" s="13">
        <f>'[63]Anthro, DXA, Liver fat'!$J$27</f>
        <v>1127.3825293934999</v>
      </c>
      <c r="T169" s="13">
        <f>'[64]IHTG Corrected'!$D$18</f>
        <v>1.7130874565484364</v>
      </c>
      <c r="U169" s="13">
        <f>[63]Glucose!$J$7</f>
        <v>4.83</v>
      </c>
      <c r="V169" s="13">
        <f>[73]Insulin!$I$3</f>
        <v>10.323499999999999</v>
      </c>
      <c r="W169" s="13">
        <f>(Data[[#This Row],[Glucose (umol/L)]]*Data[[#This Row],[Insulin (umol/L)]])/22.5</f>
        <v>2.2161113333333331</v>
      </c>
      <c r="X169" s="13">
        <f>[63]NEFA!$J$7</f>
        <v>339.9</v>
      </c>
      <c r="Y169" s="13">
        <f>[63]TAG!$J$7</f>
        <v>1153</v>
      </c>
      <c r="Z169" s="13">
        <f>'[63]3-OHB'!$J$7</f>
        <v>106.7</v>
      </c>
      <c r="AA169" s="13">
        <f>'[63]Apo B, Cholesterol, HDL, ALT'!$J$17</f>
        <v>3.95</v>
      </c>
      <c r="AB169" s="13">
        <f>'[63]Apo B, Cholesterol, HDL, ALT'!$J$27</f>
        <v>0.73</v>
      </c>
      <c r="AC169" s="13">
        <f>Data[[#This Row],[total_chol (umol/L)]]-Data[[#This Row],[HDL_chol (umol/L)]]</f>
        <v>3.22</v>
      </c>
      <c r="AD169" s="13">
        <f>Data[[#This Row],[Non_HDL (umol/L)]]-(Data[[#This Row],[TAG (umol/L)]]/2200)</f>
        <v>2.6959090909090913</v>
      </c>
      <c r="AE169" s="13">
        <f>[66]Data!$AQ$163</f>
        <v>271.96287354444547</v>
      </c>
      <c r="AF169" s="53">
        <f>'[63]DNL_Bounds Visit A'!$J$16</f>
        <v>3.1165525573768667E-3</v>
      </c>
      <c r="AG169" s="13">
        <f>'[63]DNL_Bounds Visit A'!$J$24</f>
        <v>10.434802176977733</v>
      </c>
      <c r="AH169" s="23">
        <f>(Data[[#This Row],[DNL (%)]]/100)*Data[[#This Row],[VLDL (umol/L)]]</f>
        <v>28.378787849186999</v>
      </c>
      <c r="AI169" s="13">
        <f>[4]SAMPLES!$L$118</f>
        <v>32.205762588276841</v>
      </c>
      <c r="AJ169" s="60">
        <f>(Data[[#This Row],[Gluconeogensis (%)]]/100)*Data[[#This Row],[Glucose (umol/L)]]</f>
        <v>1.5555383330137715</v>
      </c>
      <c r="AK169" s="11"/>
    </row>
    <row r="170" spans="1:37" s="27" customFormat="1" x14ac:dyDescent="0.25">
      <c r="A170" s="11">
        <v>185</v>
      </c>
      <c r="B170" s="11" t="s">
        <v>294</v>
      </c>
      <c r="C170" s="11" t="s">
        <v>233</v>
      </c>
      <c r="D170" s="11">
        <v>2</v>
      </c>
      <c r="E170" s="11"/>
      <c r="F170" s="11" t="s">
        <v>228</v>
      </c>
      <c r="G170" s="11">
        <f>[63]Characteristics!$J$8</f>
        <v>45</v>
      </c>
      <c r="H170" s="11">
        <f>'[63]Anthro, DXA, Liver fat'!$J$6</f>
        <v>180</v>
      </c>
      <c r="I170" s="11">
        <f>'[63]Anthro, DXA, Liver fat'!$J$33</f>
        <v>81.7</v>
      </c>
      <c r="J170" s="12">
        <f t="shared" si="7"/>
        <v>25.216049382716047</v>
      </c>
      <c r="K170" s="47"/>
      <c r="L170" s="11"/>
      <c r="M170" s="13" t="e">
        <f>Data[[#This Row],[Waist_Circumference]]/Data[[#This Row],[Hip_circumference]]</f>
        <v>#DIV/0!</v>
      </c>
      <c r="N170" s="14">
        <f>'[63]Anthro, DXA, Liver fat'!$J$47</f>
        <v>23367.834807620999</v>
      </c>
      <c r="O170" s="14">
        <f>'[63]Anthro, DXA, Liver fat'!$J$48</f>
        <v>55213.413544169998</v>
      </c>
      <c r="P170" s="14">
        <f t="shared" si="9"/>
        <v>78581.248351791</v>
      </c>
      <c r="Q170" s="13">
        <f>(Data[[#This Row],[Total_fat_g]]/Data[[#This Row],[Total_mass_g]])*100</f>
        <v>29.737164142529693</v>
      </c>
      <c r="R170" s="13">
        <f>(Data[[#This Row],[Lean_mass_g]]/Data[[#This Row],[Total_mass_g]])*100</f>
        <v>70.262835857470307</v>
      </c>
      <c r="S170" s="13">
        <f>'[63]Anthro, DXA, Liver fat'!$J$55</f>
        <v>1147.5537507935001</v>
      </c>
      <c r="T170" s="13">
        <f>'[64]IHTG Corrected'!$D$19</f>
        <v>3.1685316205237588</v>
      </c>
      <c r="U170" s="13">
        <f>[63]Glucose!$J$23</f>
        <v>5.1369999999999996</v>
      </c>
      <c r="V170" s="13">
        <f>[73]Insulin!$I$15</f>
        <v>11.9015</v>
      </c>
      <c r="W170" s="13">
        <f>(Data[[#This Row],[Glucose (umol/L)]]*Data[[#This Row],[Insulin (umol/L)]])/22.5</f>
        <v>2.717244688888889</v>
      </c>
      <c r="X170" s="13">
        <f>[63]NEFA!$J$23</f>
        <v>239.3</v>
      </c>
      <c r="Y170" s="13">
        <f>[63]TAG!$J$23</f>
        <v>1481.1999999999998</v>
      </c>
      <c r="Z170" s="13">
        <f>'[63]3-OHB'!$J$25</f>
        <v>28.9</v>
      </c>
      <c r="AA170" s="13">
        <f>'[63]Apo B, Cholesterol, HDL, ALT'!$J$22</f>
        <v>4.4400000000000004</v>
      </c>
      <c r="AB170" s="13">
        <f>'[63]Apo B, Cholesterol, HDL, ALT'!$J$32</f>
        <v>0.82</v>
      </c>
      <c r="AC170" s="13">
        <f>Data[[#This Row],[total_chol (umol/L)]]-Data[[#This Row],[HDL_chol (umol/L)]]</f>
        <v>3.6200000000000006</v>
      </c>
      <c r="AD170" s="13">
        <f>Data[[#This Row],[Non_HDL (umol/L)]]-(Data[[#This Row],[TAG (umol/L)]]/2200)</f>
        <v>2.9467272727272733</v>
      </c>
      <c r="AE170" s="13">
        <f>[66]Data!$AQ$173</f>
        <v>408.80977798871561</v>
      </c>
      <c r="AF170" s="53">
        <f>'[63]DNL_Bounds Visit B'!$J$16</f>
        <v>3.3549041099210407E-3</v>
      </c>
      <c r="AG170" s="13">
        <f>'[63]DNL_Bounds Visit B'!$J$24</f>
        <v>15.703199028596732</v>
      </c>
      <c r="AH170" s="23">
        <f>(Data[[#This Row],[DNL (%)]]/100)*Data[[#This Row],[VLDL (umol/L)]]</f>
        <v>64.196213085932442</v>
      </c>
      <c r="AI170" s="13">
        <f>[4]SAMPLES!$L$119</f>
        <v>26.077636893130641</v>
      </c>
      <c r="AJ170" s="60">
        <f>(Data[[#This Row],[Gluconeogensis (%)]]/100)*Data[[#This Row],[Glucose (umol/L)]]</f>
        <v>1.339608207200121</v>
      </c>
      <c r="AK170" s="11"/>
    </row>
    <row r="171" spans="1:37" s="27" customFormat="1" x14ac:dyDescent="0.25">
      <c r="A171" s="11">
        <v>186</v>
      </c>
      <c r="B171" s="11" t="s">
        <v>295</v>
      </c>
      <c r="C171" s="11" t="s">
        <v>233</v>
      </c>
      <c r="D171" s="11">
        <v>1</v>
      </c>
      <c r="E171" s="11"/>
      <c r="F171" s="11" t="s">
        <v>227</v>
      </c>
      <c r="G171" s="11">
        <f>[63]Characteristics!$K$8</f>
        <v>50</v>
      </c>
      <c r="H171" s="11">
        <f>'[63]Anthro, DXA, Liver fat'!$K$6</f>
        <v>169</v>
      </c>
      <c r="I171" s="11">
        <f>'[63]Anthro, DXA, Liver fat'!$K$5</f>
        <v>73</v>
      </c>
      <c r="J171" s="12">
        <f t="shared" si="7"/>
        <v>25.559329155141629</v>
      </c>
      <c r="K171" s="11">
        <f>'[63]Anthro, DXA, Liver fat'!$K$8</f>
        <v>87</v>
      </c>
      <c r="L171" s="11"/>
      <c r="M171" s="13" t="e">
        <f>Data[[#This Row],[Waist_Circumference]]/Data[[#This Row],[Hip_circumference]]</f>
        <v>#DIV/0!</v>
      </c>
      <c r="N171" s="14">
        <f>'[63]Anthro, DXA, Liver fat'!$K$19</f>
        <v>29886.621720990999</v>
      </c>
      <c r="O171" s="14">
        <f>'[63]Anthro, DXA, Liver fat'!$K$20</f>
        <v>40250.981458141003</v>
      </c>
      <c r="P171" s="14">
        <f t="shared" si="9"/>
        <v>70137.603179131998</v>
      </c>
      <c r="Q171" s="13">
        <f>(Data[[#This Row],[Total_fat_g]]/Data[[#This Row],[Total_mass_g]])*100</f>
        <v>42.611410094326047</v>
      </c>
      <c r="R171" s="13">
        <f>(Data[[#This Row],[Lean_mass_g]]/Data[[#This Row],[Total_mass_g]])*100</f>
        <v>57.38858990567396</v>
      </c>
      <c r="S171" s="13">
        <f>'[63]Anthro, DXA, Liver fat'!$K$27</f>
        <v>441.72048109870002</v>
      </c>
      <c r="T171" s="13">
        <f>'[64]IHTG Corrected'!$D$20</f>
        <v>2.8518256781942486</v>
      </c>
      <c r="U171" s="13">
        <f>[63]Glucose!$K$7</f>
        <v>3.4239999999999999</v>
      </c>
      <c r="V171" s="13">
        <f>[74]Insulin!$I$3</f>
        <v>11.028</v>
      </c>
      <c r="W171" s="13">
        <f>(Data[[#This Row],[Glucose (umol/L)]]*Data[[#This Row],[Insulin (umol/L)]])/22.5</f>
        <v>1.6782165333333334</v>
      </c>
      <c r="X171" s="13">
        <f>[63]NEFA!$K$7</f>
        <v>602.70000000000005</v>
      </c>
      <c r="Y171" s="13">
        <f>[63]TAG!$K$7</f>
        <v>321.20000000000005</v>
      </c>
      <c r="Z171" s="13">
        <f>'[63]3-OHB'!$K$7</f>
        <v>311.5</v>
      </c>
      <c r="AA171" s="13">
        <f>'[63]Apo B, Cholesterol, HDL, ALT'!$K$17</f>
        <v>3.26</v>
      </c>
      <c r="AB171" s="13">
        <f>'[63]Apo B, Cholesterol, HDL, ALT'!$K$27</f>
        <v>0.86</v>
      </c>
      <c r="AC171" s="13">
        <f>Data[[#This Row],[total_chol (umol/L)]]-Data[[#This Row],[HDL_chol (umol/L)]]</f>
        <v>2.4</v>
      </c>
      <c r="AD171" s="13">
        <f>Data[[#This Row],[Non_HDL (umol/L)]]-(Data[[#This Row],[TAG (umol/L)]]/2200)</f>
        <v>2.254</v>
      </c>
      <c r="AE171" s="13">
        <f>[66]Data!$AQ$183</f>
        <v>181.02301933130985</v>
      </c>
      <c r="AF171" s="53">
        <f>'[63]DNL_Bounds Visit A'!$K$16</f>
        <v>4.074478159026753E-3</v>
      </c>
      <c r="AG171" s="13">
        <f>'[63]DNL_Bounds Visit A'!$K$24</f>
        <v>5.2686793137225143</v>
      </c>
      <c r="AH171" s="23">
        <f>(Data[[#This Row],[DNL (%)]]/100)*Data[[#This Row],[VLDL (umol/L)]]</f>
        <v>9.5375223725846308</v>
      </c>
      <c r="AI171" s="13">
        <f>[4]SAMPLES!$L$120</f>
        <v>29.06265780313106</v>
      </c>
      <c r="AJ171" s="60">
        <f>(Data[[#This Row],[Gluconeogensis (%)]]/100)*Data[[#This Row],[Glucose (umol/L)]]</f>
        <v>0.99510540317920748</v>
      </c>
      <c r="AK171" s="11"/>
    </row>
    <row r="172" spans="1:37" s="27" customFormat="1" x14ac:dyDescent="0.25">
      <c r="A172" s="11">
        <v>187</v>
      </c>
      <c r="B172" s="11" t="s">
        <v>295</v>
      </c>
      <c r="C172" s="11" t="s">
        <v>233</v>
      </c>
      <c r="D172" s="11">
        <v>2</v>
      </c>
      <c r="E172" s="11"/>
      <c r="F172" s="11" t="s">
        <v>227</v>
      </c>
      <c r="G172" s="11">
        <f>[63]Characteristics!$K$8</f>
        <v>50</v>
      </c>
      <c r="H172" s="11">
        <f>'[63]Anthro, DXA, Liver fat'!$K$6</f>
        <v>169</v>
      </c>
      <c r="I172" s="11">
        <f>'[63]Anthro, DXA, Liver fat'!$K$33</f>
        <v>74.2</v>
      </c>
      <c r="J172" s="12">
        <f t="shared" si="7"/>
        <v>25.979482511116561</v>
      </c>
      <c r="K172" s="11">
        <f>'[63]Anthro, DXA, Liver fat'!$K$36</f>
        <v>87</v>
      </c>
      <c r="L172" s="11"/>
      <c r="M172" s="13" t="e">
        <f>Data[[#This Row],[Waist_Circumference]]/Data[[#This Row],[Hip_circumference]]</f>
        <v>#DIV/0!</v>
      </c>
      <c r="N172" s="14">
        <f>'[63]Anthro, DXA, Liver fat'!$K$47</f>
        <v>29755.486082037001</v>
      </c>
      <c r="O172" s="14">
        <f>'[63]Anthro, DXA, Liver fat'!$K$48</f>
        <v>42098.234487414004</v>
      </c>
      <c r="P172" s="14">
        <f t="shared" si="9"/>
        <v>71853.720569451005</v>
      </c>
      <c r="Q172" s="13">
        <f>(Data[[#This Row],[Total_fat_g]]/Data[[#This Row],[Total_mass_g]])*100</f>
        <v>41.411197424740884</v>
      </c>
      <c r="R172" s="13">
        <f>(Data[[#This Row],[Lean_mass_g]]/Data[[#This Row],[Total_mass_g]])*100</f>
        <v>58.588802575259123</v>
      </c>
      <c r="S172" s="13">
        <f>'[63]Anthro, DXA, Liver fat'!$K$55</f>
        <v>423.77481483477999</v>
      </c>
      <c r="T172" s="13">
        <f>'[64]IHTG Corrected'!$D$21</f>
        <v>3.3537949714354238</v>
      </c>
      <c r="U172" s="13">
        <f>[63]Glucose!$K$23</f>
        <v>4.3040000000000003</v>
      </c>
      <c r="V172" s="13">
        <f>[74]Insulin!$I$15</f>
        <v>13.327999999999999</v>
      </c>
      <c r="W172" s="13">
        <f>(Data[[#This Row],[Glucose (umol/L)]]*Data[[#This Row],[Insulin (umol/L)]])/22.5</f>
        <v>2.5494983111111109</v>
      </c>
      <c r="X172" s="38">
        <f>[63]NEFA!$K$23</f>
        <v>471.75</v>
      </c>
      <c r="Y172" s="13">
        <f>[63]TAG!$K$23</f>
        <v>1050.4000000000001</v>
      </c>
      <c r="Z172" s="13">
        <f>'[63]3-OHB'!$K$25</f>
        <v>25.6</v>
      </c>
      <c r="AA172" s="13">
        <f>'[63]Apo B, Cholesterol, HDL, ALT'!$K$22</f>
        <v>2.87</v>
      </c>
      <c r="AB172" s="13">
        <f>'[63]Apo B, Cholesterol, HDL, ALT'!$K$32</f>
        <v>0.64</v>
      </c>
      <c r="AC172" s="13">
        <f>Data[[#This Row],[total_chol (umol/L)]]-Data[[#This Row],[HDL_chol (umol/L)]]</f>
        <v>2.23</v>
      </c>
      <c r="AD172" s="13">
        <f>Data[[#This Row],[Non_HDL (umol/L)]]-(Data[[#This Row],[TAG (umol/L)]]/2200)</f>
        <v>1.7525454545454544</v>
      </c>
      <c r="AE172" s="13">
        <f>[66]Data!$AQ$193</f>
        <v>304.6473791558866</v>
      </c>
      <c r="AF172" s="53">
        <f>'[63]DNL_Bounds Visit B'!$K$16</f>
        <v>4.5086275292538589E-3</v>
      </c>
      <c r="AG172" s="13">
        <f>'[63]DNL_Bounds Visit B'!$K$24</f>
        <v>25.728903168441875</v>
      </c>
      <c r="AH172" s="23">
        <f>(Data[[#This Row],[DNL (%)]]/100)*Data[[#This Row],[VLDL (umol/L)]]</f>
        <v>78.382429188214033</v>
      </c>
      <c r="AI172" s="13">
        <f>[4]SAMPLES!$L$121</f>
        <v>35.437698108410522</v>
      </c>
      <c r="AJ172" s="60">
        <f>(Data[[#This Row],[Gluconeogensis (%)]]/100)*Data[[#This Row],[Glucose (umol/L)]]</f>
        <v>1.5252385265859889</v>
      </c>
      <c r="AK172" s="11"/>
    </row>
    <row r="173" spans="1:37" s="27" customFormat="1" x14ac:dyDescent="0.25">
      <c r="A173" s="11">
        <v>188</v>
      </c>
      <c r="B173" s="11" t="s">
        <v>296</v>
      </c>
      <c r="C173" s="11" t="s">
        <v>233</v>
      </c>
      <c r="D173" s="11">
        <v>1</v>
      </c>
      <c r="E173" s="11"/>
      <c r="F173" s="11" t="s">
        <v>228</v>
      </c>
      <c r="G173" s="11">
        <f>[63]Characteristics!$L$8</f>
        <v>51</v>
      </c>
      <c r="H173" s="11">
        <f>'[63]Anthro, DXA, Liver fat'!$L$6</f>
        <v>173</v>
      </c>
      <c r="I173" s="11">
        <f>'[63]Anthro, DXA, Liver fat'!$L$5</f>
        <v>81.5</v>
      </c>
      <c r="J173" s="12">
        <f t="shared" si="7"/>
        <v>27.231113635604263</v>
      </c>
      <c r="K173" s="11">
        <f>'[63]Anthro, DXA, Liver fat'!$L$8</f>
        <v>97</v>
      </c>
      <c r="L173" s="11"/>
      <c r="M173" s="13" t="e">
        <f>Data[[#This Row],[Waist_Circumference]]/Data[[#This Row],[Hip_circumference]]</f>
        <v>#DIV/0!</v>
      </c>
      <c r="N173" s="14">
        <f>'[63]Anthro, DXA, Liver fat'!$L$19</f>
        <v>21381.668348531999</v>
      </c>
      <c r="O173" s="14">
        <f>'[63]Anthro, DXA, Liver fat'!$L$20</f>
        <v>56223.318220931003</v>
      </c>
      <c r="P173" s="14">
        <f t="shared" si="9"/>
        <v>77604.986569462999</v>
      </c>
      <c r="Q173" s="13">
        <f>(Data[[#This Row],[Total_fat_g]]/Data[[#This Row],[Total_mass_g]])*100</f>
        <v>27.551925840994258</v>
      </c>
      <c r="R173" s="13">
        <f>(Data[[#This Row],[Lean_mass_g]]/Data[[#This Row],[Total_mass_g]])*100</f>
        <v>72.448074159005742</v>
      </c>
      <c r="S173" s="13">
        <f>'[63]Anthro, DXA, Liver fat'!$L$27</f>
        <v>1518.8444895192999</v>
      </c>
      <c r="T173" s="13">
        <f>'[64]IHTG Corrected'!$D$22</f>
        <v>6.7552550088048848</v>
      </c>
      <c r="U173" s="13">
        <f>[63]Glucose!$L$7</f>
        <v>3.911</v>
      </c>
      <c r="V173" s="13">
        <f>[75]Insulin!$I$3</f>
        <v>9.4089999999999989</v>
      </c>
      <c r="W173" s="13">
        <f>(Data[[#This Row],[Glucose (umol/L)]]*Data[[#This Row],[Insulin (umol/L)]])/22.5</f>
        <v>1.6354932888888887</v>
      </c>
      <c r="X173" s="13">
        <f>[63]NEFA!$L$7</f>
        <v>419.3</v>
      </c>
      <c r="Y173" s="13">
        <f>[63]TAG!$L$7</f>
        <v>459.4</v>
      </c>
      <c r="Z173" s="13">
        <f>'[63]3-OHB'!$L$7</f>
        <v>27.3</v>
      </c>
      <c r="AA173" s="13">
        <f>'[63]Apo B, Cholesterol, HDL, ALT'!$L$17</f>
        <v>2.8</v>
      </c>
      <c r="AB173" s="13">
        <f>'[63]Apo B, Cholesterol, HDL, ALT'!$L$27</f>
        <v>0.62</v>
      </c>
      <c r="AC173" s="13">
        <f>Data[[#This Row],[total_chol (umol/L)]]-Data[[#This Row],[HDL_chol (umol/L)]]</f>
        <v>2.1799999999999997</v>
      </c>
      <c r="AD173" s="13">
        <f>Data[[#This Row],[Non_HDL (umol/L)]]-(Data[[#This Row],[TAG (umol/L)]]/2200)</f>
        <v>1.9711818181818179</v>
      </c>
      <c r="AE173" s="13">
        <f>[66]Data!$AQ$203</f>
        <v>393.91650366178135</v>
      </c>
      <c r="AF173" s="53">
        <f>'[63]DNL_Bounds Visit A'!$L$16</f>
        <v>3.081966072222264E-3</v>
      </c>
      <c r="AG173" s="13">
        <f>'[63]DNL_Bounds Visit A'!$L$24</f>
        <v>0.72308076625762097</v>
      </c>
      <c r="AH173" s="23">
        <f>(Data[[#This Row],[DNL (%)]]/100)*Data[[#This Row],[VLDL (umol/L)]]</f>
        <v>2.8483344730928382</v>
      </c>
      <c r="AI173" s="13">
        <f>[4]SAMPLES!$L$122</f>
        <v>23.758868012873059</v>
      </c>
      <c r="AJ173" s="60">
        <f>(Data[[#This Row],[Gluconeogensis (%)]]/100)*Data[[#This Row],[Glucose (umol/L)]]</f>
        <v>0.92920932798346534</v>
      </c>
      <c r="AK173" s="11"/>
    </row>
    <row r="174" spans="1:37" s="27" customFormat="1" x14ac:dyDescent="0.25">
      <c r="A174" s="11">
        <v>189</v>
      </c>
      <c r="B174" s="11" t="s">
        <v>296</v>
      </c>
      <c r="C174" s="11" t="s">
        <v>233</v>
      </c>
      <c r="D174" s="11">
        <v>2</v>
      </c>
      <c r="E174" s="11"/>
      <c r="F174" s="11" t="s">
        <v>228</v>
      </c>
      <c r="G174" s="11">
        <f>[63]Characteristics!$L$8</f>
        <v>51</v>
      </c>
      <c r="H174" s="11">
        <f>'[63]Anthro, DXA, Liver fat'!$L$6</f>
        <v>173</v>
      </c>
      <c r="I174" s="11">
        <f>'[63]Anthro, DXA, Liver fat'!$L$33</f>
        <v>81.3</v>
      </c>
      <c r="J174" s="12">
        <f t="shared" si="7"/>
        <v>27.164288816866581</v>
      </c>
      <c r="K174" s="11">
        <f>'[63]Anthro, DXA, Liver fat'!$L$36</f>
        <v>98</v>
      </c>
      <c r="L174" s="11"/>
      <c r="M174" s="13" t="e">
        <f>Data[[#This Row],[Waist_Circumference]]/Data[[#This Row],[Hip_circumference]]</f>
        <v>#DIV/0!</v>
      </c>
      <c r="N174" s="14">
        <f>'[63]Anthro, DXA, Liver fat'!$L$47</f>
        <v>20987.190994361001</v>
      </c>
      <c r="O174" s="14">
        <f>'[63]Anthro, DXA, Liver fat'!$L$48</f>
        <v>56676.304925588003</v>
      </c>
      <c r="P174" s="14">
        <f t="shared" si="9"/>
        <v>77663.495919948997</v>
      </c>
      <c r="Q174" s="13">
        <f>(Data[[#This Row],[Total_fat_g]]/Data[[#This Row],[Total_mass_g]])*100</f>
        <v>27.023237552933971</v>
      </c>
      <c r="R174" s="13">
        <f>(Data[[#This Row],[Lean_mass_g]]/Data[[#This Row],[Total_mass_g]])*100</f>
        <v>72.976762447066037</v>
      </c>
      <c r="S174" s="13">
        <f>'[63]Anthro, DXA, Liver fat'!$L$55</f>
        <v>1394.2534871477999</v>
      </c>
      <c r="T174" s="13">
        <f>'[64]IHTG Corrected'!$D$23</f>
        <v>8.6872182834664322</v>
      </c>
      <c r="U174" s="13">
        <f>[63]Glucose!$L$23</f>
        <v>5.2469999999999999</v>
      </c>
      <c r="V174" s="13">
        <f>[75]Insulin!$I$15</f>
        <v>13.55</v>
      </c>
      <c r="W174" s="13">
        <f>(Data[[#This Row],[Glucose (umol/L)]]*Data[[#This Row],[Insulin (umol/L)]])/22.5</f>
        <v>3.1598600000000001</v>
      </c>
      <c r="X174" s="13">
        <f>[63]NEFA!$L$23</f>
        <v>84.6</v>
      </c>
      <c r="Y174" s="13">
        <f>[63]TAG!$L$23</f>
        <v>818.3</v>
      </c>
      <c r="Z174" s="13">
        <f>'[63]3-OHB'!$L$25</f>
        <v>60.2</v>
      </c>
      <c r="AA174" s="13">
        <f>'[63]Apo B, Cholesterol, HDL, ALT'!$L$22</f>
        <v>3.39</v>
      </c>
      <c r="AB174" s="13">
        <f>'[63]Apo B, Cholesterol, HDL, ALT'!$L$32</f>
        <v>0.75</v>
      </c>
      <c r="AC174" s="13">
        <f>Data[[#This Row],[total_chol (umol/L)]]-Data[[#This Row],[HDL_chol (umol/L)]]</f>
        <v>2.64</v>
      </c>
      <c r="AD174" s="13">
        <f>Data[[#This Row],[Non_HDL (umol/L)]]-(Data[[#This Row],[TAG (umol/L)]]/2200)</f>
        <v>2.2680454545454545</v>
      </c>
      <c r="AE174" s="13">
        <f>[66]Data!$AQ$213</f>
        <v>286.53787567847513</v>
      </c>
      <c r="AF174" s="53">
        <f>'[63]DNL_Bounds Visit B'!$L$16</f>
        <v>3.7813311489643545E-3</v>
      </c>
      <c r="AG174" s="13">
        <f>'[63]DNL_Bounds Visit B'!$L$24</f>
        <v>13.090464354451955</v>
      </c>
      <c r="AH174" s="23">
        <f>(Data[[#This Row],[DNL (%)]]/100)*Data[[#This Row],[VLDL (umol/L)]]</f>
        <v>37.509138477694648</v>
      </c>
      <c r="AI174" s="13">
        <f>[4]SAMPLES!$L$123</f>
        <v>31.564431044212494</v>
      </c>
      <c r="AJ174" s="60">
        <f>(Data[[#This Row],[Gluconeogensis (%)]]/100)*Data[[#This Row],[Glucose (umol/L)]]</f>
        <v>1.6561856968898294</v>
      </c>
      <c r="AK174" s="11"/>
    </row>
    <row r="175" spans="1:37" s="27" customFormat="1" x14ac:dyDescent="0.25">
      <c r="A175" s="11">
        <v>190</v>
      </c>
      <c r="B175" s="11" t="s">
        <v>297</v>
      </c>
      <c r="C175" s="11" t="s">
        <v>233</v>
      </c>
      <c r="D175" s="11">
        <v>1</v>
      </c>
      <c r="E175" s="11"/>
      <c r="F175" s="11" t="s">
        <v>228</v>
      </c>
      <c r="G175" s="11">
        <f>[63]Characteristics!$M$8</f>
        <v>39</v>
      </c>
      <c r="H175" s="11">
        <f>'[63]Anthro, DXA, Liver fat'!$M$6</f>
        <v>182</v>
      </c>
      <c r="I175" s="11">
        <f>'[63]Anthro, DXA, Liver fat'!$M$5</f>
        <v>93.6</v>
      </c>
      <c r="J175" s="12">
        <f t="shared" si="7"/>
        <v>28.257456828885395</v>
      </c>
      <c r="K175" s="11">
        <f>'[63]Anthro, DXA, Liver fat'!$M$8</f>
        <v>95</v>
      </c>
      <c r="L175" s="11"/>
      <c r="M175" s="13" t="e">
        <f>Data[[#This Row],[Waist_Circumference]]/Data[[#This Row],[Hip_circumference]]</f>
        <v>#DIV/0!</v>
      </c>
      <c r="N175" s="14">
        <f>[66]Data!$T$222</f>
        <v>24852.048039926001</v>
      </c>
      <c r="O175" s="14">
        <f>[66]Data!$U$222</f>
        <v>65431.701525853998</v>
      </c>
      <c r="P175" s="14">
        <f t="shared" si="9"/>
        <v>90283.749565780003</v>
      </c>
      <c r="Q175" s="13">
        <f>(Data[[#This Row],[Total_fat_g]]/Data[[#This Row],[Total_mass_g]])*100</f>
        <v>27.526601586057303</v>
      </c>
      <c r="R175" s="13">
        <f>(Data[[#This Row],[Lean_mass_g]]/Data[[#This Row],[Total_mass_g]])*100</f>
        <v>72.473398413942689</v>
      </c>
      <c r="S175" s="13">
        <f>[66]Data!$Y$222</f>
        <v>964</v>
      </c>
      <c r="T175" s="13">
        <f>'[64]IHTG Corrected'!$D$24</f>
        <v>0</v>
      </c>
      <c r="U175" s="13">
        <f>[63]Glucose!$M$7</f>
        <v>5.258</v>
      </c>
      <c r="V175" s="13">
        <f>[76]Insulin!$I$3</f>
        <v>8.5374999999999996</v>
      </c>
      <c r="W175" s="13">
        <f>(Data[[#This Row],[Glucose (umol/L)]]*Data[[#This Row],[Insulin (umol/L)]])/22.5</f>
        <v>1.9951188888888889</v>
      </c>
      <c r="X175" s="13">
        <f>[63]NEFA!$M$7</f>
        <v>481.1</v>
      </c>
      <c r="Y175" s="13">
        <f>[63]TAG!$M$7</f>
        <v>707.5</v>
      </c>
      <c r="Z175" s="13">
        <f>'[63]3-OHB'!$M$7</f>
        <v>65.099999999999994</v>
      </c>
      <c r="AA175" s="13">
        <f>'[63]Apo B, Cholesterol, HDL, ALT'!$M$17</f>
        <v>3.05</v>
      </c>
      <c r="AB175" s="13">
        <f>'[63]Apo B, Cholesterol, HDL, ALT'!$M$27</f>
        <v>0.6</v>
      </c>
      <c r="AC175" s="13">
        <f>Data[[#This Row],[total_chol (umol/L)]]-Data[[#This Row],[HDL_chol (umol/L)]]</f>
        <v>2.4499999999999997</v>
      </c>
      <c r="AD175" s="13">
        <f>Data[[#This Row],[Non_HDL (umol/L)]]-(Data[[#This Row],[TAG (umol/L)]]/2200)</f>
        <v>2.1284090909090905</v>
      </c>
      <c r="AE175" s="13">
        <f>[66]Data!$AQ$223</f>
        <v>222.51253348728</v>
      </c>
      <c r="AF175" s="53">
        <f>'[63]DNL_Bounds Visit A'!$M$16</f>
        <v>2.93360483517848E-3</v>
      </c>
      <c r="AG175" s="13">
        <f>'[63]DNL_Bounds Visit A'!$M$24</f>
        <v>14.644502486562608</v>
      </c>
      <c r="AH175" s="23">
        <f>(Data[[#This Row],[DNL (%)]]/100)*Data[[#This Row],[VLDL (umol/L)]]</f>
        <v>32.585853499458175</v>
      </c>
      <c r="AI175" s="13">
        <f>[4]SAMPLES!$L$124</f>
        <v>32.218441646856824</v>
      </c>
      <c r="AJ175" s="60">
        <f>(Data[[#This Row],[Gluconeogensis (%)]]/100)*Data[[#This Row],[Glucose (umol/L)]]</f>
        <v>1.6940456617917319</v>
      </c>
      <c r="AK175" s="11"/>
    </row>
    <row r="176" spans="1:37" s="27" customFormat="1" x14ac:dyDescent="0.25">
      <c r="A176" s="11">
        <v>191</v>
      </c>
      <c r="B176" s="11" t="s">
        <v>297</v>
      </c>
      <c r="C176" s="11" t="s">
        <v>233</v>
      </c>
      <c r="D176" s="11">
        <v>2</v>
      </c>
      <c r="E176" s="11"/>
      <c r="F176" s="11" t="s">
        <v>228</v>
      </c>
      <c r="G176" s="11">
        <f>[63]Characteristics!$M$8</f>
        <v>39</v>
      </c>
      <c r="H176" s="37">
        <v>173</v>
      </c>
      <c r="I176" s="11">
        <f>'[63]Anthro, DXA, Liver fat'!$M$33</f>
        <v>92.5</v>
      </c>
      <c r="J176" s="12">
        <f t="shared" si="7"/>
        <v>30.906478666176618</v>
      </c>
      <c r="K176" s="11">
        <f>'[63]Anthro, DXA, Liver fat'!$M$36</f>
        <v>95</v>
      </c>
      <c r="L176" s="11"/>
      <c r="M176" s="13" t="e">
        <f>Data[[#This Row],[Waist_Circumference]]/Data[[#This Row],[Hip_circumference]]</f>
        <v>#DIV/0!</v>
      </c>
      <c r="N176" s="14">
        <f>[66]Data!$T$232</f>
        <v>24922.507142495</v>
      </c>
      <c r="O176" s="14">
        <f>[66]Data!$U$232</f>
        <v>63402.705490316999</v>
      </c>
      <c r="P176" s="14">
        <f t="shared" si="9"/>
        <v>88325.212632812007</v>
      </c>
      <c r="Q176" s="13">
        <f>(Data[[#This Row],[Total_fat_g]]/Data[[#This Row],[Total_mass_g]])*100</f>
        <v>28.216753064726298</v>
      </c>
      <c r="R176" s="13">
        <f>(Data[[#This Row],[Lean_mass_g]]/Data[[#This Row],[Total_mass_g]])*100</f>
        <v>71.783246935273695</v>
      </c>
      <c r="S176" s="13">
        <f>[66]Data!$Y$232</f>
        <v>995</v>
      </c>
      <c r="T176" s="13">
        <f>'[64]IHTG Corrected'!$D$25</f>
        <v>2.3068207019882414</v>
      </c>
      <c r="U176" s="13">
        <f>[63]Glucose!$M$23</f>
        <v>5.1760000000000002</v>
      </c>
      <c r="V176" s="13">
        <f>[76]Insulin!$I$15</f>
        <v>10.016999999999999</v>
      </c>
      <c r="W176" s="13">
        <f>(Data[[#This Row],[Glucose (umol/L)]]*Data[[#This Row],[Insulin (umol/L)]])/22.5</f>
        <v>2.3043551999999998</v>
      </c>
      <c r="X176" s="13">
        <f>[63]NEFA!$M$23</f>
        <v>356.8</v>
      </c>
      <c r="Y176" s="13">
        <f>[63]TAG!$M$23</f>
        <v>854</v>
      </c>
      <c r="Z176" s="13">
        <f>'[63]3-OHB'!$M$25</f>
        <v>35.5</v>
      </c>
      <c r="AA176" s="13">
        <f>'[63]Apo B, Cholesterol, HDL, ALT'!$M$22</f>
        <v>3.64</v>
      </c>
      <c r="AB176" s="13">
        <f>'[63]Apo B, Cholesterol, HDL, ALT'!$M$32</f>
        <v>0.79</v>
      </c>
      <c r="AC176" s="13">
        <f>Data[[#This Row],[total_chol (umol/L)]]-Data[[#This Row],[HDL_chol (umol/L)]]</f>
        <v>2.85</v>
      </c>
      <c r="AD176" s="13">
        <f>Data[[#This Row],[Non_HDL (umol/L)]]-(Data[[#This Row],[TAG (umol/L)]]/2200)</f>
        <v>2.4618181818181819</v>
      </c>
      <c r="AE176" s="13">
        <f>[66]Data!$AQ$233</f>
        <v>243.38989952229602</v>
      </c>
      <c r="AF176" s="53">
        <f>'[63]DNL_Bounds Visit B'!$M$16</f>
        <v>3.6365302503970007E-3</v>
      </c>
      <c r="AG176" s="13">
        <f>'[63]DNL_Bounds Visit B'!$M$24</f>
        <v>16.931976415477145</v>
      </c>
      <c r="AH176" s="23">
        <f>(Data[[#This Row],[DNL (%)]]/100)*Data[[#This Row],[VLDL (umol/L)]]</f>
        <v>41.210720384768685</v>
      </c>
      <c r="AI176" s="13">
        <f>[4]SAMPLES!$L$187</f>
        <v>29.112466812544234</v>
      </c>
      <c r="AJ176" s="60">
        <f>(Data[[#This Row],[Gluconeogensis (%)]]/100)*Data[[#This Row],[Glucose (umol/L)]]</f>
        <v>1.5068612822172898</v>
      </c>
      <c r="AK176" s="11"/>
    </row>
    <row r="177" spans="1:37" s="27" customFormat="1" x14ac:dyDescent="0.25">
      <c r="A177" s="11">
        <v>192</v>
      </c>
      <c r="B177" s="11" t="s">
        <v>298</v>
      </c>
      <c r="C177" s="11" t="s">
        <v>233</v>
      </c>
      <c r="D177" s="11">
        <v>1</v>
      </c>
      <c r="E177" s="11"/>
      <c r="F177" s="11" t="s">
        <v>227</v>
      </c>
      <c r="G177" s="11">
        <f>[63]Characteristics!$N$8</f>
        <v>50</v>
      </c>
      <c r="H177" s="11">
        <f>'[63]Anthro, DXA, Liver fat'!$N$6</f>
        <v>164</v>
      </c>
      <c r="I177" s="11">
        <f>'[63]Anthro, DXA, Liver fat'!$N$5</f>
        <v>67.8</v>
      </c>
      <c r="J177" s="12">
        <f t="shared" si="7"/>
        <v>25.208209399167167</v>
      </c>
      <c r="K177" s="11">
        <f>'[63]Anthro, DXA, Liver fat'!$N$8</f>
        <v>82</v>
      </c>
      <c r="L177" s="11"/>
      <c r="M177" s="13" t="e">
        <f>Data[[#This Row],[Waist_Circumference]]/Data[[#This Row],[Hip_circumference]]</f>
        <v>#DIV/0!</v>
      </c>
      <c r="N177" s="14">
        <f>[66]Data!$T$242</f>
        <v>40691.265298514001</v>
      </c>
      <c r="O177" s="14">
        <f>[66]Data!$U$242</f>
        <v>2915.8921932241001</v>
      </c>
      <c r="P177" s="14">
        <f t="shared" si="9"/>
        <v>43607.1574917381</v>
      </c>
      <c r="Q177" s="13">
        <f>(Data[[#This Row],[Total_fat_g]]/Data[[#This Row],[Total_mass_g]])*100</f>
        <v>93.313271579839736</v>
      </c>
      <c r="R177" s="13">
        <f>(Data[[#This Row],[Lean_mass_g]]/Data[[#This Row],[Total_mass_g]])*100</f>
        <v>6.6867284201602706</v>
      </c>
      <c r="S177" s="48"/>
      <c r="T177" s="48"/>
      <c r="U177" s="13">
        <f>[63]Glucose!$N$7</f>
        <v>5.2249999999999996</v>
      </c>
      <c r="V177" s="13">
        <f>[77]Insulin!$I$3</f>
        <v>6.8419999999999996</v>
      </c>
      <c r="W177" s="13">
        <f>(Data[[#This Row],[Glucose (umol/L)]]*Data[[#This Row],[Insulin (umol/L)]])/22.5</f>
        <v>1.5888644444444442</v>
      </c>
      <c r="X177" s="13">
        <f>[63]NEFA!$N$7</f>
        <v>369.5</v>
      </c>
      <c r="Y177" s="13">
        <f>[63]TAG!$N$7</f>
        <v>602.80000000000007</v>
      </c>
      <c r="Z177" s="13">
        <f>'[63]3-OHB'!$N$7</f>
        <v>28</v>
      </c>
      <c r="AA177" s="13">
        <f>'[63]Apo B, Cholesterol, HDL, ALT'!$N$17</f>
        <v>3.41</v>
      </c>
      <c r="AB177" s="13">
        <f>'[63]Apo B, Cholesterol, HDL, ALT'!$N$27</f>
        <v>0.95</v>
      </c>
      <c r="AC177" s="13">
        <f>Data[[#This Row],[total_chol (umol/L)]]-Data[[#This Row],[HDL_chol (umol/L)]]</f>
        <v>2.46</v>
      </c>
      <c r="AD177" s="13">
        <f>Data[[#This Row],[Non_HDL (umol/L)]]-(Data[[#This Row],[TAG (umol/L)]]/2200)</f>
        <v>2.1859999999999999</v>
      </c>
      <c r="AE177" s="13">
        <f>[66]Data!$AQ$243</f>
        <v>193.12737844785613</v>
      </c>
      <c r="AF177" s="53">
        <f>'[63]DNL_Bounds Visit A'!$N$16</f>
        <v>3.6856125558538313E-3</v>
      </c>
      <c r="AG177" s="13">
        <f>'[63]DNL_Bounds Visit A'!$N$24</f>
        <v>0.8865191846686129</v>
      </c>
      <c r="AH177" s="23">
        <f>(Data[[#This Row],[DNL (%)]]/100)*Data[[#This Row],[VLDL (umol/L)]]</f>
        <v>1.7121112607878006</v>
      </c>
      <c r="AI177" s="13">
        <f>[4]SAMPLES!$L$188</f>
        <v>23.795564009124099</v>
      </c>
      <c r="AJ177" s="60">
        <f>(Data[[#This Row],[Gluconeogensis (%)]]/100)*Data[[#This Row],[Glucose (umol/L)]]</f>
        <v>1.243318219476734</v>
      </c>
      <c r="AK177" s="11"/>
    </row>
    <row r="178" spans="1:37" s="27" customFormat="1" x14ac:dyDescent="0.25">
      <c r="A178" s="11">
        <v>193</v>
      </c>
      <c r="B178" s="11" t="s">
        <v>298</v>
      </c>
      <c r="C178" s="11" t="s">
        <v>233</v>
      </c>
      <c r="D178" s="11">
        <v>2</v>
      </c>
      <c r="E178" s="11"/>
      <c r="F178" s="11" t="s">
        <v>227</v>
      </c>
      <c r="G178" s="11">
        <f>[63]Characteristics!$N$8</f>
        <v>50</v>
      </c>
      <c r="H178" s="11">
        <f>'[63]Anthro, DXA, Liver fat'!$N$6</f>
        <v>164</v>
      </c>
      <c r="I178" s="11">
        <f>'[63]Anthro, DXA, Liver fat'!$N$33</f>
        <v>67.8</v>
      </c>
      <c r="J178" s="12">
        <f t="shared" si="7"/>
        <v>25.208209399167167</v>
      </c>
      <c r="K178" s="11">
        <f>'[63]Anthro, DXA, Liver fat'!$N$36</f>
        <v>84</v>
      </c>
      <c r="L178" s="11"/>
      <c r="M178" s="13" t="e">
        <f>Data[[#This Row],[Waist_Circumference]]/Data[[#This Row],[Hip_circumference]]</f>
        <v>#DIV/0!</v>
      </c>
      <c r="N178" s="14">
        <f>[66]Data!$T$252</f>
        <v>41743.319068154997</v>
      </c>
      <c r="O178" s="14">
        <f>[66]Data!$U$252</f>
        <v>2885.3341594792</v>
      </c>
      <c r="P178" s="14">
        <f t="shared" si="9"/>
        <v>44628.653227634197</v>
      </c>
      <c r="Q178" s="13">
        <f>(Data[[#This Row],[Total_fat_g]]/Data[[#This Row],[Total_mass_g]])*100</f>
        <v>93.534794463184483</v>
      </c>
      <c r="R178" s="13">
        <f>(Data[[#This Row],[Lean_mass_g]]/Data[[#This Row],[Total_mass_g]])*100</f>
        <v>6.4652055368155104</v>
      </c>
      <c r="S178" s="48"/>
      <c r="T178" s="48"/>
      <c r="U178" s="13">
        <f>[63]Glucose!$N$23</f>
        <v>5.54</v>
      </c>
      <c r="V178" s="13">
        <f>[77]Insulin!$I$16</f>
        <v>4.5514999999999999</v>
      </c>
      <c r="W178" s="13">
        <f>(Data[[#This Row],[Glucose (umol/L)]]*Data[[#This Row],[Insulin (umol/L)]])/22.5</f>
        <v>1.1206804444444445</v>
      </c>
      <c r="X178" s="13">
        <f>[63]NEFA!$N$23</f>
        <v>391.1</v>
      </c>
      <c r="Y178" s="13">
        <f>[63]TAG!$N$23</f>
        <v>587.69999999999993</v>
      </c>
      <c r="Z178" s="13">
        <f>'[63]3-OHB'!$N$25</f>
        <v>20.6</v>
      </c>
      <c r="AA178" s="13">
        <f>'[63]Apo B, Cholesterol, HDL, ALT'!$N$22</f>
        <v>2.4300000000000002</v>
      </c>
      <c r="AB178" s="13">
        <f>'[63]Apo B, Cholesterol, HDL, ALT'!$N$32</f>
        <v>0.83</v>
      </c>
      <c r="AC178" s="13">
        <f>Data[[#This Row],[total_chol (umol/L)]]-Data[[#This Row],[HDL_chol (umol/L)]]</f>
        <v>1.6</v>
      </c>
      <c r="AD178" s="13">
        <f>Data[[#This Row],[Non_HDL (umol/L)]]-(Data[[#This Row],[TAG (umol/L)]]/2200)</f>
        <v>1.3328636363636366</v>
      </c>
      <c r="AE178" s="13">
        <f>[66]Data!$AQ$253</f>
        <v>105.68744955223434</v>
      </c>
      <c r="AF178" s="53">
        <f>'[63]DNL_Bounds Visit B'!$N$16</f>
        <v>5.2694259510986498E-3</v>
      </c>
      <c r="AG178" s="13">
        <f>'[63]DNL_Bounds Visit B'!$N$24</f>
        <v>4.6549014242995828</v>
      </c>
      <c r="AH178" s="23">
        <f>(Data[[#This Row],[DNL (%)]]/100)*Data[[#This Row],[VLDL (umol/L)]]</f>
        <v>4.9196465945128587</v>
      </c>
      <c r="AI178" s="13">
        <f>[4]SAMPLES!$L$189</f>
        <v>22.647435037354942</v>
      </c>
      <c r="AJ178" s="60">
        <f>(Data[[#This Row],[Gluconeogensis (%)]]/100)*Data[[#This Row],[Glucose (umol/L)]]</f>
        <v>1.2546679010694639</v>
      </c>
      <c r="AK178" s="11"/>
    </row>
    <row r="179" spans="1:37" s="27" customFormat="1" x14ac:dyDescent="0.25">
      <c r="A179" s="11">
        <v>194</v>
      </c>
      <c r="B179" s="11" t="s">
        <v>299</v>
      </c>
      <c r="C179" s="11" t="s">
        <v>233</v>
      </c>
      <c r="D179" s="11">
        <v>1</v>
      </c>
      <c r="E179" s="11"/>
      <c r="F179" s="11" t="s">
        <v>228</v>
      </c>
      <c r="G179" s="11">
        <f>[63]Characteristics!$O$8</f>
        <v>52</v>
      </c>
      <c r="H179" s="11">
        <f>'[63]Anthro, DXA, Liver fat'!$O$6</f>
        <v>176</v>
      </c>
      <c r="I179" s="11">
        <f>'[63]Anthro, DXA, Liver fat'!$O$5</f>
        <v>86.9</v>
      </c>
      <c r="J179" s="12">
        <f t="shared" si="7"/>
        <v>28.053977272727277</v>
      </c>
      <c r="K179" s="11">
        <f>'[63]Anthro, DXA, Liver fat'!$O$8</f>
        <v>96</v>
      </c>
      <c r="L179" s="11"/>
      <c r="M179" s="13" t="e">
        <f>Data[[#This Row],[Waist_Circumference]]/Data[[#This Row],[Hip_circumference]]</f>
        <v>#DIV/0!</v>
      </c>
      <c r="N179" s="14">
        <f>'[63]Anthro, DXA, Liver fat'!$O$19</f>
        <v>20759</v>
      </c>
      <c r="O179" s="14">
        <f>'[63]Anthro, DXA, Liver fat'!$O$20</f>
        <v>61988</v>
      </c>
      <c r="P179" s="14">
        <f t="shared" si="9"/>
        <v>82747</v>
      </c>
      <c r="Q179" s="13">
        <f>(Data[[#This Row],[Total_fat_g]]/Data[[#This Row],[Total_mass_g]])*100</f>
        <v>25.087314343722433</v>
      </c>
      <c r="R179" s="13">
        <f>(Data[[#This Row],[Lean_mass_g]]/Data[[#This Row],[Total_mass_g]])*100</f>
        <v>74.91268565627756</v>
      </c>
      <c r="S179" s="13">
        <f>'[63]Anthro, DXA, Liver fat'!$O$27</f>
        <v>1005</v>
      </c>
      <c r="T179" s="13">
        <f>'[64]IHTG Corrected'!$D$30</f>
        <v>5.0858087726031043</v>
      </c>
      <c r="U179" s="13">
        <f>[63]Glucose!$O$7</f>
        <v>5.5670000000000002</v>
      </c>
      <c r="V179" s="13">
        <f>[78]Insulin!$I$3</f>
        <v>9.218</v>
      </c>
      <c r="W179" s="13">
        <f>(Data[[#This Row],[Glucose (umol/L)]]*Data[[#This Row],[Insulin (umol/L)]])/22.5</f>
        <v>2.2807380444444445</v>
      </c>
      <c r="X179" s="13">
        <f>[63]NEFA!$O$7</f>
        <v>469</v>
      </c>
      <c r="Y179" s="13">
        <f>[63]TAG!$O$7</f>
        <v>1084.8</v>
      </c>
      <c r="Z179" s="13">
        <f>'[63]3-OHB'!$O$7</f>
        <v>84</v>
      </c>
      <c r="AA179" s="13">
        <f>'[63]Apo B, Cholesterol, HDL, ALT'!$O$17</f>
        <v>4.6900000000000004</v>
      </c>
      <c r="AB179" s="13">
        <f>'[63]Apo B, Cholesterol, HDL, ALT'!$O$27</f>
        <v>1.01</v>
      </c>
      <c r="AC179" s="13">
        <f>Data[[#This Row],[total_chol (umol/L)]]-Data[[#This Row],[HDL_chol (umol/L)]]</f>
        <v>3.6800000000000006</v>
      </c>
      <c r="AD179" s="13">
        <f>Data[[#This Row],[Non_HDL (umol/L)]]-(Data[[#This Row],[TAG (umol/L)]]/2200)</f>
        <v>3.1869090909090914</v>
      </c>
      <c r="AE179" s="13">
        <f>[66]Data!$AQ$263</f>
        <v>159.79308806044665</v>
      </c>
      <c r="AF179" s="53">
        <f>'[63]DNL_Bounds Visit A'!$O$16</f>
        <v>3.1276630428931163E-3</v>
      </c>
      <c r="AG179" s="13">
        <f>'[63]DNL_Bounds Visit A'!$O$24</f>
        <v>5.5181529443918258</v>
      </c>
      <c r="AH179" s="23">
        <f>(Data[[#This Row],[DNL (%)]]/100)*Data[[#This Row],[VLDL (umol/L)]]</f>
        <v>8.8176269937421594</v>
      </c>
      <c r="AI179" s="13">
        <f>[4]SAMPLES!$L$190</f>
        <v>35.51695420095097</v>
      </c>
      <c r="AJ179" s="60">
        <f>(Data[[#This Row],[Gluconeogensis (%)]]/100)*Data[[#This Row],[Glucose (umol/L)]]</f>
        <v>1.9772288403669405</v>
      </c>
      <c r="AK179" s="11"/>
    </row>
    <row r="180" spans="1:37" s="27" customFormat="1" x14ac:dyDescent="0.25">
      <c r="A180" s="11">
        <v>195</v>
      </c>
      <c r="B180" s="11" t="s">
        <v>299</v>
      </c>
      <c r="C180" s="11" t="s">
        <v>233</v>
      </c>
      <c r="D180" s="11">
        <v>2</v>
      </c>
      <c r="E180" s="11"/>
      <c r="F180" s="11" t="s">
        <v>228</v>
      </c>
      <c r="G180" s="11">
        <f>[63]Characteristics!$O$8</f>
        <v>52</v>
      </c>
      <c r="H180" s="11">
        <f>'[63]Anthro, DXA, Liver fat'!$O$6</f>
        <v>176</v>
      </c>
      <c r="I180" s="11">
        <f>'[63]Anthro, DXA, Liver fat'!$O$33</f>
        <v>88.2</v>
      </c>
      <c r="J180" s="12">
        <f t="shared" si="7"/>
        <v>28.47365702479339</v>
      </c>
      <c r="K180" s="11">
        <f>'[63]Anthro, DXA, Liver fat'!$O$36</f>
        <v>95</v>
      </c>
      <c r="L180" s="11"/>
      <c r="M180" s="13" t="e">
        <f>Data[[#This Row],[Waist_Circumference]]/Data[[#This Row],[Hip_circumference]]</f>
        <v>#DIV/0!</v>
      </c>
      <c r="N180" s="14">
        <f>'[63]Anthro, DXA, Liver fat'!$O$47</f>
        <v>21021</v>
      </c>
      <c r="O180" s="14">
        <f>'[63]Anthro, DXA, Liver fat'!$O$48</f>
        <v>62957</v>
      </c>
      <c r="P180" s="14">
        <f t="shared" si="9"/>
        <v>83978</v>
      </c>
      <c r="Q180" s="13">
        <f>(Data[[#This Row],[Total_fat_g]]/Data[[#This Row],[Total_mass_g]])*100</f>
        <v>25.031555883683822</v>
      </c>
      <c r="R180" s="13">
        <f>(Data[[#This Row],[Lean_mass_g]]/Data[[#This Row],[Total_mass_g]])*100</f>
        <v>74.968444116316178</v>
      </c>
      <c r="S180" s="13">
        <f>'[63]Anthro, DXA, Liver fat'!$O$55</f>
        <v>1061</v>
      </c>
      <c r="T180" s="13">
        <f>'[64]IHTG Corrected'!$D$31</f>
        <v>8.3647271517572293</v>
      </c>
      <c r="U180" s="13">
        <f>[63]Glucose!$O$23</f>
        <v>5.3440000000000003</v>
      </c>
      <c r="V180" s="13">
        <f>[78]Insulin!$I$15</f>
        <v>13.673</v>
      </c>
      <c r="W180" s="13">
        <f>(Data[[#This Row],[Glucose (umol/L)]]*Data[[#This Row],[Insulin (umol/L)]])/22.5</f>
        <v>3.2474894222222224</v>
      </c>
      <c r="X180" s="13">
        <f>[63]NEFA!$O$23</f>
        <v>261.10000000000002</v>
      </c>
      <c r="Y180" s="13">
        <f>[63]TAG!$O$23</f>
        <v>1567.1000000000001</v>
      </c>
      <c r="Z180" s="13">
        <f>'[63]3-OHB'!$O$25</f>
        <v>27.3</v>
      </c>
      <c r="AA180" s="13">
        <f>'[63]Apo B, Cholesterol, HDL, ALT'!$O$22</f>
        <v>4.66</v>
      </c>
      <c r="AB180" s="13">
        <f>'[63]Apo B, Cholesterol, HDL, ALT'!$O$32</f>
        <v>1</v>
      </c>
      <c r="AC180" s="13">
        <f>Data[[#This Row],[total_chol (umol/L)]]-Data[[#This Row],[HDL_chol (umol/L)]]</f>
        <v>3.66</v>
      </c>
      <c r="AD180" s="13">
        <f>Data[[#This Row],[Non_HDL (umol/L)]]-(Data[[#This Row],[TAG (umol/L)]]/2200)</f>
        <v>2.9476818181818185</v>
      </c>
      <c r="AE180" s="13">
        <f>[66]Data!$AQ$273</f>
        <v>276.33062435636896</v>
      </c>
      <c r="AF180" s="53">
        <f>'[63]DNL_Bounds Visit B'!$O$16</f>
        <v>3.8750298762057819E-3</v>
      </c>
      <c r="AG180" s="13">
        <f>'[63]DNL_Bounds Visit B'!$O$24</f>
        <v>15.15595427029321</v>
      </c>
      <c r="AH180" s="23">
        <f>(Data[[#This Row],[DNL (%)]]/100)*Data[[#This Row],[VLDL (umol/L)]]</f>
        <v>41.880543062266987</v>
      </c>
      <c r="AI180" s="13">
        <f>[4]SAMPLES!$L$191</f>
        <v>24.782888608208612</v>
      </c>
      <c r="AJ180" s="60">
        <f>(Data[[#This Row],[Gluconeogensis (%)]]/100)*Data[[#This Row],[Glucose (umol/L)]]</f>
        <v>1.3243975672226682</v>
      </c>
      <c r="AK180" s="11"/>
    </row>
    <row r="181" spans="1:37" s="27" customFormat="1" x14ac:dyDescent="0.25">
      <c r="A181" s="11">
        <v>196</v>
      </c>
      <c r="B181" s="11" t="s">
        <v>300</v>
      </c>
      <c r="C181" s="11" t="s">
        <v>233</v>
      </c>
      <c r="D181" s="11">
        <v>1</v>
      </c>
      <c r="E181" s="11"/>
      <c r="F181" s="11" t="s">
        <v>227</v>
      </c>
      <c r="G181" s="11">
        <f>[63]Characteristics!$P$8</f>
        <v>53</v>
      </c>
      <c r="H181" s="11">
        <f>'[63]Anthro, DXA, Liver fat'!$P$6</f>
        <v>179</v>
      </c>
      <c r="I181" s="11">
        <f>'[63]Anthro, DXA, Liver fat'!$P$5</f>
        <v>69.599999999999994</v>
      </c>
      <c r="J181" s="12">
        <f t="shared" si="7"/>
        <v>21.722168471645702</v>
      </c>
      <c r="K181" s="11">
        <f>'[63]Anthro, DXA, Liver fat'!$P$8</f>
        <v>71</v>
      </c>
      <c r="L181" s="11"/>
      <c r="M181" s="13" t="e">
        <f>Data[[#This Row],[Waist_Circumference]]/Data[[#This Row],[Hip_circumference]]</f>
        <v>#DIV/0!</v>
      </c>
      <c r="N181" s="14">
        <f>[66]Data!$T$282</f>
        <v>22378.823537112999</v>
      </c>
      <c r="O181" s="14">
        <f>[66]Data!$U$282</f>
        <v>44287.288047581002</v>
      </c>
      <c r="P181" s="14">
        <f t="shared" si="9"/>
        <v>66666.111584694008</v>
      </c>
      <c r="Q181" s="13">
        <f>(Data[[#This Row],[Total_fat_g]]/Data[[#This Row],[Total_mass_g]])*100</f>
        <v>33.568514804830755</v>
      </c>
      <c r="R181" s="13">
        <f>(Data[[#This Row],[Lean_mass_g]]/Data[[#This Row],[Total_mass_g]])*100</f>
        <v>66.431485195169245</v>
      </c>
      <c r="S181" s="13">
        <f>[66]Data!$Y$282</f>
        <v>357</v>
      </c>
      <c r="T181" s="13">
        <f>'[64]IHTG Corrected'!$D$32</f>
        <v>1.1039157831216204</v>
      </c>
      <c r="U181" s="13">
        <f>[63]Glucose!$P$7</f>
        <v>4.8959999999999999</v>
      </c>
      <c r="V181" s="13">
        <f>[79]Insulin!$I$3</f>
        <v>3.8319999999999999</v>
      </c>
      <c r="W181" s="13">
        <f>(Data[[#This Row],[Glucose (umol/L)]]*Data[[#This Row],[Insulin (umol/L)]])/22.5</f>
        <v>0.8338431999999999</v>
      </c>
      <c r="X181" s="13">
        <f>[63]NEFA!$P$7</f>
        <v>1072.9000000000001</v>
      </c>
      <c r="Y181" s="13">
        <f>[63]TAG!$P$7</f>
        <v>558</v>
      </c>
      <c r="Z181" s="13">
        <f>'[63]3-OHB'!$P$7</f>
        <v>159.9</v>
      </c>
      <c r="AA181" s="13">
        <f>'[63]Apo B, Cholesterol, HDL, ALT'!$P$17</f>
        <v>4.84</v>
      </c>
      <c r="AB181" s="13">
        <f>'[63]Apo B, Cholesterol, HDL, ALT'!$P$27</f>
        <v>1.57</v>
      </c>
      <c r="AC181" s="13">
        <f>Data[[#This Row],[total_chol (umol/L)]]-Data[[#This Row],[HDL_chol (umol/L)]]</f>
        <v>3.2699999999999996</v>
      </c>
      <c r="AD181" s="13">
        <f>Data[[#This Row],[Non_HDL (umol/L)]]-(Data[[#This Row],[TAG (umol/L)]]/2200)</f>
        <v>3.0163636363636357</v>
      </c>
      <c r="AE181" s="13">
        <f>[66]Data!$AQ$283</f>
        <v>74.084146115263749</v>
      </c>
      <c r="AF181" s="53">
        <f>'[63]DNL_Bounds Visit A'!$P$16</f>
        <v>2.9791065172619165E-3</v>
      </c>
      <c r="AG181" s="13">
        <f>'[63]DNL_Bounds Visit A'!$P$24</f>
        <v>0.402655571591372</v>
      </c>
      <c r="AH181" s="23">
        <f>(Data[[#This Row],[DNL (%)]]/100)*Data[[#This Row],[VLDL (umol/L)]]</f>
        <v>0.29830394199900245</v>
      </c>
      <c r="AI181" s="13">
        <f>[4]SAMPLES!$L$192</f>
        <v>31.237413835772792</v>
      </c>
      <c r="AJ181" s="60">
        <f>(Data[[#This Row],[Gluconeogensis (%)]]/100)*Data[[#This Row],[Glucose (umol/L)]]</f>
        <v>1.529383781399436</v>
      </c>
      <c r="AK181" s="11"/>
    </row>
    <row r="182" spans="1:37" s="27" customFormat="1" x14ac:dyDescent="0.25">
      <c r="A182" s="11">
        <v>197</v>
      </c>
      <c r="B182" s="11" t="s">
        <v>300</v>
      </c>
      <c r="C182" s="11" t="s">
        <v>233</v>
      </c>
      <c r="D182" s="11">
        <v>2</v>
      </c>
      <c r="E182" s="11"/>
      <c r="F182" s="11" t="s">
        <v>227</v>
      </c>
      <c r="G182" s="11">
        <f>[63]Characteristics!$P$8</f>
        <v>53</v>
      </c>
      <c r="H182" s="11">
        <f>'[63]Anthro, DXA, Liver fat'!$P$6</f>
        <v>179</v>
      </c>
      <c r="I182" s="11">
        <f>'[63]Anthro, DXA, Liver fat'!$P$33</f>
        <v>68.8</v>
      </c>
      <c r="J182" s="12">
        <f t="shared" si="7"/>
        <v>21.472488374270466</v>
      </c>
      <c r="K182" s="11">
        <f>'[63]Anthro, DXA, Liver fat'!$P$36</f>
        <v>75</v>
      </c>
      <c r="L182" s="11"/>
      <c r="M182" s="13" t="e">
        <f>Data[[#This Row],[Waist_Circumference]]/Data[[#This Row],[Hip_circumference]]</f>
        <v>#DIV/0!</v>
      </c>
      <c r="N182" s="14">
        <f>[66]Data!$T$292</f>
        <v>22981.9868494</v>
      </c>
      <c r="O182" s="14">
        <f>[66]Data!$U$292</f>
        <v>43620.559101480001</v>
      </c>
      <c r="P182" s="14">
        <f t="shared" si="9"/>
        <v>66602.545950879998</v>
      </c>
      <c r="Q182" s="13">
        <f>(Data[[#This Row],[Total_fat_g]]/Data[[#This Row],[Total_mass_g]])*100</f>
        <v>34.506168677619968</v>
      </c>
      <c r="R182" s="13">
        <f>(Data[[#This Row],[Lean_mass_g]]/Data[[#This Row],[Total_mass_g]])*100</f>
        <v>65.493831322380032</v>
      </c>
      <c r="S182" s="13">
        <f>[66]Data!$Y$292</f>
        <v>358</v>
      </c>
      <c r="T182" s="13">
        <f>'[64]IHTG Corrected'!$D$33</f>
        <v>1.1491357557775612</v>
      </c>
      <c r="U182" s="13">
        <f>[63]Glucose!$P$23</f>
        <v>5.1219999999999999</v>
      </c>
      <c r="V182" s="13">
        <f>[79]Insulin!$I$15</f>
        <v>4.694</v>
      </c>
      <c r="W182" s="13">
        <f>(Data[[#This Row],[Glucose (umol/L)]]*Data[[#This Row],[Insulin (umol/L)]])/22.5</f>
        <v>1.0685630222222222</v>
      </c>
      <c r="X182" s="13">
        <f>[63]NEFA!$P$23</f>
        <v>547.20000000000005</v>
      </c>
      <c r="Y182" s="13">
        <f>[63]TAG!$P$23</f>
        <v>644.20000000000005</v>
      </c>
      <c r="Z182" s="13">
        <f>'[63]3-OHB'!$P$25</f>
        <v>43.7</v>
      </c>
      <c r="AA182" s="13">
        <f>'[63]Apo B, Cholesterol, HDL, ALT'!$P$22</f>
        <v>4.78</v>
      </c>
      <c r="AB182" s="13">
        <f>'[63]Apo B, Cholesterol, HDL, ALT'!$P$32</f>
        <v>1.38</v>
      </c>
      <c r="AC182" s="13">
        <f>Data[[#This Row],[total_chol (umol/L)]]-Data[[#This Row],[HDL_chol (umol/L)]]</f>
        <v>3.4000000000000004</v>
      </c>
      <c r="AD182" s="13">
        <f>Data[[#This Row],[Non_HDL (umol/L)]]-(Data[[#This Row],[TAG (umol/L)]]/2200)</f>
        <v>3.1071818181818185</v>
      </c>
      <c r="AE182" s="13">
        <f>[66]Data!$AQ$293</f>
        <v>141.92118032027739</v>
      </c>
      <c r="AF182" s="53">
        <f>'[63]DNL_Bounds Visit B'!$P$16</f>
        <v>3.3104071920638414E-3</v>
      </c>
      <c r="AG182" s="13">
        <f>'[63]DNL_Bounds Visit B'!$P$24</f>
        <v>18.990784678025168</v>
      </c>
      <c r="AH182" s="23">
        <f>(Data[[#This Row],[DNL (%)]]/100)*Data[[#This Row],[VLDL (umol/L)]]</f>
        <v>26.951945767135708</v>
      </c>
      <c r="AI182" s="13">
        <f>[4]SAMPLES!$L$193</f>
        <v>25.929037228973616</v>
      </c>
      <c r="AJ182" s="60">
        <f>(Data[[#This Row],[Gluconeogensis (%)]]/100)*Data[[#This Row],[Glucose (umol/L)]]</f>
        <v>1.3280852868680286</v>
      </c>
      <c r="AK182" s="11"/>
    </row>
    <row r="183" spans="1:37" s="27" customFormat="1" x14ac:dyDescent="0.25">
      <c r="A183" s="11">
        <v>198</v>
      </c>
      <c r="B183" s="11" t="s">
        <v>301</v>
      </c>
      <c r="C183" s="11" t="s">
        <v>233</v>
      </c>
      <c r="D183" s="11">
        <v>1</v>
      </c>
      <c r="E183" s="11"/>
      <c r="F183" s="11" t="s">
        <v>227</v>
      </c>
      <c r="G183" s="11">
        <f>[63]Characteristics!$Q$8</f>
        <v>45</v>
      </c>
      <c r="H183" s="11">
        <f>'[63]Anthro, DXA, Liver fat'!$Q$6</f>
        <v>170</v>
      </c>
      <c r="I183" s="11">
        <f>'[63]Anthro, DXA, Liver fat'!$Q$5</f>
        <v>90.4</v>
      </c>
      <c r="J183" s="12">
        <f t="shared" si="7"/>
        <v>31.280276816609003</v>
      </c>
      <c r="K183" s="11">
        <f>'[63]Anthro, DXA, Liver fat'!$Q$8</f>
        <v>100</v>
      </c>
      <c r="L183" s="11"/>
      <c r="M183" s="13" t="e">
        <f>Data[[#This Row],[Waist_Circumference]]/Data[[#This Row],[Hip_circumference]]</f>
        <v>#DIV/0!</v>
      </c>
      <c r="N183" s="14">
        <f>[66]Data!$T$302</f>
        <v>37266.947008203002</v>
      </c>
      <c r="O183" s="14">
        <f>[66]Data!$U$302</f>
        <v>49762.837621191997</v>
      </c>
      <c r="P183" s="14">
        <f t="shared" si="9"/>
        <v>87029.784629394999</v>
      </c>
      <c r="Q183" s="13">
        <f>(Data[[#This Row],[Total_fat_g]]/Data[[#This Row],[Total_mass_g]])*100</f>
        <v>42.820911446465651</v>
      </c>
      <c r="R183" s="13">
        <f>(Data[[#This Row],[Lean_mass_g]]/Data[[#This Row],[Total_mass_g]])*100</f>
        <v>57.179088553534349</v>
      </c>
      <c r="S183" s="13">
        <f>[66]Data!$Y$302</f>
        <v>630</v>
      </c>
      <c r="T183" s="13">
        <f>'[64]IHTG Corrected'!$D$34</f>
        <v>0</v>
      </c>
      <c r="U183" s="13">
        <f>[63]Glucose!$Q$7</f>
        <v>5.0739999999999998</v>
      </c>
      <c r="V183" s="13">
        <f>[80]Insulin!$I$3</f>
        <v>1.202</v>
      </c>
      <c r="W183" s="13">
        <f>(Data[[#This Row],[Glucose (umol/L)]]*Data[[#This Row],[Insulin (umol/L)]])/22.5</f>
        <v>0.27106435555555558</v>
      </c>
      <c r="X183" s="13">
        <f>[63]NEFA!$Q$7</f>
        <v>472.7</v>
      </c>
      <c r="Y183" s="13">
        <f>[63]TAG!$Q$7</f>
        <v>548.70000000000005</v>
      </c>
      <c r="Z183" s="13">
        <f>'[63]3-OHB'!$Q$7</f>
        <v>69.099999999999994</v>
      </c>
      <c r="AA183" s="13">
        <f>'[63]Apo B, Cholesterol, HDL, ALT'!$Q$17</f>
        <v>3.64</v>
      </c>
      <c r="AB183" s="13">
        <f>'[63]Apo B, Cholesterol, HDL, ALT'!$Q$27</f>
        <v>0.98</v>
      </c>
      <c r="AC183" s="13">
        <f>Data[[#This Row],[total_chol (umol/L)]]-Data[[#This Row],[HDL_chol (umol/L)]]</f>
        <v>2.66</v>
      </c>
      <c r="AD183" s="13">
        <f>Data[[#This Row],[Non_HDL (umol/L)]]-(Data[[#This Row],[TAG (umol/L)]]/2200)</f>
        <v>2.4105909090909092</v>
      </c>
      <c r="AE183" s="13">
        <f>[66]Data!$AQ$303</f>
        <v>102.69520325992178</v>
      </c>
      <c r="AF183" s="53">
        <f>'[63]DNL_Bounds Visit A'!$Q$16</f>
        <v>3.9687963032977152E-3</v>
      </c>
      <c r="AG183" s="13">
        <f>'[63]DNL_Bounds Visit A'!$Q$24</f>
        <v>3.6656896450923617</v>
      </c>
      <c r="AH183" s="23">
        <f>(Data[[#This Row],[DNL (%)]]/100)*Data[[#This Row],[VLDL (umol/L)]]</f>
        <v>3.7644874319055064</v>
      </c>
      <c r="AI183" s="13">
        <f>[4]SAMPLES!$L$194</f>
        <v>29.821796022571199</v>
      </c>
      <c r="AJ183" s="60">
        <f>(Data[[#This Row],[Gluconeogensis (%)]]/100)*Data[[#This Row],[Glucose (umol/L)]]</f>
        <v>1.5131579301852627</v>
      </c>
      <c r="AK183" s="11"/>
    </row>
    <row r="184" spans="1:37" s="27" customFormat="1" x14ac:dyDescent="0.25">
      <c r="A184" s="11">
        <v>199</v>
      </c>
      <c r="B184" s="11" t="s">
        <v>301</v>
      </c>
      <c r="C184" s="11" t="s">
        <v>233</v>
      </c>
      <c r="D184" s="11">
        <v>2</v>
      </c>
      <c r="E184" s="11"/>
      <c r="F184" s="11" t="s">
        <v>227</v>
      </c>
      <c r="G184" s="11">
        <f>[63]Characteristics!$Q$8</f>
        <v>45</v>
      </c>
      <c r="H184" s="11">
        <f>'[63]Anthro, DXA, Liver fat'!$Q$6</f>
        <v>170</v>
      </c>
      <c r="I184" s="11">
        <f>'[63]Anthro, DXA, Liver fat'!$Q$33</f>
        <v>87.9</v>
      </c>
      <c r="J184" s="12">
        <f t="shared" si="7"/>
        <v>30.415224913494814</v>
      </c>
      <c r="K184" s="11">
        <f>'[63]Anthro, DXA, Liver fat'!$Q$36</f>
        <v>89</v>
      </c>
      <c r="L184" s="11"/>
      <c r="M184" s="13" t="e">
        <f>Data[[#This Row],[Waist_Circumference]]/Data[[#This Row],[Hip_circumference]]</f>
        <v>#DIV/0!</v>
      </c>
      <c r="N184" s="14">
        <f>[66]Data!$T$312</f>
        <v>35510.432083658001</v>
      </c>
      <c r="O184" s="14">
        <f>[66]Data!$U$312</f>
        <v>49124.436832302003</v>
      </c>
      <c r="P184" s="14">
        <f t="shared" si="9"/>
        <v>84634.868915960004</v>
      </c>
      <c r="Q184" s="13">
        <f>(Data[[#This Row],[Total_fat_g]]/Data[[#This Row],[Total_mass_g]])*100</f>
        <v>41.957212834959122</v>
      </c>
      <c r="R184" s="13">
        <f>(Data[[#This Row],[Lean_mass_g]]/Data[[#This Row],[Total_mass_g]])*100</f>
        <v>58.042787165040878</v>
      </c>
      <c r="S184" s="13">
        <f>[66]Data!$Y$312</f>
        <v>537</v>
      </c>
      <c r="T184" s="13">
        <f>'[64]IHTG Corrected'!$D$35</f>
        <v>3.592554108773899</v>
      </c>
      <c r="U184" s="13">
        <f>[63]Glucose!$Q$23</f>
        <v>5.0940000000000003</v>
      </c>
      <c r="V184" s="13">
        <f>[80]Insulin!$I$15</f>
        <v>3.4420000000000002</v>
      </c>
      <c r="W184" s="13">
        <f>(Data[[#This Row],[Glucose (umol/L)]]*Data[[#This Row],[Insulin (umol/L)]])/22.5</f>
        <v>0.77926880000000009</v>
      </c>
      <c r="X184" s="13">
        <f>[63]NEFA!$Q$23</f>
        <v>577.6</v>
      </c>
      <c r="Y184" s="13">
        <f>[63]TAG!$Q$23</f>
        <v>645.79999999999995</v>
      </c>
      <c r="Z184" s="13">
        <f>'[63]3-OHB'!$Q$25</f>
        <v>61.6</v>
      </c>
      <c r="AA184" s="13">
        <f>'[63]Apo B, Cholesterol, HDL, ALT'!$Q$22</f>
        <v>3.33</v>
      </c>
      <c r="AB184" s="13">
        <f>'[63]Apo B, Cholesterol, HDL, ALT'!$Q$32</f>
        <v>0.85</v>
      </c>
      <c r="AC184" s="13">
        <f>Data[[#This Row],[total_chol (umol/L)]]-Data[[#This Row],[HDL_chol (umol/L)]]</f>
        <v>2.48</v>
      </c>
      <c r="AD184" s="13">
        <f>Data[[#This Row],[Non_HDL (umol/L)]]-(Data[[#This Row],[TAG (umol/L)]]/2200)</f>
        <v>2.1864545454545454</v>
      </c>
      <c r="AE184" s="13">
        <f>[66]Data!$AQ$313</f>
        <v>92.989471692936064</v>
      </c>
      <c r="AF184" s="53">
        <f>'[63]DNL_Bounds Visit B'!$Q$16</f>
        <v>4.1832748957112125E-3</v>
      </c>
      <c r="AG184" s="13">
        <f>'[63]DNL_Bounds Visit B'!$Q$24</f>
        <v>7.6079561609417565</v>
      </c>
      <c r="AH184" s="23">
        <f>(Data[[#This Row],[DNL (%)]]/100)*Data[[#This Row],[VLDL (umol/L)]]</f>
        <v>7.0745982406899195</v>
      </c>
      <c r="AI184" s="13">
        <f>[4]SAMPLES!$L$195</f>
        <v>23.076667338539032</v>
      </c>
      <c r="AJ184" s="60">
        <f>(Data[[#This Row],[Gluconeogensis (%)]]/100)*Data[[#This Row],[Glucose (umol/L)]]</f>
        <v>1.1755254342251784</v>
      </c>
      <c r="AK184" s="11"/>
    </row>
    <row r="185" spans="1:37" s="27" customFormat="1" x14ac:dyDescent="0.25">
      <c r="A185" s="11">
        <v>200</v>
      </c>
      <c r="B185" s="11" t="s">
        <v>302</v>
      </c>
      <c r="C185" s="11" t="s">
        <v>233</v>
      </c>
      <c r="D185" s="11">
        <v>1</v>
      </c>
      <c r="E185" s="11"/>
      <c r="F185" s="11" t="s">
        <v>228</v>
      </c>
      <c r="G185" s="11">
        <f>[63]Characteristics!$R$8</f>
        <v>45</v>
      </c>
      <c r="H185" s="11">
        <f>'[63]Anthro, DXA, Liver fat'!$R$6</f>
        <v>181</v>
      </c>
      <c r="I185" s="11">
        <f>'[63]Anthro, DXA, Liver fat'!$R$5</f>
        <v>83.2</v>
      </c>
      <c r="J185" s="12">
        <f t="shared" si="7"/>
        <v>25.396050181618389</v>
      </c>
      <c r="K185" s="11">
        <f>'[63]Anthro, DXA, Liver fat'!$R$8</f>
        <v>89</v>
      </c>
      <c r="L185" s="11"/>
      <c r="M185" s="13" t="e">
        <f>Data[[#This Row],[Waist_Circumference]]/Data[[#This Row],[Hip_circumference]]</f>
        <v>#DIV/0!</v>
      </c>
      <c r="N185" s="14">
        <f>'[63]Anthro, DXA, Liver fat'!$R$19</f>
        <v>18049</v>
      </c>
      <c r="O185" s="14">
        <f>'[63]Anthro, DXA, Liver fat'!$R$20</f>
        <v>61237</v>
      </c>
      <c r="P185" s="14">
        <f t="shared" si="9"/>
        <v>79286</v>
      </c>
      <c r="Q185" s="13">
        <f>(Data[[#This Row],[Total_fat_g]]/Data[[#This Row],[Total_mass_g]])*100</f>
        <v>22.764422470549654</v>
      </c>
      <c r="R185" s="13">
        <f>(Data[[#This Row],[Lean_mass_g]]/Data[[#This Row],[Total_mass_g]])*100</f>
        <v>77.235577529450339</v>
      </c>
      <c r="S185" s="13">
        <f>'[63]Anthro, DXA, Liver fat'!$R$27</f>
        <v>906</v>
      </c>
      <c r="T185" s="13">
        <f>'[64]IHTG Corrected'!$D$36</f>
        <v>1.1491357557775612</v>
      </c>
      <c r="U185" s="13">
        <f>[63]Glucose!$R$7</f>
        <v>4.8109999999999999</v>
      </c>
      <c r="V185" s="13">
        <f>[81]Insulin!$I$3</f>
        <v>6.3369999999999997</v>
      </c>
      <c r="W185" s="13">
        <f>(Data[[#This Row],[Glucose (umol/L)]]*Data[[#This Row],[Insulin (umol/L)]])/22.5</f>
        <v>1.3549914222222221</v>
      </c>
      <c r="X185" s="13">
        <f>[63]NEFA!$R$7</f>
        <v>478.7</v>
      </c>
      <c r="Y185" s="13">
        <f>[63]TAG!$R$7</f>
        <v>978.9</v>
      </c>
      <c r="Z185" s="13">
        <f>'[63]3-OHB'!$R$7</f>
        <v>40</v>
      </c>
      <c r="AA185" s="13">
        <f>'[63]Apo B, Cholesterol, HDL, ALT'!$R$17</f>
        <v>4.4000000000000004</v>
      </c>
      <c r="AB185" s="13">
        <f>'[63]Apo B, Cholesterol, HDL, ALT'!$R$27</f>
        <v>1.01</v>
      </c>
      <c r="AC185" s="13">
        <f>Data[[#This Row],[total_chol (umol/L)]]-Data[[#This Row],[HDL_chol (umol/L)]]</f>
        <v>3.3900000000000006</v>
      </c>
      <c r="AD185" s="13">
        <f>Data[[#This Row],[Non_HDL (umol/L)]]-(Data[[#This Row],[TAG (umol/L)]]/2200)</f>
        <v>2.945045454545455</v>
      </c>
      <c r="AE185" s="13">
        <f>[66]Data!$AQ$323</f>
        <v>59.586991801668567</v>
      </c>
      <c r="AF185" s="53">
        <f>'[63]DNL_Bounds Visit A'!$R$16</f>
        <v>2.9791065172619165E-3</v>
      </c>
      <c r="AG185" s="48"/>
      <c r="AH185" s="23"/>
      <c r="AI185" s="13">
        <f>[4]SAMPLES!$L$196</f>
        <v>28.402271478557061</v>
      </c>
      <c r="AJ185" s="60">
        <f>(Data[[#This Row],[Gluconeogensis (%)]]/100)*Data[[#This Row],[Glucose (umol/L)]]</f>
        <v>1.3664332808333803</v>
      </c>
      <c r="AK185" s="11"/>
    </row>
    <row r="186" spans="1:37" s="27" customFormat="1" x14ac:dyDescent="0.25">
      <c r="A186" s="11">
        <v>201</v>
      </c>
      <c r="B186" s="11" t="s">
        <v>302</v>
      </c>
      <c r="C186" s="11" t="s">
        <v>233</v>
      </c>
      <c r="D186" s="11">
        <v>2</v>
      </c>
      <c r="E186" s="11"/>
      <c r="F186" s="11" t="s">
        <v>228</v>
      </c>
      <c r="G186" s="11">
        <f>[63]Characteristics!$R$8</f>
        <v>45</v>
      </c>
      <c r="H186" s="11">
        <f>'[63]Anthro, DXA, Liver fat'!$R$6</f>
        <v>181</v>
      </c>
      <c r="I186" s="11">
        <f>'[63]Anthro, DXA, Liver fat'!$R$33</f>
        <v>82.7</v>
      </c>
      <c r="J186" s="12">
        <f t="shared" si="7"/>
        <v>25.24342968773847</v>
      </c>
      <c r="K186" s="11">
        <f>'[63]Anthro, DXA, Liver fat'!$R$36</f>
        <v>90</v>
      </c>
      <c r="L186" s="11"/>
      <c r="M186" s="13" t="e">
        <f>Data[[#This Row],[Waist_Circumference]]/Data[[#This Row],[Hip_circumference]]</f>
        <v>#DIV/0!</v>
      </c>
      <c r="N186" s="14">
        <f>'[63]Anthro, DXA, Liver fat'!$R$47</f>
        <v>17226</v>
      </c>
      <c r="O186" s="14">
        <f>'[63]Anthro, DXA, Liver fat'!$R$48</f>
        <v>61215</v>
      </c>
      <c r="P186" s="14">
        <f t="shared" si="9"/>
        <v>78441</v>
      </c>
      <c r="Q186" s="13">
        <f>(Data[[#This Row],[Total_fat_g]]/Data[[#This Row],[Total_mass_g]])*100</f>
        <v>21.960454354228016</v>
      </c>
      <c r="R186" s="13">
        <f>(Data[[#This Row],[Lean_mass_g]]/Data[[#This Row],[Total_mass_g]])*100</f>
        <v>78.03954564577198</v>
      </c>
      <c r="S186" s="13">
        <f>'[63]Anthro, DXA, Liver fat'!$R$55</f>
        <v>887</v>
      </c>
      <c r="T186" s="13">
        <f>'[64]IHTG Corrected'!$D$37</f>
        <v>0</v>
      </c>
      <c r="U186" s="13">
        <f>[63]Glucose!$R$23</f>
        <v>4.8929999999999998</v>
      </c>
      <c r="V186" s="13">
        <f>[81]Insulin!$I$15</f>
        <v>4.7629999999999999</v>
      </c>
      <c r="W186" s="13">
        <f>(Data[[#This Row],[Glucose (umol/L)]]*Data[[#This Row],[Insulin (umol/L)]])/22.5</f>
        <v>1.0357937333333334</v>
      </c>
      <c r="X186" s="13">
        <f>[63]NEFA!$R$23</f>
        <v>486</v>
      </c>
      <c r="Y186" s="13">
        <f>[63]TAG!$R$23</f>
        <v>938.69999999999993</v>
      </c>
      <c r="Z186" s="13">
        <f>'[63]3-OHB'!$R$25</f>
        <v>39.1</v>
      </c>
      <c r="AA186" s="13">
        <f>'[63]Apo B, Cholesterol, HDL, ALT'!$R$22</f>
        <v>4.8499999999999996</v>
      </c>
      <c r="AB186" s="13">
        <f>'[63]Apo B, Cholesterol, HDL, ALT'!$R$32</f>
        <v>1.04</v>
      </c>
      <c r="AC186" s="13">
        <f>Data[[#This Row],[total_chol (umol/L)]]-Data[[#This Row],[HDL_chol (umol/L)]]</f>
        <v>3.8099999999999996</v>
      </c>
      <c r="AD186" s="13">
        <f>Data[[#This Row],[Non_HDL (umol/L)]]-(Data[[#This Row],[TAG (umol/L)]]/2200)</f>
        <v>3.3833181818181814</v>
      </c>
      <c r="AE186" s="13">
        <f>[66]Data!$AQ$333</f>
        <v>239.00212107732014</v>
      </c>
      <c r="AF186" s="53">
        <f>'[63]DNL_Bounds Visit B'!$R$16</f>
        <v>3.3104071920638414E-3</v>
      </c>
      <c r="AG186" s="48"/>
      <c r="AH186" s="23"/>
      <c r="AI186" s="13">
        <f>[4]SAMPLES!$L$197</f>
        <v>20.810478944074156</v>
      </c>
      <c r="AJ186" s="60">
        <f>(Data[[#This Row],[Gluconeogensis (%)]]/100)*Data[[#This Row],[Glucose (umol/L)]]</f>
        <v>1.0182567347335485</v>
      </c>
      <c r="AK186" s="11"/>
    </row>
    <row r="187" spans="1:37" s="11" customFormat="1" x14ac:dyDescent="0.25">
      <c r="A187" s="19">
        <v>202</v>
      </c>
      <c r="B187" s="19" t="s">
        <v>249</v>
      </c>
      <c r="C187" s="19" t="s">
        <v>250</v>
      </c>
      <c r="D187" s="19">
        <v>1</v>
      </c>
      <c r="E187" s="19" t="s">
        <v>228</v>
      </c>
      <c r="F187" s="19" t="s">
        <v>227</v>
      </c>
      <c r="G187" s="19">
        <f>'[82]Metformin Arm '!$C$7</f>
        <v>55</v>
      </c>
      <c r="H187" s="19">
        <v>164.5</v>
      </c>
      <c r="I187" s="19">
        <f>'[82]Metformin Arm '!$C$5</f>
        <v>95.7</v>
      </c>
      <c r="J187" s="20">
        <f t="shared" si="7"/>
        <v>35.365526926026185</v>
      </c>
      <c r="K187" s="19"/>
      <c r="L187" s="19"/>
      <c r="M187" s="21"/>
      <c r="N187" s="22">
        <v>44213.400000000009</v>
      </c>
      <c r="O187" s="22">
        <v>51486.600000000006</v>
      </c>
      <c r="P187" s="22">
        <f t="shared" si="9"/>
        <v>95700.000000000015</v>
      </c>
      <c r="Q187" s="21">
        <f>(Data[[#This Row],[Total_fat_g]]/Data[[#This Row],[Total_mass_g]])*100</f>
        <v>46.2</v>
      </c>
      <c r="R187" s="21">
        <f>(Data[[#This Row],[Lean_mass_g]]/Data[[#This Row],[Total_mass_g]])*100</f>
        <v>53.800000000000004</v>
      </c>
      <c r="S187" s="21"/>
      <c r="T187" s="21">
        <v>6.73</v>
      </c>
      <c r="U187" s="21">
        <f>[83]Glucose!$B$4</f>
        <v>5.4029999999999996</v>
      </c>
      <c r="V187" s="21">
        <f>[84]Insulin!$I9</f>
        <v>18.9145</v>
      </c>
      <c r="W187" s="21">
        <f>(Data[[#This Row],[Glucose (umol/L)]]*Data[[#This Row],[Insulin (umol/L)]])/22.5</f>
        <v>4.5420019333333332</v>
      </c>
      <c r="X187" s="21">
        <f>[84]NEFA!$F$5</f>
        <v>633.4</v>
      </c>
      <c r="Y187" s="21">
        <f>[84]TAG!$I$6</f>
        <v>365</v>
      </c>
      <c r="Z187" s="21">
        <f>'[84]Ranbut 3-OHB'!$F$5</f>
        <v>78.099999999999994</v>
      </c>
      <c r="AA187" s="21">
        <f>'[84]Apo B, HDL, Cholesterol, ALT'!$C$6</f>
        <v>4.0199999999999996</v>
      </c>
      <c r="AB187" s="21">
        <f>'[84]Apo B, HDL, Cholesterol, ALT'!$J$6</f>
        <v>1.74</v>
      </c>
      <c r="AC187" s="21">
        <f>Data[[#This Row],[total_chol (umol/L)]]-Data[[#This Row],[HDL_chol (umol/L)]]</f>
        <v>2.2799999999999994</v>
      </c>
      <c r="AD187" s="21">
        <f>Data[[#This Row],[Non_HDL (umol/L)]]-(Data[[#This Row],[TAG (umol/L)]]/2200)</f>
        <v>2.1140909090909084</v>
      </c>
      <c r="AE187" s="21">
        <f>'[85]calculations and TAG concs'!$H$4</f>
        <v>98.905829999999995</v>
      </c>
      <c r="AF187" s="54">
        <v>3.6464100390296524E-3</v>
      </c>
      <c r="AG187" s="21">
        <f>[86]dnl!$B$3</f>
        <v>7.4843289396458808</v>
      </c>
      <c r="AH187" s="23">
        <f>(Data[[#This Row],[DNL (%)]]/100)*Data[[#This Row],[VLDL (umol/L)]]</f>
        <v>7.4024376576869564</v>
      </c>
      <c r="AI187" s="21">
        <f>[4]SAMPLES!$L$198</f>
        <v>26.026352756870995</v>
      </c>
      <c r="AJ187" s="61">
        <f>(Data[[#This Row],[Gluconeogensis (%)]]/100)*Data[[#This Row],[Glucose (umol/L)]]</f>
        <v>1.4062038394537397</v>
      </c>
      <c r="AK187" s="19"/>
    </row>
    <row r="188" spans="1:37" s="11" customFormat="1" x14ac:dyDescent="0.25">
      <c r="A188" s="19">
        <v>203</v>
      </c>
      <c r="B188" s="19" t="s">
        <v>251</v>
      </c>
      <c r="C188" s="19" t="s">
        <v>250</v>
      </c>
      <c r="D188" s="19">
        <v>1</v>
      </c>
      <c r="E188" s="19" t="s">
        <v>228</v>
      </c>
      <c r="F188" s="19" t="s">
        <v>227</v>
      </c>
      <c r="G188" s="19">
        <f>'[82]Metformin Arm '!$G$7</f>
        <v>51</v>
      </c>
      <c r="H188" s="19">
        <v>154</v>
      </c>
      <c r="I188" s="19">
        <f>'[82]Metformin Arm '!$G$5</f>
        <v>82.2</v>
      </c>
      <c r="J188" s="20">
        <f t="shared" si="7"/>
        <v>34.660145049755442</v>
      </c>
      <c r="K188" s="19"/>
      <c r="L188" s="19"/>
      <c r="M188" s="21"/>
      <c r="N188" s="22">
        <v>35099.4</v>
      </c>
      <c r="O188" s="22">
        <v>47100.6</v>
      </c>
      <c r="P188" s="22">
        <f t="shared" si="9"/>
        <v>82200</v>
      </c>
      <c r="Q188" s="21">
        <f>(Data[[#This Row],[Total_fat_g]]/Data[[#This Row],[Total_mass_g]])*100</f>
        <v>42.699999999999996</v>
      </c>
      <c r="R188" s="21">
        <f>(Data[[#This Row],[Lean_mass_g]]/Data[[#This Row],[Total_mass_g]])*100</f>
        <v>57.3</v>
      </c>
      <c r="S188" s="21"/>
      <c r="T188" s="21">
        <v>26.61</v>
      </c>
      <c r="U188" s="21">
        <f>[83]Glucose!$C$4</f>
        <v>6.6740000000000004</v>
      </c>
      <c r="V188" s="21">
        <f>[87]Insulin!$I9</f>
        <v>41.305</v>
      </c>
      <c r="W188" s="21">
        <f>(Data[[#This Row],[Glucose (umol/L)]]*Data[[#This Row],[Insulin (umol/L)]])/22.5</f>
        <v>12.251980888888889</v>
      </c>
      <c r="X188" s="21">
        <f>[87]NEFA!$F$5</f>
        <v>805.4</v>
      </c>
      <c r="Y188" s="21">
        <f>[87]TAG!$I$6</f>
        <v>2069.8000000000002</v>
      </c>
      <c r="Z188" s="21">
        <f>'[87]Ranbut 3-OHB'!$F$5</f>
        <v>215.3</v>
      </c>
      <c r="AA188" s="21">
        <f>'[87]Apo B, HDL, Cholesterol, ALT'!$C$6</f>
        <v>4.29</v>
      </c>
      <c r="AB188" s="21">
        <f>'[87]Apo B, HDL, Cholesterol, ALT'!$J$6</f>
        <v>0.9</v>
      </c>
      <c r="AC188" s="21">
        <f>Data[[#This Row],[total_chol (umol/L)]]-Data[[#This Row],[HDL_chol (umol/L)]]</f>
        <v>3.39</v>
      </c>
      <c r="AD188" s="21">
        <f>Data[[#This Row],[Non_HDL (umol/L)]]-(Data[[#This Row],[TAG (umol/L)]]/2200)</f>
        <v>2.4491818181818181</v>
      </c>
      <c r="AE188" s="21">
        <f>'[88]calculations and TAG concs'!$H$4</f>
        <v>1596.9589124999998</v>
      </c>
      <c r="AF188" s="54">
        <v>3.4221575817647795E-3</v>
      </c>
      <c r="AG188" s="21">
        <f>[86]dnl!$C$3</f>
        <v>3.8944953998748826</v>
      </c>
      <c r="AH188" s="23">
        <f>(Data[[#This Row],[DNL (%)]]/100)*Data[[#This Row],[VLDL (umol/L)]]</f>
        <v>62.193491385204439</v>
      </c>
      <c r="AI188" s="21">
        <f>[4]SAMPLES!$L$199</f>
        <v>27.322832693623329</v>
      </c>
      <c r="AJ188" s="61">
        <f>(Data[[#This Row],[Gluconeogensis (%)]]/100)*Data[[#This Row],[Glucose (umol/L)]]</f>
        <v>1.8235258539724211</v>
      </c>
      <c r="AK188" s="19"/>
    </row>
    <row r="189" spans="1:37" s="11" customFormat="1" x14ac:dyDescent="0.25">
      <c r="A189" s="19">
        <v>204</v>
      </c>
      <c r="B189" s="19" t="s">
        <v>252</v>
      </c>
      <c r="C189" s="19" t="s">
        <v>250</v>
      </c>
      <c r="D189" s="19">
        <v>1</v>
      </c>
      <c r="E189" s="19" t="s">
        <v>228</v>
      </c>
      <c r="F189" s="19" t="s">
        <v>228</v>
      </c>
      <c r="G189" s="19">
        <f>'[82]Metformin Arm '!$K$7</f>
        <v>50</v>
      </c>
      <c r="H189" s="19">
        <v>182.5</v>
      </c>
      <c r="I189" s="19">
        <f>'[82]Metformin Arm '!$K$5</f>
        <v>111.3</v>
      </c>
      <c r="J189" s="20">
        <f t="shared" si="7"/>
        <v>33.417151435541378</v>
      </c>
      <c r="K189" s="19"/>
      <c r="L189" s="19"/>
      <c r="M189" s="21"/>
      <c r="N189" s="22">
        <v>39066.299999999996</v>
      </c>
      <c r="O189" s="22">
        <v>72233.7</v>
      </c>
      <c r="P189" s="22">
        <f t="shared" si="9"/>
        <v>111300</v>
      </c>
      <c r="Q189" s="21">
        <f>(Data[[#This Row],[Total_fat_g]]/Data[[#This Row],[Total_mass_g]])*100</f>
        <v>35.099999999999994</v>
      </c>
      <c r="R189" s="21">
        <f>(Data[[#This Row],[Lean_mass_g]]/Data[[#This Row],[Total_mass_g]])*100</f>
        <v>64.900000000000006</v>
      </c>
      <c r="S189" s="21"/>
      <c r="T189" s="21">
        <v>28.41</v>
      </c>
      <c r="U189" s="21">
        <f>[83]Glucose!$D$4</f>
        <v>5.8280000000000003</v>
      </c>
      <c r="V189" s="21">
        <f>[89]Insulin!$I9</f>
        <v>23.057000000000002</v>
      </c>
      <c r="W189" s="21">
        <f>(Data[[#This Row],[Glucose (umol/L)]]*Data[[#This Row],[Insulin (umol/L)]])/22.5</f>
        <v>5.9722753777777786</v>
      </c>
      <c r="X189" s="21">
        <f>[90]NEFA!$F$5</f>
        <v>697</v>
      </c>
      <c r="Y189" s="21">
        <f>[90]TAG!$I$6</f>
        <v>2342.5</v>
      </c>
      <c r="Z189" s="21">
        <f>'[90]Ranbut 3-OHB'!$F$5</f>
        <v>105.6</v>
      </c>
      <c r="AA189" s="21">
        <f>'[90]Apo B, HDL, Cholesterol, ALT'!$C$6</f>
        <v>5.45</v>
      </c>
      <c r="AB189" s="21">
        <f>'[90]Apo B, HDL, Cholesterol, ALT'!$J$6</f>
        <v>0.85</v>
      </c>
      <c r="AC189" s="21">
        <f>Data[[#This Row],[total_chol (umol/L)]]-Data[[#This Row],[HDL_chol (umol/L)]]</f>
        <v>4.6000000000000005</v>
      </c>
      <c r="AD189" s="21">
        <f>Data[[#This Row],[Non_HDL (umol/L)]]-(Data[[#This Row],[TAG (umol/L)]]/2200)</f>
        <v>3.5352272727272736</v>
      </c>
      <c r="AE189" s="21">
        <f>'[91]calculations and TAG concs'!$H$4</f>
        <v>1297.9474781250003</v>
      </c>
      <c r="AF189" s="54">
        <v>3.3419930331895224E-3</v>
      </c>
      <c r="AG189" s="21">
        <f>[86]dnl!$D$3</f>
        <v>9.894469660976414</v>
      </c>
      <c r="AH189" s="23">
        <f>(Data[[#This Row],[DNL (%)]]/100)*Data[[#This Row],[VLDL (umol/L)]]</f>
        <v>128.42501943848663</v>
      </c>
      <c r="AI189" s="21">
        <f>[4]SAMPLES!$L$200</f>
        <v>34.483981786925398</v>
      </c>
      <c r="AJ189" s="61">
        <f>(Data[[#This Row],[Gluconeogensis (%)]]/100)*Data[[#This Row],[Glucose (umol/L)]]</f>
        <v>2.0097264585420125</v>
      </c>
      <c r="AK189" s="19"/>
    </row>
    <row r="190" spans="1:37" s="11" customFormat="1" x14ac:dyDescent="0.25">
      <c r="A190" s="19">
        <v>205</v>
      </c>
      <c r="B190" s="19" t="s">
        <v>253</v>
      </c>
      <c r="C190" s="19" t="s">
        <v>250</v>
      </c>
      <c r="D190" s="19">
        <v>1</v>
      </c>
      <c r="E190" s="19" t="s">
        <v>228</v>
      </c>
      <c r="F190" s="19" t="s">
        <v>228</v>
      </c>
      <c r="G190" s="19">
        <f>'[82]Metformin Arm '!$O$7</f>
        <v>36</v>
      </c>
      <c r="H190" s="19">
        <v>176</v>
      </c>
      <c r="I190" s="19">
        <f>'[82]Metformin Arm '!$O$5</f>
        <v>96.7</v>
      </c>
      <c r="J190" s="20">
        <f t="shared" si="7"/>
        <v>31.217716942148762</v>
      </c>
      <c r="K190" s="19"/>
      <c r="L190" s="19"/>
      <c r="M190" s="21"/>
      <c r="N190" s="22">
        <v>27076</v>
      </c>
      <c r="O190" s="22">
        <v>69624.000000000015</v>
      </c>
      <c r="P190" s="22">
        <f t="shared" si="9"/>
        <v>96700.000000000015</v>
      </c>
      <c r="Q190" s="21">
        <f>(Data[[#This Row],[Total_fat_g]]/Data[[#This Row],[Total_mass_g]])*100</f>
        <v>27.999999999999996</v>
      </c>
      <c r="R190" s="21">
        <f>(Data[[#This Row],[Lean_mass_g]]/Data[[#This Row],[Total_mass_g]])*100</f>
        <v>72.000000000000014</v>
      </c>
      <c r="S190" s="21"/>
      <c r="T190" s="21">
        <v>2.31</v>
      </c>
      <c r="U190" s="21">
        <f>[83]Glucose!$E$4</f>
        <v>5.1849999999999996</v>
      </c>
      <c r="V190" s="21">
        <f>[92]Insulin!$I9</f>
        <v>16.584499999999998</v>
      </c>
      <c r="W190" s="21">
        <f>(Data[[#This Row],[Glucose (umol/L)]]*Data[[#This Row],[Insulin (umol/L)]])/22.5</f>
        <v>3.8218058888888886</v>
      </c>
      <c r="X190" s="21">
        <f>[92]NEFA!$F$5</f>
        <v>639.5</v>
      </c>
      <c r="Y190" s="21">
        <f>[92]TAG!$I$6</f>
        <v>1255.5999999999999</v>
      </c>
      <c r="Z190" s="21">
        <f>'[92]Ranbut 3-OHB'!$F$5</f>
        <v>43.2</v>
      </c>
      <c r="AA190" s="21">
        <f>'[92]Apo B, HDL, Cholesterol, ALT'!$C$6</f>
        <v>3.98</v>
      </c>
      <c r="AB190" s="21">
        <f>'[92]Apo B, HDL, Cholesterol, ALT'!$J$6</f>
        <v>0.98</v>
      </c>
      <c r="AC190" s="21">
        <f>Data[[#This Row],[total_chol (umol/L)]]-Data[[#This Row],[HDL_chol (umol/L)]]</f>
        <v>3</v>
      </c>
      <c r="AD190" s="21">
        <f>Data[[#This Row],[Non_HDL (umol/L)]]-(Data[[#This Row],[TAG (umol/L)]]/2200)</f>
        <v>2.4292727272727275</v>
      </c>
      <c r="AE190" s="21">
        <f>'[93]calculations and TAG concs'!$H$4</f>
        <v>716.1268275000001</v>
      </c>
      <c r="AF190" s="54">
        <v>2.6187527873265323E-3</v>
      </c>
      <c r="AG190" s="21">
        <f>[86]dnl!$E$3</f>
        <v>6.1899547933444108</v>
      </c>
      <c r="AH190" s="23">
        <f>(Data[[#This Row],[DNL (%)]]/100)*Data[[#This Row],[VLDL (umol/L)]]</f>
        <v>44.327926885261512</v>
      </c>
      <c r="AI190" s="21">
        <f>[4]SAMPLES!$L$201</f>
        <v>25.230018513577413</v>
      </c>
      <c r="AJ190" s="61">
        <f>(Data[[#This Row],[Gluconeogensis (%)]]/100)*Data[[#This Row],[Glucose (umol/L)]]</f>
        <v>1.3081764599289887</v>
      </c>
      <c r="AK190" s="19"/>
    </row>
    <row r="191" spans="1:37" s="11" customFormat="1" x14ac:dyDescent="0.25">
      <c r="A191" s="19">
        <v>206</v>
      </c>
      <c r="B191" s="19" t="s">
        <v>254</v>
      </c>
      <c r="C191" s="19" t="s">
        <v>250</v>
      </c>
      <c r="D191" s="19">
        <v>1</v>
      </c>
      <c r="E191" s="19" t="s">
        <v>228</v>
      </c>
      <c r="F191" s="19" t="s">
        <v>227</v>
      </c>
      <c r="G191" s="19">
        <f>'[82]Metformin Arm '!$S$7</f>
        <v>52</v>
      </c>
      <c r="H191" s="19">
        <v>164.5</v>
      </c>
      <c r="I191" s="19">
        <f>'[82]Metformin Arm '!$S$5</f>
        <v>69</v>
      </c>
      <c r="J191" s="20">
        <f t="shared" si="7"/>
        <v>25.49865577738565</v>
      </c>
      <c r="K191" s="19"/>
      <c r="L191" s="19"/>
      <c r="M191" s="21"/>
      <c r="N191" s="22">
        <v>28290</v>
      </c>
      <c r="O191" s="22">
        <v>40709.999999999993</v>
      </c>
      <c r="P191" s="22">
        <f t="shared" si="9"/>
        <v>69000</v>
      </c>
      <c r="Q191" s="21">
        <f>(Data[[#This Row],[Total_fat_g]]/Data[[#This Row],[Total_mass_g]])*100</f>
        <v>41</v>
      </c>
      <c r="R191" s="21">
        <f>(Data[[#This Row],[Lean_mass_g]]/Data[[#This Row],[Total_mass_g]])*100</f>
        <v>58.999999999999986</v>
      </c>
      <c r="S191" s="21"/>
      <c r="T191" s="21">
        <v>2.91</v>
      </c>
      <c r="U191" s="21">
        <f>[83]Glucose!$F$4</f>
        <v>5.742</v>
      </c>
      <c r="V191" s="21">
        <f>[94]Insulin!$I9</f>
        <v>14.666499999999999</v>
      </c>
      <c r="W191" s="21">
        <f>(Data[[#This Row],[Glucose (umol/L)]]*Data[[#This Row],[Insulin (umol/L)]])/22.5</f>
        <v>3.7428907999999996</v>
      </c>
      <c r="X191" s="21">
        <f>[94]NEFA!$F5</f>
        <v>426.1</v>
      </c>
      <c r="Y191" s="21">
        <f>[94]TAG!$I6</f>
        <v>734.59999999999991</v>
      </c>
      <c r="Z191" s="21">
        <f>'[94]Ranbut 3-OHB'!$F5</f>
        <v>139.4</v>
      </c>
      <c r="AA191" s="21">
        <f>'[94]Apo B, HDL, Cholesterol, ALT'!$C$6</f>
        <v>4.2300000000000004</v>
      </c>
      <c r="AB191" s="21">
        <f>'[94]Apo B, HDL, Cholesterol, ALT'!$J$6</f>
        <v>1.34</v>
      </c>
      <c r="AC191" s="21">
        <f>Data[[#This Row],[total_chol (umol/L)]]-Data[[#This Row],[HDL_chol (umol/L)]]</f>
        <v>2.8900000000000006</v>
      </c>
      <c r="AD191" s="21">
        <f>Data[[#This Row],[Non_HDL (umol/L)]]-(Data[[#This Row],[TAG (umol/L)]]/2200)</f>
        <v>2.5560909090909099</v>
      </c>
      <c r="AE191" s="21">
        <f>[83]Lipoproteins!F$3</f>
        <v>411.84099375</v>
      </c>
      <c r="AF191" s="54">
        <v>3.9428634426274672E-3</v>
      </c>
      <c r="AG191" s="21">
        <f>[86]dnl!$F$3</f>
        <v>3.3927485775381636</v>
      </c>
      <c r="AH191" s="23">
        <f>(Data[[#This Row],[DNL (%)]]/100)*Data[[#This Row],[VLDL (umol/L)]]</f>
        <v>13.972729457172161</v>
      </c>
      <c r="AI191" s="21">
        <f>[4]SAMPLES!$L$202</f>
        <v>24.713457119045458</v>
      </c>
      <c r="AJ191" s="61">
        <f>(Data[[#This Row],[Gluconeogensis (%)]]/100)*Data[[#This Row],[Glucose (umol/L)]]</f>
        <v>1.4190467077755902</v>
      </c>
      <c r="AK191" s="19"/>
    </row>
    <row r="192" spans="1:37" s="11" customFormat="1" x14ac:dyDescent="0.25">
      <c r="A192" s="19">
        <v>207</v>
      </c>
      <c r="B192" s="19" t="s">
        <v>255</v>
      </c>
      <c r="C192" s="19" t="s">
        <v>250</v>
      </c>
      <c r="D192" s="19">
        <v>1</v>
      </c>
      <c r="E192" s="19" t="s">
        <v>228</v>
      </c>
      <c r="F192" s="19" t="s">
        <v>228</v>
      </c>
      <c r="G192" s="19">
        <f>'[82]Metformin Arm '!$W$7</f>
        <v>36</v>
      </c>
      <c r="H192" s="19">
        <v>172</v>
      </c>
      <c r="I192" s="19">
        <f>'[82]Metformin Arm '!$W$5</f>
        <v>125.1</v>
      </c>
      <c r="J192" s="20">
        <f t="shared" si="7"/>
        <v>42.286371011357495</v>
      </c>
      <c r="K192" s="19"/>
      <c r="L192" s="19"/>
      <c r="M192" s="21"/>
      <c r="N192" s="22">
        <v>44035.200000000004</v>
      </c>
      <c r="O192" s="22">
        <v>81064.799999999988</v>
      </c>
      <c r="P192" s="22">
        <f t="shared" si="9"/>
        <v>125100</v>
      </c>
      <c r="Q192" s="21">
        <f>(Data[[#This Row],[Total_fat_g]]/Data[[#This Row],[Total_mass_g]])*100</f>
        <v>35.200000000000003</v>
      </c>
      <c r="R192" s="21">
        <f>(Data[[#This Row],[Lean_mass_g]]/Data[[#This Row],[Total_mass_g]])*100</f>
        <v>64.8</v>
      </c>
      <c r="S192" s="21"/>
      <c r="T192" s="21">
        <v>36.4</v>
      </c>
      <c r="U192" s="21">
        <f>[83]Glucose!$G$4</f>
        <v>8.4469999999999992</v>
      </c>
      <c r="V192" s="21">
        <f>[95]Insulin!$I9</f>
        <v>62.718999999999994</v>
      </c>
      <c r="W192" s="21">
        <f>(Data[[#This Row],[Glucose (umol/L)]]*Data[[#This Row],[Insulin (umol/L)]])/22.5</f>
        <v>23.546106355555555</v>
      </c>
      <c r="X192" s="21">
        <f>[95]NEFA!$F5</f>
        <v>632.4</v>
      </c>
      <c r="Y192" s="21">
        <f>[95]TAG!$I6</f>
        <v>1047.9000000000001</v>
      </c>
      <c r="Z192" s="21">
        <f>'[95]Ranbut 3-OHB'!$F5</f>
        <v>79.400000000000006</v>
      </c>
      <c r="AA192" s="21">
        <f>'[95]Apo B, HDL, Cholesterol, ALT'!$C$6</f>
        <v>4.25</v>
      </c>
      <c r="AB192" s="21">
        <f>'[95]Apo B, HDL, Cholesterol, ALT'!$J$6</f>
        <v>1.18</v>
      </c>
      <c r="AC192" s="21">
        <f>Data[[#This Row],[total_chol (umol/L)]]-Data[[#This Row],[HDL_chol (umol/L)]]</f>
        <v>3.0700000000000003</v>
      </c>
      <c r="AD192" s="21">
        <f>Data[[#This Row],[Non_HDL (umol/L)]]-(Data[[#This Row],[TAG (umol/L)]]/2200)</f>
        <v>2.5936818181818184</v>
      </c>
      <c r="AE192" s="21">
        <f>[83]Lipoproteins!G$3</f>
        <v>599.91045374999999</v>
      </c>
      <c r="AF192" s="54">
        <v>4.1892222106076401E-3</v>
      </c>
      <c r="AG192" s="21">
        <f>[86]dnl!$G$3</f>
        <v>3.430180332615544</v>
      </c>
      <c r="AH192" s="23">
        <f>(Data[[#This Row],[DNL (%)]]/100)*Data[[#This Row],[VLDL (umol/L)]]</f>
        <v>20.578010397837168</v>
      </c>
      <c r="AI192" s="21">
        <f>[4]SAMPLES!$L$203</f>
        <v>15.211630511138255</v>
      </c>
      <c r="AJ192" s="61">
        <f>(Data[[#This Row],[Gluconeogensis (%)]]/100)*Data[[#This Row],[Glucose (umol/L)]]</f>
        <v>1.2849264292758482</v>
      </c>
      <c r="AK192" s="19"/>
    </row>
    <row r="193" spans="1:37" s="11" customFormat="1" x14ac:dyDescent="0.25">
      <c r="A193" s="19">
        <v>208</v>
      </c>
      <c r="B193" s="19" t="s">
        <v>256</v>
      </c>
      <c r="C193" s="19" t="s">
        <v>250</v>
      </c>
      <c r="D193" s="19">
        <v>1</v>
      </c>
      <c r="E193" s="19" t="s">
        <v>228</v>
      </c>
      <c r="F193" s="19" t="s">
        <v>227</v>
      </c>
      <c r="G193" s="19">
        <f>'[82]Metformin Arm '!$AA$7</f>
        <v>63</v>
      </c>
      <c r="H193" s="19">
        <v>152</v>
      </c>
      <c r="I193" s="19">
        <f>'[82]Metformin Arm '!$AA$5</f>
        <v>77.06</v>
      </c>
      <c r="J193" s="20">
        <f t="shared" si="7"/>
        <v>33.35353185595568</v>
      </c>
      <c r="K193" s="19"/>
      <c r="L193" s="19"/>
      <c r="M193" s="21"/>
      <c r="N193" s="22">
        <v>34368.76</v>
      </c>
      <c r="O193" s="22">
        <v>42691.24</v>
      </c>
      <c r="P193" s="22">
        <f t="shared" si="9"/>
        <v>77060</v>
      </c>
      <c r="Q193" s="21">
        <f>(Data[[#This Row],[Total_fat_g]]/Data[[#This Row],[Total_mass_g]])*100</f>
        <v>44.6</v>
      </c>
      <c r="R193" s="21">
        <f>(Data[[#This Row],[Lean_mass_g]]/Data[[#This Row],[Total_mass_g]])*100</f>
        <v>55.399999999999991</v>
      </c>
      <c r="S193" s="21"/>
      <c r="T193" s="21">
        <v>15.34</v>
      </c>
      <c r="U193" s="21">
        <f>[83]Glucose!$H$4</f>
        <v>11.159000000000001</v>
      </c>
      <c r="V193" s="21">
        <f>[96]Insulin!$I9</f>
        <v>21.965</v>
      </c>
      <c r="W193" s="21">
        <f>(Data[[#This Row],[Glucose (umol/L)]]*Data[[#This Row],[Insulin (umol/L)]])/22.5</f>
        <v>10.893663777777778</v>
      </c>
      <c r="X193" s="21">
        <f>[96]NEFA!$F5</f>
        <v>612.6</v>
      </c>
      <c r="Y193" s="21">
        <f>[96]TAG!$I6</f>
        <v>1270.3</v>
      </c>
      <c r="Z193" s="21">
        <f>'[96]Ranbut 3-OHB'!$F5</f>
        <v>55.1</v>
      </c>
      <c r="AA193" s="21">
        <f>'[96]Apo B, HDL, Cholesterol, ALT'!$C$6</f>
        <v>3.54</v>
      </c>
      <c r="AB193" s="21">
        <f>'[96]Apo B, HDL, Cholesterol, ALT'!$J$6</f>
        <v>1.24</v>
      </c>
      <c r="AC193" s="21">
        <f>Data[[#This Row],[total_chol (umol/L)]]-Data[[#This Row],[HDL_chol (umol/L)]]</f>
        <v>2.2999999999999998</v>
      </c>
      <c r="AD193" s="21">
        <f>Data[[#This Row],[Non_HDL (umol/L)]]-(Data[[#This Row],[TAG (umol/L)]]/2200)</f>
        <v>1.7225909090909091</v>
      </c>
      <c r="AE193" s="21">
        <f>[83]Lipoproteins!H$3</f>
        <v>748.67915249999999</v>
      </c>
      <c r="AF193" s="54">
        <v>4.1022121631510734E-3</v>
      </c>
      <c r="AG193" s="21">
        <f>[86]dnl!$H$3</f>
        <v>2.8778302963615112</v>
      </c>
      <c r="AH193" s="23">
        <f>(Data[[#This Row],[DNL (%)]]/100)*Data[[#This Row],[VLDL (umol/L)]]</f>
        <v>21.545715473187602</v>
      </c>
      <c r="AI193" s="21">
        <f>[4]SAMPLES!$L$204</f>
        <v>21.825290896466036</v>
      </c>
      <c r="AJ193" s="61">
        <f>(Data[[#This Row],[Gluconeogensis (%)]]/100)*Data[[#This Row],[Glucose (umol/L)]]</f>
        <v>2.4354842111366453</v>
      </c>
      <c r="AK193" s="19"/>
    </row>
    <row r="194" spans="1:37" s="11" customFormat="1" x14ac:dyDescent="0.25">
      <c r="A194" s="19">
        <v>209</v>
      </c>
      <c r="B194" s="19" t="s">
        <v>257</v>
      </c>
      <c r="C194" s="19" t="s">
        <v>250</v>
      </c>
      <c r="D194" s="19">
        <v>1</v>
      </c>
      <c r="E194" s="19" t="s">
        <v>228</v>
      </c>
      <c r="F194" s="19" t="s">
        <v>227</v>
      </c>
      <c r="G194" s="19">
        <f>'[82]Metformin Arm '!$AE$7</f>
        <v>48</v>
      </c>
      <c r="H194" s="19">
        <v>152.5</v>
      </c>
      <c r="I194" s="19">
        <f>'[82]Metformin Arm '!$AE$5</f>
        <v>80.599999999999994</v>
      </c>
      <c r="J194" s="20">
        <f t="shared" ref="J194:J257" si="10">I194/((H194/100)*(H194/100))</f>
        <v>34.657350174684225</v>
      </c>
      <c r="K194" s="19"/>
      <c r="L194" s="19"/>
      <c r="M194" s="21"/>
      <c r="N194" s="22">
        <v>30547.399999999998</v>
      </c>
      <c r="O194" s="22">
        <v>50052.6</v>
      </c>
      <c r="P194" s="22">
        <f t="shared" si="9"/>
        <v>80600</v>
      </c>
      <c r="Q194" s="21">
        <f>(Data[[#This Row],[Total_fat_g]]/Data[[#This Row],[Total_mass_g]])*100</f>
        <v>37.899999999999991</v>
      </c>
      <c r="R194" s="21">
        <f>(Data[[#This Row],[Lean_mass_g]]/Data[[#This Row],[Total_mass_g]])*100</f>
        <v>62.1</v>
      </c>
      <c r="S194" s="21"/>
      <c r="T194" s="21">
        <v>7.87</v>
      </c>
      <c r="U194" s="21">
        <f>[83]Glucose!$I$4</f>
        <v>5.9509999999999996</v>
      </c>
      <c r="V194" s="21">
        <f>[97]Insulin!$I9</f>
        <v>17.602499999999999</v>
      </c>
      <c r="W194" s="21">
        <f>(Data[[#This Row],[Glucose (umol/L)]]*Data[[#This Row],[Insulin (umol/L)]])/22.5</f>
        <v>4.6556656666666658</v>
      </c>
      <c r="X194" s="21">
        <f>[97]NEFA!$C5</f>
        <v>1042.7</v>
      </c>
      <c r="Y194" s="21">
        <f>[97]TAG!$I6</f>
        <v>2530.5</v>
      </c>
      <c r="Z194" s="21">
        <f>'[97]Ranbut 3-OHB'!$C5</f>
        <v>119.3</v>
      </c>
      <c r="AA194" s="21">
        <f>'[97]Apo B, HDL, Cholesterol, ALT'!$C$6</f>
        <v>6.07</v>
      </c>
      <c r="AB194" s="21">
        <f>'[97]Apo B, HDL, Cholesterol, ALT'!$J$6</f>
        <v>1</v>
      </c>
      <c r="AC194" s="21">
        <f>Data[[#This Row],[total_chol (umol/L)]]-Data[[#This Row],[HDL_chol (umol/L)]]</f>
        <v>5.07</v>
      </c>
      <c r="AD194" s="21">
        <f>Data[[#This Row],[Non_HDL (umol/L)]]-(Data[[#This Row],[TAG (umol/L)]]/2200)</f>
        <v>3.9197727272727274</v>
      </c>
      <c r="AE194" s="21">
        <f>[83]Lipoproteins!$I$3</f>
        <v>1715.171955</v>
      </c>
      <c r="AF194" s="54">
        <v>4.5606431345139309E-3</v>
      </c>
      <c r="AG194" s="21">
        <f>[86]dnl!$I$3</f>
        <v>8.3944771776661451</v>
      </c>
      <c r="AH194" s="23">
        <f>(Data[[#This Row],[DNL (%)]]/100)*Data[[#This Row],[VLDL (umol/L)]]</f>
        <v>143.97971832020522</v>
      </c>
      <c r="AI194" s="21">
        <f>[4]SAMPLES!$L$205</f>
        <v>14.578926059947294</v>
      </c>
      <c r="AJ194" s="61">
        <f>(Data[[#This Row],[Gluconeogensis (%)]]/100)*Data[[#This Row],[Glucose (umol/L)]]</f>
        <v>0.86759188982746349</v>
      </c>
      <c r="AK194" s="19"/>
    </row>
    <row r="195" spans="1:37" s="11" customFormat="1" x14ac:dyDescent="0.25">
      <c r="A195" s="19">
        <v>210</v>
      </c>
      <c r="B195" s="19" t="s">
        <v>303</v>
      </c>
      <c r="C195" s="19" t="s">
        <v>250</v>
      </c>
      <c r="D195" s="19">
        <v>1</v>
      </c>
      <c r="E195" s="19" t="s">
        <v>228</v>
      </c>
      <c r="F195" s="19" t="s">
        <v>228</v>
      </c>
      <c r="G195" s="19">
        <f>'[82]Metformin Arm '!$AI$7</f>
        <v>45</v>
      </c>
      <c r="H195" s="19">
        <v>185.5</v>
      </c>
      <c r="I195" s="19">
        <f>'[82]Metformin Arm '!$AI$5</f>
        <v>114.9</v>
      </c>
      <c r="J195" s="20">
        <f t="shared" si="10"/>
        <v>33.391213373922021</v>
      </c>
      <c r="K195" s="19"/>
      <c r="L195" s="19"/>
      <c r="M195" s="21"/>
      <c r="N195" s="22">
        <v>31597.5</v>
      </c>
      <c r="O195" s="22">
        <v>83302.5</v>
      </c>
      <c r="P195" s="22">
        <f t="shared" si="9"/>
        <v>114900</v>
      </c>
      <c r="Q195" s="21">
        <f>(Data[[#This Row],[Total_fat_g]]/Data[[#This Row],[Total_mass_g]])*100</f>
        <v>27.500000000000004</v>
      </c>
      <c r="R195" s="21">
        <f>(Data[[#This Row],[Lean_mass_g]]/Data[[#This Row],[Total_mass_g]])*100</f>
        <v>72.5</v>
      </c>
      <c r="S195" s="21"/>
      <c r="T195" s="21">
        <v>13.54</v>
      </c>
      <c r="U195" s="21">
        <f>[83]Glucose!$J$4</f>
        <v>5.4720000000000004</v>
      </c>
      <c r="V195" s="21">
        <f>[98]Insulin!$I9</f>
        <v>21.371500000000001</v>
      </c>
      <c r="W195" s="21">
        <f>(Data[[#This Row],[Glucose (umol/L)]]*Data[[#This Row],[Insulin (umol/L)]])/22.5</f>
        <v>5.1975488000000007</v>
      </c>
      <c r="X195" s="21">
        <f>[98]NEFA!$C5</f>
        <v>564.1</v>
      </c>
      <c r="Y195" s="21">
        <f>[98]TAG!$I6</f>
        <v>4352.2000000000007</v>
      </c>
      <c r="Z195" s="21">
        <f>'[98]Ranbut 3-OHB'!$C5</f>
        <v>49.6</v>
      </c>
      <c r="AA195" s="21">
        <f>'[98]Apo B, HDL, Cholesterol, ALT'!$C$6</f>
        <v>4.62</v>
      </c>
      <c r="AB195" s="21">
        <f>'[98]Apo B, HDL, Cholesterol, ALT'!$J$6</f>
        <v>0.74</v>
      </c>
      <c r="AC195" s="21">
        <f>Data[[#This Row],[total_chol (umol/L)]]-Data[[#This Row],[HDL_chol (umol/L)]]</f>
        <v>3.88</v>
      </c>
      <c r="AD195" s="21">
        <f>Data[[#This Row],[Non_HDL (umol/L)]]-(Data[[#This Row],[TAG (umol/L)]]/2200)</f>
        <v>1.9017272727272723</v>
      </c>
      <c r="AE195" s="21">
        <f>'[99]calculations and TAG concs'!$H$4</f>
        <v>1520.7412050000003</v>
      </c>
      <c r="AF195" s="54">
        <v>3.9937235596385718E-3</v>
      </c>
      <c r="AG195" s="21">
        <f>[86]dnl!$J$3</f>
        <v>6.0386137155219499</v>
      </c>
      <c r="AH195" s="23">
        <f>(Data[[#This Row],[DNL (%)]]/100)*Data[[#This Row],[VLDL (umol/L)]]</f>
        <v>91.831686982723781</v>
      </c>
      <c r="AI195" s="21">
        <f>[4]SAMPLES!$L$206</f>
        <v>23.028571851214753</v>
      </c>
      <c r="AJ195" s="61">
        <f>(Data[[#This Row],[Gluconeogensis (%)]]/100)*Data[[#This Row],[Glucose (umol/L)]]</f>
        <v>1.2601234516984714</v>
      </c>
      <c r="AK195" s="19"/>
    </row>
    <row r="196" spans="1:37" s="11" customFormat="1" x14ac:dyDescent="0.25">
      <c r="A196" s="19">
        <v>211</v>
      </c>
      <c r="B196" s="19" t="s">
        <v>258</v>
      </c>
      <c r="C196" s="19" t="s">
        <v>250</v>
      </c>
      <c r="D196" s="19">
        <v>1</v>
      </c>
      <c r="E196" s="19" t="s">
        <v>228</v>
      </c>
      <c r="F196" s="19" t="s">
        <v>227</v>
      </c>
      <c r="G196" s="19">
        <f>'[82]Metformin Arm '!$AQ$7</f>
        <v>46</v>
      </c>
      <c r="H196" s="19">
        <v>160.5</v>
      </c>
      <c r="I196" s="19">
        <f>'[82]Metformin Arm '!$AQ$5</f>
        <v>81</v>
      </c>
      <c r="J196" s="20">
        <f t="shared" si="10"/>
        <v>31.44379421783562</v>
      </c>
      <c r="K196" s="19"/>
      <c r="L196" s="19"/>
      <c r="M196" s="21"/>
      <c r="N196" s="22">
        <v>30780</v>
      </c>
      <c r="O196" s="22">
        <v>50220.000000000007</v>
      </c>
      <c r="P196" s="22">
        <f t="shared" si="9"/>
        <v>81000</v>
      </c>
      <c r="Q196" s="21">
        <f>(Data[[#This Row],[Total_fat_g]]/Data[[#This Row],[Total_mass_g]])*100</f>
        <v>38</v>
      </c>
      <c r="R196" s="21">
        <f>(Data[[#This Row],[Lean_mass_g]]/Data[[#This Row],[Total_mass_g]])*100</f>
        <v>62.000000000000014</v>
      </c>
      <c r="S196" s="21"/>
      <c r="T196" s="21">
        <v>18.690000000000001</v>
      </c>
      <c r="U196" s="21">
        <f>[83]Glucose!$K$4</f>
        <v>4.5209999999999999</v>
      </c>
      <c r="V196" s="21">
        <f>[100]Insulin!$I9</f>
        <v>27.655000000000001</v>
      </c>
      <c r="W196" s="21">
        <f>(Data[[#This Row],[Glucose (umol/L)]]*Data[[#This Row],[Insulin (umol/L)]])/22.5</f>
        <v>5.5568113333333331</v>
      </c>
      <c r="X196" s="21">
        <f>[100]NEFA!$C5</f>
        <v>251.3</v>
      </c>
      <c r="Y196" s="21">
        <f>[100]TAG!$I6</f>
        <v>765.4</v>
      </c>
      <c r="Z196" s="21">
        <f>'[100]Ranbut 3-OHB'!$C5</f>
        <v>27.4</v>
      </c>
      <c r="AA196" s="21">
        <f>'[100]Apo B, HDL, Cholesterol, ALT'!$C$6</f>
        <v>4.41</v>
      </c>
      <c r="AB196" s="21">
        <f>'[100]Apo B, HDL, Cholesterol, ALT'!$J$6</f>
        <v>0.83</v>
      </c>
      <c r="AC196" s="21">
        <f>Data[[#This Row],[total_chol (umol/L)]]-Data[[#This Row],[HDL_chol (umol/L)]]</f>
        <v>3.58</v>
      </c>
      <c r="AD196" s="21">
        <f>Data[[#This Row],[Non_HDL (umol/L)]]-(Data[[#This Row],[TAG (umol/L)]]/2200)</f>
        <v>3.2320909090909091</v>
      </c>
      <c r="AE196" s="21">
        <f>[83]Lipoproteins!$K$3</f>
        <v>635.32403999999997</v>
      </c>
      <c r="AF196" s="54">
        <v>4.3713966392755384E-3</v>
      </c>
      <c r="AG196" s="21">
        <f>[86]dnl!$K$3</f>
        <v>1.0069448390170579</v>
      </c>
      <c r="AH196" s="23">
        <f>(Data[[#This Row],[DNL (%)]]/100)*Data[[#This Row],[VLDL (umol/L)]]</f>
        <v>6.3973626318146675</v>
      </c>
      <c r="AI196" s="21">
        <f>[4]SAMPLES!$L$207</f>
        <v>18.085316268452157</v>
      </c>
      <c r="AJ196" s="61">
        <f>(Data[[#This Row],[Gluconeogensis (%)]]/100)*Data[[#This Row],[Glucose (umol/L)]]</f>
        <v>0.81763714849672198</v>
      </c>
      <c r="AK196" s="19"/>
    </row>
    <row r="197" spans="1:37" s="11" customFormat="1" x14ac:dyDescent="0.25">
      <c r="A197" s="19">
        <v>212</v>
      </c>
      <c r="B197" s="19" t="s">
        <v>259</v>
      </c>
      <c r="C197" s="19" t="s">
        <v>250</v>
      </c>
      <c r="D197" s="19">
        <v>1</v>
      </c>
      <c r="E197" s="19" t="s">
        <v>318</v>
      </c>
      <c r="F197" s="19" t="s">
        <v>228</v>
      </c>
      <c r="G197" s="19">
        <f>'[82]Dipagloflozin Arm'!$C$7</f>
        <v>55</v>
      </c>
      <c r="H197" s="19">
        <v>172.49999999999986</v>
      </c>
      <c r="I197" s="19">
        <f>'[82]Dipagloflozin Arm'!$C$5</f>
        <v>82.6</v>
      </c>
      <c r="J197" s="20">
        <f t="shared" si="10"/>
        <v>27.758874186095401</v>
      </c>
      <c r="K197" s="19"/>
      <c r="L197" s="19"/>
      <c r="M197" s="21"/>
      <c r="N197" s="22">
        <v>22700</v>
      </c>
      <c r="O197" s="22">
        <v>63849.799999999996</v>
      </c>
      <c r="P197" s="22">
        <f t="shared" si="9"/>
        <v>86549.799999999988</v>
      </c>
      <c r="Q197" s="21">
        <f>(Data[[#This Row],[Total_fat_g]]/Data[[#This Row],[Total_mass_g]])*100</f>
        <v>26.227674702887821</v>
      </c>
      <c r="R197" s="21">
        <f>(Data[[#This Row],[Lean_mass_g]]/Data[[#This Row],[Total_mass_g]])*100</f>
        <v>73.772325297112189</v>
      </c>
      <c r="S197" s="21"/>
      <c r="T197" s="21">
        <v>2.3199999999999998</v>
      </c>
      <c r="U197" s="21">
        <f>[101]Glucose!$C6</f>
        <v>5.3949999999999996</v>
      </c>
      <c r="V197" s="21">
        <f>[101]Insulin!$I9</f>
        <v>12.678000000000001</v>
      </c>
      <c r="W197" s="21">
        <f>(Data[[#This Row],[Glucose (umol/L)]]*Data[[#This Row],[Insulin (umol/L)]])/22.5</f>
        <v>3.0399026666666664</v>
      </c>
      <c r="X197" s="21">
        <f>[101]NEFA!$C5</f>
        <v>297.8</v>
      </c>
      <c r="Y197" s="21">
        <f>[101]TAG!$I6</f>
        <v>552.9</v>
      </c>
      <c r="Z197" s="21">
        <f>'[101]Ranbut 3-OHB'!$C5</f>
        <v>43.3</v>
      </c>
      <c r="AA197" s="21">
        <f>'[101]Apo B, HDL, Cholesterol, ALT'!$C$6</f>
        <v>3.59</v>
      </c>
      <c r="AB197" s="21">
        <f>'[101]Apo B, HDL, Cholesterol, ALT'!$J$6</f>
        <v>1.24</v>
      </c>
      <c r="AC197" s="21">
        <f>Data[[#This Row],[total_chol (umol/L)]]-Data[[#This Row],[HDL_chol (umol/L)]]</f>
        <v>2.3499999999999996</v>
      </c>
      <c r="AD197" s="21">
        <f>Data[[#This Row],[Non_HDL (umol/L)]]-(Data[[#This Row],[TAG (umol/L)]]/2200)</f>
        <v>2.0986818181818179</v>
      </c>
      <c r="AE197" s="21">
        <f>[102]Lipoproteins!B$3</f>
        <v>301.959225</v>
      </c>
      <c r="AF197" s="54">
        <v>3.0545657833967203E-3</v>
      </c>
      <c r="AG197" s="21">
        <f>'[103]VLDL__DNL data DAPA'!B$20</f>
        <v>9.9540603575296664</v>
      </c>
      <c r="AH197" s="23">
        <f>(Data[[#This Row],[DNL (%)]]/100)*Data[[#This Row],[VLDL (umol/L)]]</f>
        <v>30.05720351162881</v>
      </c>
      <c r="AI197" s="21">
        <f>[4]SAMPLES!$L$208</f>
        <v>32.583646858531083</v>
      </c>
      <c r="AJ197" s="61">
        <f>(Data[[#This Row],[Gluconeogensis (%)]]/100)*Data[[#This Row],[Glucose (umol/L)]]</f>
        <v>1.7578877480177519</v>
      </c>
      <c r="AK197" s="19"/>
    </row>
    <row r="198" spans="1:37" s="11" customFormat="1" x14ac:dyDescent="0.25">
      <c r="A198" s="19">
        <v>213</v>
      </c>
      <c r="B198" s="19" t="s">
        <v>307</v>
      </c>
      <c r="C198" s="19" t="s">
        <v>250</v>
      </c>
      <c r="D198" s="19">
        <v>1</v>
      </c>
      <c r="E198" s="19" t="s">
        <v>318</v>
      </c>
      <c r="F198" s="19" t="s">
        <v>228</v>
      </c>
      <c r="G198" s="19">
        <f>'[82]Dipagloflozin Arm'!$G$7</f>
        <v>51</v>
      </c>
      <c r="H198" s="19">
        <v>182.50000000000003</v>
      </c>
      <c r="I198" s="19">
        <f>'[82]Dipagloflozin Arm'!$G$5</f>
        <v>114.4</v>
      </c>
      <c r="J198" s="20">
        <f t="shared" si="10"/>
        <v>34.347907674985919</v>
      </c>
      <c r="K198" s="19"/>
      <c r="L198" s="19"/>
      <c r="M198" s="21"/>
      <c r="N198" s="22">
        <v>29800</v>
      </c>
      <c r="O198" s="22">
        <v>80308.800000000017</v>
      </c>
      <c r="P198" s="22">
        <f t="shared" si="9"/>
        <v>110108.80000000002</v>
      </c>
      <c r="Q198" s="21">
        <f>(Data[[#This Row],[Total_fat_g]]/Data[[#This Row],[Total_mass_g]])*100</f>
        <v>27.064140195878984</v>
      </c>
      <c r="R198" s="21">
        <f>(Data[[#This Row],[Lean_mass_g]]/Data[[#This Row],[Total_mass_g]])*100</f>
        <v>72.935859804121023</v>
      </c>
      <c r="S198" s="21"/>
      <c r="T198" s="21">
        <v>2.91</v>
      </c>
      <c r="U198" s="21">
        <f>[104]Glucose!$C6</f>
        <v>4.8239999999999998</v>
      </c>
      <c r="V198" s="21">
        <f>[104]Insulin!$I9</f>
        <v>16.831</v>
      </c>
      <c r="W198" s="21">
        <f>(Data[[#This Row],[Glucose (umol/L)]]*Data[[#This Row],[Insulin (umol/L)]])/22.5</f>
        <v>3.6085663999999995</v>
      </c>
      <c r="X198" s="21">
        <f>[104]NEFA!$C5</f>
        <v>558.79999999999995</v>
      </c>
      <c r="Y198" s="21">
        <f>[104]TAG!$I6</f>
        <v>473.2</v>
      </c>
      <c r="Z198" s="21">
        <f>'[104]Ranbut 3-OHB'!$C5</f>
        <v>487.5</v>
      </c>
      <c r="AA198" s="21">
        <f>'[104]Apo B, HDL, Cholesterol, ALT'!$C$6</f>
        <v>3.77</v>
      </c>
      <c r="AB198" s="21">
        <f>'[104]Apo B, HDL, Cholesterol, ALT'!$J$6</f>
        <v>1.1299999999999999</v>
      </c>
      <c r="AC198" s="21">
        <f>Data[[#This Row],[total_chol (umol/L)]]-Data[[#This Row],[HDL_chol (umol/L)]]</f>
        <v>2.64</v>
      </c>
      <c r="AD198" s="21">
        <f>Data[[#This Row],[Non_HDL (umol/L)]]-(Data[[#This Row],[TAG (umol/L)]]/2200)</f>
        <v>2.4249090909090909</v>
      </c>
      <c r="AE198" s="21">
        <f>[102]Lipoproteins!C$3</f>
        <v>227.22523124999995</v>
      </c>
      <c r="AF198" s="54">
        <v>3.8411568420929892E-3</v>
      </c>
      <c r="AG198" s="21">
        <f>'[103]VLDL__DNL data DAPA'!C$20</f>
        <v>3.128087445007488</v>
      </c>
      <c r="AH198" s="23">
        <f>(Data[[#This Row],[DNL (%)]]/100)*Data[[#This Row],[VLDL (umol/L)]]</f>
        <v>7.1078039306204799</v>
      </c>
      <c r="AI198" s="21">
        <f>[4]SAMPLES!$L$209</f>
        <v>25.179658281493499</v>
      </c>
      <c r="AJ198" s="61">
        <f>(Data[[#This Row],[Gluconeogensis (%)]]/100)*Data[[#This Row],[Glucose (umol/L)]]</f>
        <v>1.2146667154992463</v>
      </c>
      <c r="AK198" s="19"/>
    </row>
    <row r="199" spans="1:37" s="11" customFormat="1" x14ac:dyDescent="0.25">
      <c r="A199" s="19">
        <v>214</v>
      </c>
      <c r="B199" s="19" t="s">
        <v>308</v>
      </c>
      <c r="C199" s="19" t="s">
        <v>250</v>
      </c>
      <c r="D199" s="19">
        <v>1</v>
      </c>
      <c r="E199" s="19" t="s">
        <v>318</v>
      </c>
      <c r="F199" s="19" t="s">
        <v>228</v>
      </c>
      <c r="G199" s="19">
        <f>'[82]Dipagloflozin Arm'!$K$7</f>
        <v>51</v>
      </c>
      <c r="H199" s="19">
        <v>172.5</v>
      </c>
      <c r="I199" s="19">
        <f>'[82]Dipagloflozin Arm'!$K$5</f>
        <v>91.5</v>
      </c>
      <c r="J199" s="20">
        <f t="shared" si="10"/>
        <v>30.749842470069311</v>
      </c>
      <c r="K199" s="19"/>
      <c r="L199" s="19"/>
      <c r="M199" s="21"/>
      <c r="N199" s="22">
        <v>29000</v>
      </c>
      <c r="O199" s="22">
        <v>64965</v>
      </c>
      <c r="P199" s="22">
        <f t="shared" ref="P199:P226" si="11">N199+O199</f>
        <v>93965</v>
      </c>
      <c r="Q199" s="21">
        <f>(Data[[#This Row],[Total_fat_g]]/Data[[#This Row],[Total_mass_g]])*100</f>
        <v>30.862555206725911</v>
      </c>
      <c r="R199" s="21">
        <f>(Data[[#This Row],[Lean_mass_g]]/Data[[#This Row],[Total_mass_g]])*100</f>
        <v>69.137444793274099</v>
      </c>
      <c r="S199" s="21"/>
      <c r="T199" s="21">
        <v>8.9700000000000006</v>
      </c>
      <c r="U199" s="21">
        <f>[105]Glucose!$C6</f>
        <v>5.6989999999999998</v>
      </c>
      <c r="V199" s="21">
        <f>[105]Insulin!$I9</f>
        <v>14.0745</v>
      </c>
      <c r="W199" s="21">
        <f>(Data[[#This Row],[Glucose (umol/L)]]*Data[[#This Row],[Insulin (umol/L)]])/22.5</f>
        <v>3.564914466666667</v>
      </c>
      <c r="X199" s="21">
        <f>[105]NEFA!$C5</f>
        <v>685.2</v>
      </c>
      <c r="Y199" s="21">
        <f>[105]TAG!$I6</f>
        <v>947.2</v>
      </c>
      <c r="Z199" s="21">
        <f>'[105]Ranbut 3-OHB'!$C5</f>
        <v>205.7</v>
      </c>
      <c r="AA199" s="21">
        <f>'[105]Apo B, HDL, Cholesterol, ALT'!$C$6</f>
        <v>4.4400000000000004</v>
      </c>
      <c r="AB199" s="21">
        <f>'[105]Apo B, HDL, Cholesterol, ALT'!$J$6</f>
        <v>1.04</v>
      </c>
      <c r="AC199" s="21">
        <f>Data[[#This Row],[total_chol (umol/L)]]-Data[[#This Row],[HDL_chol (umol/L)]]</f>
        <v>3.4000000000000004</v>
      </c>
      <c r="AD199" s="21">
        <f>Data[[#This Row],[Non_HDL (umol/L)]]-(Data[[#This Row],[TAG (umol/L)]]/2200)</f>
        <v>2.9694545454545458</v>
      </c>
      <c r="AE199" s="21">
        <f>[102]Lipoproteins!D$3</f>
        <v>582.17155500000001</v>
      </c>
      <c r="AF199" s="54">
        <v>3.5867949961020636E-3</v>
      </c>
      <c r="AG199" s="21">
        <f>'[103]VLDL__DNL data DAPA'!D$20</f>
        <v>1.7104428361308988</v>
      </c>
      <c r="AH199" s="23">
        <f>(Data[[#This Row],[DNL (%)]]/100)*Data[[#This Row],[VLDL (umol/L)]]</f>
        <v>9.9577116564893551</v>
      </c>
      <c r="AI199" s="21">
        <f>[4]SAMPLES!$L$210</f>
        <v>33.273696214541019</v>
      </c>
      <c r="AJ199" s="61">
        <f>(Data[[#This Row],[Gluconeogensis (%)]]/100)*Data[[#This Row],[Glucose (umol/L)]]</f>
        <v>1.8962679472666928</v>
      </c>
      <c r="AK199" s="19"/>
    </row>
    <row r="200" spans="1:37" s="11" customFormat="1" x14ac:dyDescent="0.25">
      <c r="A200" s="19">
        <v>215</v>
      </c>
      <c r="B200" s="19" t="s">
        <v>260</v>
      </c>
      <c r="C200" s="19" t="s">
        <v>250</v>
      </c>
      <c r="D200" s="19">
        <v>1</v>
      </c>
      <c r="E200" s="19" t="s">
        <v>318</v>
      </c>
      <c r="F200" s="19" t="s">
        <v>228</v>
      </c>
      <c r="G200" s="19">
        <f>'[82]Dipagloflozin Arm'!$O$7</f>
        <v>50</v>
      </c>
      <c r="H200" s="19">
        <v>180.5</v>
      </c>
      <c r="I200" s="19">
        <f>'[82]Dipagloflozin Arm'!$O$5</f>
        <v>120.3</v>
      </c>
      <c r="J200" s="20">
        <f t="shared" si="10"/>
        <v>36.924210219381372</v>
      </c>
      <c r="K200" s="19"/>
      <c r="L200" s="19"/>
      <c r="M200" s="21"/>
      <c r="N200" s="22">
        <v>33900</v>
      </c>
      <c r="O200" s="22">
        <v>79518.3</v>
      </c>
      <c r="P200" s="22">
        <f t="shared" si="11"/>
        <v>113418.3</v>
      </c>
      <c r="Q200" s="21">
        <f>(Data[[#This Row],[Total_fat_g]]/Data[[#This Row],[Total_mass_g]])*100</f>
        <v>29.889356479509921</v>
      </c>
      <c r="R200" s="21">
        <f>(Data[[#This Row],[Lean_mass_g]]/Data[[#This Row],[Total_mass_g]])*100</f>
        <v>70.110643520490072</v>
      </c>
      <c r="S200" s="21"/>
      <c r="T200" s="21">
        <v>9.19</v>
      </c>
      <c r="U200" s="21">
        <f>[106]Glucose!$C6</f>
        <v>5.734</v>
      </c>
      <c r="V200" s="21">
        <f>[106]Insulin!$I9</f>
        <v>33.664999999999999</v>
      </c>
      <c r="W200" s="21">
        <f>(Data[[#This Row],[Glucose (umol/L)]]*Data[[#This Row],[Insulin (umol/L)]])/22.5</f>
        <v>8.5793382222222228</v>
      </c>
      <c r="X200" s="21">
        <f>[106]NEFA!$C5</f>
        <v>429.8</v>
      </c>
      <c r="Y200" s="21">
        <f>[106]TAG!$I6</f>
        <v>928</v>
      </c>
      <c r="Z200" s="21">
        <f>'[106]Ranbut 3-OHB'!$F5</f>
        <v>50</v>
      </c>
      <c r="AA200" s="21">
        <f>'[106]Apo B, HDL, Cholesterol, ALT'!$C$6</f>
        <v>4.59</v>
      </c>
      <c r="AB200" s="21">
        <f>'[106]Apo B, HDL, Cholesterol, ALT'!$J$6</f>
        <v>0.77</v>
      </c>
      <c r="AC200" s="21">
        <f>Data[[#This Row],[total_chol (umol/L)]]-Data[[#This Row],[HDL_chol (umol/L)]]</f>
        <v>3.82</v>
      </c>
      <c r="AD200" s="21">
        <f>Data[[#This Row],[Non_HDL (umol/L)]]-(Data[[#This Row],[TAG (umol/L)]]/2200)</f>
        <v>3.398181818181818</v>
      </c>
      <c r="AE200" s="21">
        <f>[102]Lipoproteins!E$3</f>
        <v>101.67093</v>
      </c>
      <c r="AF200" s="54">
        <v>3.7886111547635036E-3</v>
      </c>
      <c r="AG200" s="21">
        <f>'[103]VLDL__DNL data DAPA'!E$20</f>
        <v>8.8956818554210138</v>
      </c>
      <c r="AH200" s="23">
        <f>(Data[[#This Row],[DNL (%)]]/100)*Data[[#This Row],[VLDL (umol/L)]]</f>
        <v>9.0443224722478011</v>
      </c>
      <c r="AI200" s="21">
        <f>[4]SAMPLES!$L$211</f>
        <v>11.066271533623913</v>
      </c>
      <c r="AJ200" s="61">
        <f>(Data[[#This Row],[Gluconeogensis (%)]]/100)*Data[[#This Row],[Glucose (umol/L)]]</f>
        <v>0.63454000973799518</v>
      </c>
      <c r="AK200" s="19"/>
    </row>
    <row r="201" spans="1:37" s="11" customFormat="1" x14ac:dyDescent="0.25">
      <c r="A201" s="19">
        <v>216</v>
      </c>
      <c r="B201" s="19" t="s">
        <v>261</v>
      </c>
      <c r="C201" s="19" t="s">
        <v>250</v>
      </c>
      <c r="D201" s="19">
        <v>1</v>
      </c>
      <c r="E201" s="19" t="s">
        <v>318</v>
      </c>
      <c r="F201" s="19" t="s">
        <v>227</v>
      </c>
      <c r="G201" s="19">
        <f>'[82]Dipagloflozin Arm'!$S$7</f>
        <v>51</v>
      </c>
      <c r="H201" s="19">
        <v>160</v>
      </c>
      <c r="I201" s="19">
        <f>'[82]Dipagloflozin Arm'!$S$5</f>
        <v>92.3</v>
      </c>
      <c r="J201" s="20">
        <f t="shared" si="10"/>
        <v>36.054687499999993</v>
      </c>
      <c r="K201" s="19"/>
      <c r="L201" s="19"/>
      <c r="M201" s="21"/>
      <c r="N201" s="22">
        <v>49200</v>
      </c>
      <c r="O201" s="22">
        <v>46888.399999999994</v>
      </c>
      <c r="P201" s="22">
        <f t="shared" si="11"/>
        <v>96088.4</v>
      </c>
      <c r="Q201" s="21">
        <f>(Data[[#This Row],[Total_fat_g]]/Data[[#This Row],[Total_mass_g]])*100</f>
        <v>51.202850708306102</v>
      </c>
      <c r="R201" s="21">
        <f>(Data[[#This Row],[Lean_mass_g]]/Data[[#This Row],[Total_mass_g]])*100</f>
        <v>48.797149291693898</v>
      </c>
      <c r="S201" s="21"/>
      <c r="T201" s="21">
        <v>13.54</v>
      </c>
      <c r="U201" s="21">
        <f>[107]Glucose!$C6</f>
        <v>5.5990000000000002</v>
      </c>
      <c r="V201" s="21">
        <f>[107]Insulin!$I9</f>
        <v>28.106999999999999</v>
      </c>
      <c r="W201" s="21">
        <f>(Data[[#This Row],[Glucose (umol/L)]]*Data[[#This Row],[Insulin (umol/L)]])/22.5</f>
        <v>6.9942707999999998</v>
      </c>
      <c r="X201" s="21">
        <f>[107]NEFA!$C5</f>
        <v>1251.7</v>
      </c>
      <c r="Y201" s="21">
        <f>[107]TAG!$I6</f>
        <v>1530.2</v>
      </c>
      <c r="Z201" s="21">
        <f>'[107]Ranbut 3-OHB'!$C5</f>
        <v>228.1</v>
      </c>
      <c r="AA201" s="21">
        <f>'[107]Apo B, HDL, Cholesterol, ALT'!$C$6</f>
        <v>4.9000000000000004</v>
      </c>
      <c r="AB201" s="21">
        <f>'[107]Apo B, HDL, Cholesterol, ALT'!$J$6</f>
        <v>1.34</v>
      </c>
      <c r="AC201" s="21">
        <f>Data[[#This Row],[total_chol (umol/L)]]-Data[[#This Row],[HDL_chol (umol/L)]]</f>
        <v>3.5600000000000005</v>
      </c>
      <c r="AD201" s="21">
        <f>Data[[#This Row],[Non_HDL (umol/L)]]-(Data[[#This Row],[TAG (umol/L)]]/2200)</f>
        <v>2.8644545454545458</v>
      </c>
      <c r="AE201" s="21">
        <f>[102]Lipoproteins!F$3</f>
        <v>908.15243999999996</v>
      </c>
      <c r="AF201" s="54">
        <v>5.6475256053878375E-3</v>
      </c>
      <c r="AG201" s="21">
        <f>'[103]VLDL__DNL data DAPA'!F$20</f>
        <v>7.521878102827122</v>
      </c>
      <c r="AH201" s="23">
        <f>(Data[[#This Row],[DNL (%)]]/100)*Data[[#This Row],[VLDL (umol/L)]]</f>
        <v>68.310119524650204</v>
      </c>
      <c r="AI201" s="21">
        <f>[4]SAMPLES!$L$212</f>
        <v>28.47231614593111</v>
      </c>
      <c r="AJ201" s="61">
        <f>(Data[[#This Row],[Gluconeogensis (%)]]/100)*Data[[#This Row],[Glucose (umol/L)]]</f>
        <v>1.5941649810106828</v>
      </c>
      <c r="AK201" s="19"/>
    </row>
    <row r="202" spans="1:37" s="11" customFormat="1" x14ac:dyDescent="0.25">
      <c r="A202" s="19">
        <v>217</v>
      </c>
      <c r="B202" s="19" t="s">
        <v>262</v>
      </c>
      <c r="C202" s="19" t="s">
        <v>250</v>
      </c>
      <c r="D202" s="19">
        <v>1</v>
      </c>
      <c r="E202" s="19" t="s">
        <v>318</v>
      </c>
      <c r="F202" s="19" t="s">
        <v>227</v>
      </c>
      <c r="G202" s="19">
        <f>'[82]Dipagloflozin Arm'!$W$7</f>
        <v>51</v>
      </c>
      <c r="H202" s="19">
        <v>162</v>
      </c>
      <c r="I202" s="19">
        <f>'[82]Dipagloflozin Arm'!$W$5</f>
        <v>77.3</v>
      </c>
      <c r="J202" s="20">
        <f t="shared" si="10"/>
        <v>29.454351470812369</v>
      </c>
      <c r="K202" s="19"/>
      <c r="L202" s="19"/>
      <c r="M202" s="21"/>
      <c r="N202" s="22">
        <v>35500</v>
      </c>
      <c r="O202" s="22">
        <v>49858.5</v>
      </c>
      <c r="P202" s="22">
        <f t="shared" si="11"/>
        <v>85358.5</v>
      </c>
      <c r="Q202" s="21">
        <f>(Data[[#This Row],[Total_fat_g]]/Data[[#This Row],[Total_mass_g]])*100</f>
        <v>41.589296906576379</v>
      </c>
      <c r="R202" s="21">
        <f>(Data[[#This Row],[Lean_mass_g]]/Data[[#This Row],[Total_mass_g]])*100</f>
        <v>58.410703093423621</v>
      </c>
      <c r="S202" s="21"/>
      <c r="T202" s="21">
        <v>34.07</v>
      </c>
      <c r="U202" s="21">
        <f>[108]Glucose!$C6</f>
        <v>6.5270000000000001</v>
      </c>
      <c r="V202" s="21">
        <f>[108]Insulin!$I9</f>
        <v>28.107500000000002</v>
      </c>
      <c r="W202" s="21">
        <f>(Data[[#This Row],[Glucose (umol/L)]]*Data[[#This Row],[Insulin (umol/L)]])/22.5</f>
        <v>8.1536734444444452</v>
      </c>
      <c r="X202" s="21">
        <f>[108]NEFA!$C5</f>
        <v>688.5</v>
      </c>
      <c r="Y202" s="21">
        <f>[108]TAG!$I6</f>
        <v>1040.3</v>
      </c>
      <c r="Z202" s="21">
        <f>'[108]Ranbut 3-OHB'!$C5</f>
        <v>80.3</v>
      </c>
      <c r="AA202" s="21">
        <f>'[108]Apo B, HDL, Cholesterol, ALT'!$C$6</f>
        <v>4.05</v>
      </c>
      <c r="AB202" s="21">
        <f>'[108]Apo B, HDL, Cholesterol, ALT'!$J$6</f>
        <v>1.18</v>
      </c>
      <c r="AC202" s="21">
        <f>Data[[#This Row],[total_chol (umol/L)]]-Data[[#This Row],[HDL_chol (umol/L)]]</f>
        <v>2.87</v>
      </c>
      <c r="AD202" s="21">
        <f>Data[[#This Row],[Non_HDL (umol/L)]]-(Data[[#This Row],[TAG (umol/L)]]/2200)</f>
        <v>2.3971363636363638</v>
      </c>
      <c r="AE202" s="21">
        <f>[102]Lipoproteins!G$3</f>
        <v>101.53542749999998</v>
      </c>
      <c r="AF202" s="54">
        <v>4.7658844711661657E-3</v>
      </c>
      <c r="AG202" s="21">
        <f>'[103]VLDL__DNL data DAPA'!G$20</f>
        <v>1.1761410726545745</v>
      </c>
      <c r="AH202" s="23">
        <f>(Data[[#This Row],[DNL (%)]]/100)*Data[[#This Row],[VLDL (umol/L)]]</f>
        <v>1.1941998661229076</v>
      </c>
      <c r="AI202" s="21">
        <f>[4]SAMPLES!$L$213</f>
        <v>30.559298323277932</v>
      </c>
      <c r="AJ202" s="61">
        <f>(Data[[#This Row],[Gluconeogensis (%)]]/100)*Data[[#This Row],[Glucose (umol/L)]]</f>
        <v>1.9946054015603507</v>
      </c>
      <c r="AK202" s="19"/>
    </row>
    <row r="203" spans="1:37" s="11" customFormat="1" x14ac:dyDescent="0.25">
      <c r="A203" s="19">
        <v>218</v>
      </c>
      <c r="B203" s="19" t="s">
        <v>263</v>
      </c>
      <c r="C203" s="19" t="s">
        <v>250</v>
      </c>
      <c r="D203" s="19">
        <v>1</v>
      </c>
      <c r="E203" s="19" t="s">
        <v>318</v>
      </c>
      <c r="F203" s="19" t="s">
        <v>228</v>
      </c>
      <c r="G203" s="19">
        <f>'[82]Dipagloflozin Arm'!$AA$7</f>
        <v>54</v>
      </c>
      <c r="H203" s="19">
        <v>172.5</v>
      </c>
      <c r="I203" s="19">
        <f>'[82]Dipagloflozin Arm'!$AA$5</f>
        <v>93.1</v>
      </c>
      <c r="J203" s="20">
        <f t="shared" si="10"/>
        <v>31.287544633480355</v>
      </c>
      <c r="K203" s="19"/>
      <c r="L203" s="19"/>
      <c r="M203" s="21"/>
      <c r="N203" s="22">
        <v>42900</v>
      </c>
      <c r="O203" s="22">
        <v>53160.1</v>
      </c>
      <c r="P203" s="22">
        <f t="shared" si="11"/>
        <v>96060.1</v>
      </c>
      <c r="Q203" s="21">
        <f>(Data[[#This Row],[Total_fat_g]]/Data[[#This Row],[Total_mass_g]])*100</f>
        <v>44.659541266353045</v>
      </c>
      <c r="R203" s="21">
        <f>(Data[[#This Row],[Lean_mass_g]]/Data[[#This Row],[Total_mass_g]])*100</f>
        <v>55.340458733646948</v>
      </c>
      <c r="S203" s="21"/>
      <c r="T203" s="21">
        <v>16.11</v>
      </c>
      <c r="U203" s="21">
        <f>[109]Glucose!$C6</f>
        <v>5.577</v>
      </c>
      <c r="V203" s="21">
        <f>[109]Insulin!$I9</f>
        <v>23.411999999999999</v>
      </c>
      <c r="W203" s="21">
        <f>(Data[[#This Row],[Glucose (umol/L)]]*Data[[#This Row],[Insulin (umol/L)]])/22.5</f>
        <v>5.8030543999999997</v>
      </c>
      <c r="X203" s="21">
        <f>[109]NEFA!$F5</f>
        <v>571.5</v>
      </c>
      <c r="Y203" s="21">
        <f>[109]TAG!$I6</f>
        <v>1866.2</v>
      </c>
      <c r="Z203" s="21">
        <f>'[109]Ranbut 3-OHB'!$C5</f>
        <v>29.5</v>
      </c>
      <c r="AA203" s="21">
        <f>'[109]Apo B, HDL, Cholesterol, ALT'!$C$6</f>
        <v>5.21</v>
      </c>
      <c r="AB203" s="21">
        <f>'[109]Apo B, HDL, Cholesterol, ALT'!$J$6</f>
        <v>1.42</v>
      </c>
      <c r="AC203" s="21">
        <f>Data[[#This Row],[total_chol (umol/L)]]-Data[[#This Row],[HDL_chol (umol/L)]]</f>
        <v>3.79</v>
      </c>
      <c r="AD203" s="21">
        <f>Data[[#This Row],[Non_HDL (umol/L)]]-(Data[[#This Row],[TAG (umol/L)]]/2200)</f>
        <v>2.941727272727273</v>
      </c>
      <c r="AE203" s="21">
        <f>[102]Lipoproteins!H$3</f>
        <v>1225.7629837500003</v>
      </c>
      <c r="AF203" s="54">
        <v>4.8981742350269119E-3</v>
      </c>
      <c r="AG203" s="21">
        <f>'[103]VLDL__DNL data DAPA'!H$20</f>
        <v>8.6541355652603063</v>
      </c>
      <c r="AH203" s="23">
        <f>(Data[[#This Row],[DNL (%)]]/100)*Data[[#This Row],[VLDL (umol/L)]]</f>
        <v>106.0791903225047</v>
      </c>
      <c r="AI203" s="21">
        <f>[4]SAMPLES!$L$214</f>
        <v>14.121463743751816</v>
      </c>
      <c r="AJ203" s="61">
        <f>(Data[[#This Row],[Gluconeogensis (%)]]/100)*Data[[#This Row],[Glucose (umol/L)]]</f>
        <v>0.78755403298903881</v>
      </c>
      <c r="AK203" s="19"/>
    </row>
    <row r="204" spans="1:37" s="11" customFormat="1" x14ac:dyDescent="0.25">
      <c r="A204" s="19">
        <v>219</v>
      </c>
      <c r="B204" s="19" t="s">
        <v>264</v>
      </c>
      <c r="C204" s="19" t="s">
        <v>250</v>
      </c>
      <c r="D204" s="19">
        <v>1</v>
      </c>
      <c r="E204" s="19" t="s">
        <v>318</v>
      </c>
      <c r="F204" s="19" t="s">
        <v>227</v>
      </c>
      <c r="G204" s="19">
        <f>'[82]Dipagloflozin Arm'!$AE$7</f>
        <v>50</v>
      </c>
      <c r="H204" s="19">
        <v>175</v>
      </c>
      <c r="I204" s="19">
        <f>'[82]Dipagloflozin Arm'!$AE$5</f>
        <v>87.1</v>
      </c>
      <c r="J204" s="20">
        <f t="shared" si="10"/>
        <v>28.440816326530609</v>
      </c>
      <c r="K204" s="19"/>
      <c r="L204" s="19"/>
      <c r="M204" s="21"/>
      <c r="N204" s="22">
        <v>22200</v>
      </c>
      <c r="O204" s="22">
        <v>67763.8</v>
      </c>
      <c r="P204" s="22">
        <f t="shared" si="11"/>
        <v>89963.8</v>
      </c>
      <c r="Q204" s="21">
        <f>(Data[[#This Row],[Total_fat_g]]/Data[[#This Row],[Total_mass_g]])*100</f>
        <v>24.676592140394245</v>
      </c>
      <c r="R204" s="21">
        <f>(Data[[#This Row],[Lean_mass_g]]/Data[[#This Row],[Total_mass_g]])*100</f>
        <v>75.323407859605751</v>
      </c>
      <c r="S204" s="21"/>
      <c r="T204" s="21">
        <v>9.42</v>
      </c>
      <c r="U204" s="21">
        <f>[110]Glucose!$C6</f>
        <v>5.2759999999999998</v>
      </c>
      <c r="V204" s="21">
        <f>[110]Insulin!$I9</f>
        <v>13.631499999999999</v>
      </c>
      <c r="W204" s="21">
        <f>(Data[[#This Row],[Glucose (umol/L)]]*Data[[#This Row],[Insulin (umol/L)]])/22.5</f>
        <v>3.1964352888888885</v>
      </c>
      <c r="X204" s="21">
        <f>[110]NEFA!$F5</f>
        <v>584.1</v>
      </c>
      <c r="Y204" s="21">
        <f>[110]TAG!$I6</f>
        <v>956.19999999999993</v>
      </c>
      <c r="Z204" s="21">
        <f>'[110]Ranbut 3-OHB'!$F5</f>
        <v>164.1</v>
      </c>
      <c r="AA204" s="21">
        <f>'[110]Apo B, HDL, Cholesterol, ALT'!$C$6</f>
        <v>4.66</v>
      </c>
      <c r="AB204" s="21">
        <f>'[110]Apo B, HDL, Cholesterol, ALT'!$J$6</f>
        <v>1.57</v>
      </c>
      <c r="AC204" s="21">
        <f>Data[[#This Row],[total_chol (umol/L)]]-Data[[#This Row],[HDL_chol (umol/L)]]</f>
        <v>3.09</v>
      </c>
      <c r="AD204" s="21">
        <f>Data[[#This Row],[Non_HDL (umol/L)]]-(Data[[#This Row],[TAG (umol/L)]]/2200)</f>
        <v>2.6553636363636364</v>
      </c>
      <c r="AE204" s="21">
        <f>[102]Lipoproteins!I$3</f>
        <v>378.86593500000004</v>
      </c>
      <c r="AF204" s="54">
        <v>3.5905898792266346E-3</v>
      </c>
      <c r="AG204" s="21">
        <f>'[103]VLDL__DNL data DAPA'!I$20</f>
        <v>3.0072864798562389</v>
      </c>
      <c r="AH204" s="23">
        <f>(Data[[#This Row],[DNL (%)]]/100)*Data[[#This Row],[VLDL (umol/L)]]</f>
        <v>11.393584040035927</v>
      </c>
      <c r="AI204" s="21">
        <f>[4]SAMPLES!$L$215</f>
        <v>27.81419311193924</v>
      </c>
      <c r="AJ204" s="61">
        <f>(Data[[#This Row],[Gluconeogensis (%)]]/100)*Data[[#This Row],[Glucose (umol/L)]]</f>
        <v>1.4674768285859141</v>
      </c>
      <c r="AK204" s="19"/>
    </row>
    <row r="205" spans="1:37" s="11" customFormat="1" x14ac:dyDescent="0.25">
      <c r="A205" s="19">
        <v>220</v>
      </c>
      <c r="B205" s="19" t="s">
        <v>265</v>
      </c>
      <c r="C205" s="19" t="s">
        <v>250</v>
      </c>
      <c r="D205" s="19">
        <v>1</v>
      </c>
      <c r="E205" s="19" t="s">
        <v>318</v>
      </c>
      <c r="F205" s="19" t="s">
        <v>227</v>
      </c>
      <c r="G205" s="19">
        <f>'[82]Dipagloflozin Arm'!$AI$7</f>
        <v>49</v>
      </c>
      <c r="H205" s="19">
        <v>165.5</v>
      </c>
      <c r="I205" s="19">
        <f>'[82]Dipagloflozin Arm'!$AI$5</f>
        <v>97.5</v>
      </c>
      <c r="J205" s="20">
        <f t="shared" si="10"/>
        <v>35.596608282144189</v>
      </c>
      <c r="K205" s="19"/>
      <c r="L205" s="19"/>
      <c r="M205" s="21"/>
      <c r="N205" s="22">
        <v>43700</v>
      </c>
      <c r="O205" s="22">
        <v>54892.5</v>
      </c>
      <c r="P205" s="22">
        <f t="shared" si="11"/>
        <v>98592.5</v>
      </c>
      <c r="Q205" s="21">
        <f>(Data[[#This Row],[Total_fat_g]]/Data[[#This Row],[Total_mass_g]])*100</f>
        <v>44.323858305652053</v>
      </c>
      <c r="R205" s="21">
        <f>(Data[[#This Row],[Lean_mass_g]]/Data[[#This Row],[Total_mass_g]])*100</f>
        <v>55.676141694347947</v>
      </c>
      <c r="S205" s="21"/>
      <c r="T205" s="21">
        <v>16.25</v>
      </c>
      <c r="U205" s="21">
        <f>[111]Glucose!$C6</f>
        <v>6.343</v>
      </c>
      <c r="V205" s="21">
        <f>[111]Insulin!$I9</f>
        <v>34.166499999999999</v>
      </c>
      <c r="W205" s="21">
        <f>(Data[[#This Row],[Glucose (umol/L)]]*Data[[#This Row],[Insulin (umol/L)]])/22.5</f>
        <v>9.6319159777777781</v>
      </c>
      <c r="X205" s="21">
        <f>[111]NEFA!$F5</f>
        <v>590.20000000000005</v>
      </c>
      <c r="Y205" s="21">
        <f>[111]TAG!$I6</f>
        <v>1334.1000000000001</v>
      </c>
      <c r="Z205" s="21">
        <f>'[111]Ranbut 3-OHB'!$F5</f>
        <v>81.5</v>
      </c>
      <c r="AA205" s="21">
        <f>'[111]Apo B, HDL, Cholesterol, ALT'!$C$6</f>
        <v>6.39</v>
      </c>
      <c r="AB205" s="21">
        <f>'[111]Apo B, HDL, Cholesterol, ALT'!$J$6</f>
        <v>1.59</v>
      </c>
      <c r="AC205" s="21">
        <f>Data[[#This Row],[total_chol (umol/L)]]-Data[[#This Row],[HDL_chol (umol/L)]]</f>
        <v>4.8</v>
      </c>
      <c r="AD205" s="21">
        <f>Data[[#This Row],[Non_HDL (umol/L)]]-(Data[[#This Row],[TAG (umol/L)]]/2200)</f>
        <v>4.1935909090909087</v>
      </c>
      <c r="AE205" s="21">
        <f>[102]Lipoproteins!J$3</f>
        <v>449.95668000000006</v>
      </c>
      <c r="AF205" s="54">
        <v>5.1391547476350944E-3</v>
      </c>
      <c r="AG205" s="21">
        <f>'[103]VLDL__DNL data DAPA'!J$20</f>
        <v>2.6268428606502776</v>
      </c>
      <c r="AH205" s="23">
        <f>(Data[[#This Row],[DNL (%)]]/100)*Data[[#This Row],[VLDL (umol/L)]]</f>
        <v>11.819654924599016</v>
      </c>
      <c r="AI205" s="21">
        <f>[4]SAMPLES!$L$216</f>
        <v>17.605710601332795</v>
      </c>
      <c r="AJ205" s="61">
        <f>(Data[[#This Row],[Gluconeogensis (%)]]/100)*Data[[#This Row],[Glucose (umol/L)]]</f>
        <v>1.1167302234425391</v>
      </c>
      <c r="AK205" s="19"/>
    </row>
    <row r="206" spans="1:37" s="11" customFormat="1" x14ac:dyDescent="0.25">
      <c r="A206" s="19">
        <v>221</v>
      </c>
      <c r="B206" s="19" t="s">
        <v>266</v>
      </c>
      <c r="C206" s="19" t="s">
        <v>250</v>
      </c>
      <c r="D206" s="19">
        <v>1</v>
      </c>
      <c r="E206" s="19" t="s">
        <v>318</v>
      </c>
      <c r="F206" s="19" t="s">
        <v>227</v>
      </c>
      <c r="G206" s="19">
        <f>'[82]Metformin Arm '!$AQ$7</f>
        <v>46</v>
      </c>
      <c r="H206" s="19">
        <v>159.50000000000003</v>
      </c>
      <c r="I206" s="19">
        <f>'[82]Dipagloflozin Arm'!$AM$5</f>
        <v>94.95</v>
      </c>
      <c r="J206" s="20">
        <f t="shared" si="10"/>
        <v>37.322746435274809</v>
      </c>
      <c r="K206" s="19"/>
      <c r="L206" s="19"/>
      <c r="M206" s="21"/>
      <c r="N206" s="22">
        <v>42100</v>
      </c>
      <c r="O206" s="22">
        <v>54976.05</v>
      </c>
      <c r="P206" s="22">
        <f t="shared" si="11"/>
        <v>97076.05</v>
      </c>
      <c r="Q206" s="21">
        <f>(Data[[#This Row],[Total_fat_g]]/Data[[#This Row],[Total_mass_g]])*100</f>
        <v>43.368060402128023</v>
      </c>
      <c r="R206" s="21">
        <f>(Data[[#This Row],[Lean_mass_g]]/Data[[#This Row],[Total_mass_g]])*100</f>
        <v>56.631939597871984</v>
      </c>
      <c r="S206" s="21"/>
      <c r="T206" s="21">
        <v>15.73</v>
      </c>
      <c r="U206" s="21">
        <f>[112]Glucose!$F6</f>
        <v>6.4080000000000004</v>
      </c>
      <c r="V206" s="21">
        <f>[112]Insulin!$I9</f>
        <v>32.417499999999997</v>
      </c>
      <c r="W206" s="21">
        <f>(Data[[#This Row],[Glucose (umol/L)]]*Data[[#This Row],[Insulin (umol/L)]])/22.5</f>
        <v>9.2325039999999987</v>
      </c>
      <c r="X206" s="21">
        <f>[112]NEFA!$F5</f>
        <v>581.70000000000005</v>
      </c>
      <c r="Y206" s="21">
        <f>[112]TAG!$I6</f>
        <v>1333.7</v>
      </c>
      <c r="Z206" s="21">
        <f>'[112]Ranbut 3-OHB'!$F5</f>
        <v>40.6</v>
      </c>
      <c r="AA206" s="21">
        <f>'[112]Apo B, HDL, Cholesterol, ALT'!$C$6</f>
        <v>5.01</v>
      </c>
      <c r="AB206" s="21">
        <f>'[112]Apo B, HDL, Cholesterol, ALT'!$J$6</f>
        <v>0.7</v>
      </c>
      <c r="AC206" s="21">
        <f>Data[[#This Row],[total_chol (umol/L)]]-Data[[#This Row],[HDL_chol (umol/L)]]</f>
        <v>4.3099999999999996</v>
      </c>
      <c r="AD206" s="21">
        <f>Data[[#This Row],[Non_HDL (umol/L)]]-(Data[[#This Row],[TAG (umol/L)]]/2200)</f>
        <v>3.7037727272727268</v>
      </c>
      <c r="AE206" s="21">
        <f>[102]Lipoproteins!K$3</f>
        <v>932.10830999999996</v>
      </c>
      <c r="AF206" s="54">
        <v>4.3508899635868008E-3</v>
      </c>
      <c r="AG206" s="21">
        <f>'[103]VLDL__DNL data DAPA'!K$20</f>
        <v>5.8311732847532793</v>
      </c>
      <c r="AH206" s="23">
        <f>(Data[[#This Row],[DNL (%)]]/100)*Data[[#This Row],[VLDL (umol/L)]]</f>
        <v>54.352850757685275</v>
      </c>
      <c r="AI206" s="21">
        <f>[4]SAMPLES!$L$217</f>
        <v>20.928371359511125</v>
      </c>
      <c r="AJ206" s="61">
        <f>(Data[[#This Row],[Gluconeogensis (%)]]/100)*Data[[#This Row],[Glucose (umol/L)]]</f>
        <v>1.341090036717473</v>
      </c>
      <c r="AK206" s="19"/>
    </row>
    <row r="207" spans="1:37" s="11" customFormat="1" x14ac:dyDescent="0.25">
      <c r="A207" s="19">
        <v>222</v>
      </c>
      <c r="B207" s="19" t="s">
        <v>267</v>
      </c>
      <c r="C207" s="19" t="s">
        <v>250</v>
      </c>
      <c r="D207" s="19">
        <v>2</v>
      </c>
      <c r="E207" s="19" t="s">
        <v>228</v>
      </c>
      <c r="F207" s="19" t="s">
        <v>227</v>
      </c>
      <c r="G207" s="19">
        <f>'[82]Metformin Arm '!$C$7</f>
        <v>55</v>
      </c>
      <c r="H207" s="19">
        <v>164.5</v>
      </c>
      <c r="I207" s="19">
        <f>'[82]Metformin Arm '!$F$5</f>
        <v>93.5</v>
      </c>
      <c r="J207" s="20">
        <f t="shared" si="10"/>
        <v>34.552526307037077</v>
      </c>
      <c r="K207" s="19"/>
      <c r="L207" s="19"/>
      <c r="M207" s="21"/>
      <c r="N207" s="22">
        <v>45347.500000000007</v>
      </c>
      <c r="O207" s="22">
        <v>48152.5</v>
      </c>
      <c r="P207" s="22">
        <f t="shared" si="11"/>
        <v>93500</v>
      </c>
      <c r="Q207" s="21">
        <f>(Data[[#This Row],[Total_fat_g]]/Data[[#This Row],[Total_mass_g]])*100</f>
        <v>48.500000000000007</v>
      </c>
      <c r="R207" s="21">
        <f>(Data[[#This Row],[Lean_mass_g]]/Data[[#This Row],[Total_mass_g]])*100</f>
        <v>51.5</v>
      </c>
      <c r="S207" s="21"/>
      <c r="T207" s="21">
        <v>10.16</v>
      </c>
      <c r="U207" s="21">
        <f>[83]Glucose!$B$26</f>
        <v>4.9619999999999997</v>
      </c>
      <c r="V207" s="21">
        <f>[84]Insulin!$I41</f>
        <v>23.206</v>
      </c>
      <c r="W207" s="21">
        <f>(Data[[#This Row],[Glucose (umol/L)]]*Data[[#This Row],[Insulin (umol/L)]])/22.5</f>
        <v>5.1176965333333326</v>
      </c>
      <c r="X207" s="21">
        <f>[84]NEFA!$F$24</f>
        <v>533.79999999999995</v>
      </c>
      <c r="Y207" s="21">
        <f>[84]TAG!$I$25</f>
        <v>556.90000000000009</v>
      </c>
      <c r="Z207" s="21">
        <f>'[84]Ranbut 3-OHB'!$F$24</f>
        <v>40.4</v>
      </c>
      <c r="AA207" s="21">
        <f>'[84]Apo B, HDL, Cholesterol, ALT'!$C$12</f>
        <v>4.97</v>
      </c>
      <c r="AB207" s="21">
        <f>'[84]Apo B, HDL, Cholesterol, ALT'!$J$12</f>
        <v>2.02</v>
      </c>
      <c r="AC207" s="21">
        <f>Data[[#This Row],[total_chol (umol/L)]]-Data[[#This Row],[HDL_chol (umol/L)]]</f>
        <v>2.9499999999999997</v>
      </c>
      <c r="AD207" s="21">
        <f>Data[[#This Row],[Non_HDL (umol/L)]]-(Data[[#This Row],[TAG (umol/L)]]/2200)</f>
        <v>2.696863636363636</v>
      </c>
      <c r="AE207" s="21">
        <f>'[113]calculations and TAG concs'!$H$4</f>
        <v>192.74482499999999</v>
      </c>
      <c r="AF207" s="54">
        <v>3.7263461272751823E-3</v>
      </c>
      <c r="AG207" s="21">
        <f>[86]dnl!$B$5</f>
        <v>26.588496680001906</v>
      </c>
      <c r="AH207" s="23">
        <f>(Data[[#This Row],[DNL (%)]]/100)*Data[[#This Row],[VLDL (umol/L)]]</f>
        <v>51.247951396000481</v>
      </c>
      <c r="AI207" s="21">
        <f>[4]SAMPLES!$L$218</f>
        <v>22.214098379672869</v>
      </c>
      <c r="AJ207" s="61">
        <f>(Data[[#This Row],[Gluconeogensis (%)]]/100)*Data[[#This Row],[Glucose (umol/L)]]</f>
        <v>1.1022635615993677</v>
      </c>
      <c r="AK207" s="19"/>
    </row>
    <row r="208" spans="1:37" s="11" customFormat="1" x14ac:dyDescent="0.25">
      <c r="A208" s="19">
        <v>223</v>
      </c>
      <c r="B208" s="19" t="s">
        <v>268</v>
      </c>
      <c r="C208" s="19" t="s">
        <v>250</v>
      </c>
      <c r="D208" s="19">
        <v>2</v>
      </c>
      <c r="E208" s="19" t="s">
        <v>228</v>
      </c>
      <c r="F208" s="19" t="s">
        <v>227</v>
      </c>
      <c r="G208" s="19">
        <f>'[82]Metformin Arm '!$G$7</f>
        <v>51</v>
      </c>
      <c r="H208" s="19">
        <v>154</v>
      </c>
      <c r="I208" s="19">
        <f>'[82]Metformin Arm '!$J$5</f>
        <v>80.7</v>
      </c>
      <c r="J208" s="20">
        <f t="shared" si="10"/>
        <v>34.02766065103728</v>
      </c>
      <c r="K208" s="19"/>
      <c r="L208" s="19"/>
      <c r="M208" s="21"/>
      <c r="N208" s="22">
        <v>35588.700000000004</v>
      </c>
      <c r="O208" s="22">
        <v>45111.3</v>
      </c>
      <c r="P208" s="22">
        <f t="shared" si="11"/>
        <v>80700</v>
      </c>
      <c r="Q208" s="21">
        <f>(Data[[#This Row],[Total_fat_g]]/Data[[#This Row],[Total_mass_g]])*100</f>
        <v>44.100000000000009</v>
      </c>
      <c r="R208" s="21">
        <f>(Data[[#This Row],[Lean_mass_g]]/Data[[#This Row],[Total_mass_g]])*100</f>
        <v>55.900000000000006</v>
      </c>
      <c r="S208" s="21"/>
      <c r="T208" s="21">
        <v>36.5</v>
      </c>
      <c r="U208" s="21">
        <f>[83]Glucose!$C$26</f>
        <v>6.2409999999999997</v>
      </c>
      <c r="V208" s="21">
        <f>[87]Insulin!$I41</f>
        <v>29.346499999999999</v>
      </c>
      <c r="W208" s="21">
        <f>(Data[[#This Row],[Glucose (umol/L)]]*Data[[#This Row],[Insulin (umol/L)]])/22.5</f>
        <v>8.1400669555555556</v>
      </c>
      <c r="X208" s="21">
        <f>[87]NEFA!$F$24</f>
        <v>622.1</v>
      </c>
      <c r="Y208" s="21">
        <f>[87]TAG!$I$25</f>
        <v>1434.5</v>
      </c>
      <c r="Z208" s="21">
        <f>'[87]Ranbut 3-OHB'!$F$24</f>
        <v>76.7</v>
      </c>
      <c r="AA208" s="21">
        <f>'[87]Apo B, HDL, Cholesterol, ALT'!$C$12</f>
        <v>4.13</v>
      </c>
      <c r="AB208" s="21">
        <f>'[87]Apo B, HDL, Cholesterol, ALT'!$J$12</f>
        <v>1.1200000000000001</v>
      </c>
      <c r="AC208" s="21">
        <f>Data[[#This Row],[total_chol (umol/L)]]-Data[[#This Row],[HDL_chol (umol/L)]]</f>
        <v>3.01</v>
      </c>
      <c r="AD208" s="21">
        <f>Data[[#This Row],[Non_HDL (umol/L)]]-(Data[[#This Row],[TAG (umol/L)]]/2200)</f>
        <v>2.357954545454545</v>
      </c>
      <c r="AE208" s="21">
        <f>'[114]calculations and TAG concs'!$H$4</f>
        <v>778.70916000000011</v>
      </c>
      <c r="AF208" s="54">
        <v>3.4296784772533334E-3</v>
      </c>
      <c r="AG208" s="21">
        <f>[86]dnl!$C$5</f>
        <v>12.78233544478598</v>
      </c>
      <c r="AH208" s="23">
        <f>(Data[[#This Row],[DNL (%)]]/100)*Data[[#This Row],[VLDL (umol/L)]]</f>
        <v>99.537216970475185</v>
      </c>
      <c r="AI208" s="21">
        <f>[4]SAMPLES!$L$219</f>
        <v>37.02439825292975</v>
      </c>
      <c r="AJ208" s="61">
        <f>(Data[[#This Row],[Gluconeogensis (%)]]/100)*Data[[#This Row],[Glucose (umol/L)]]</f>
        <v>2.3106926949653457</v>
      </c>
      <c r="AK208" s="19"/>
    </row>
    <row r="209" spans="1:37" s="11" customFormat="1" x14ac:dyDescent="0.25">
      <c r="A209" s="19">
        <v>224</v>
      </c>
      <c r="B209" s="19" t="s">
        <v>269</v>
      </c>
      <c r="C209" s="19" t="s">
        <v>250</v>
      </c>
      <c r="D209" s="19">
        <v>2</v>
      </c>
      <c r="E209" s="19" t="s">
        <v>228</v>
      </c>
      <c r="F209" s="19" t="s">
        <v>228</v>
      </c>
      <c r="G209" s="19">
        <f>'[82]Metformin Arm '!$K$7</f>
        <v>50</v>
      </c>
      <c r="H209" s="19">
        <v>182.5</v>
      </c>
      <c r="I209" s="19">
        <f>'[82]Metformin Arm '!$N$5</f>
        <v>105.9</v>
      </c>
      <c r="J209" s="20">
        <f t="shared" si="10"/>
        <v>31.795834115218618</v>
      </c>
      <c r="K209" s="19"/>
      <c r="L209" s="19"/>
      <c r="M209" s="21"/>
      <c r="N209" s="22">
        <v>35582.400000000009</v>
      </c>
      <c r="O209" s="22">
        <v>70317.600000000006</v>
      </c>
      <c r="P209" s="22">
        <f t="shared" si="11"/>
        <v>105900.00000000001</v>
      </c>
      <c r="Q209" s="21">
        <f>(Data[[#This Row],[Total_fat_g]]/Data[[#This Row],[Total_mass_g]])*100</f>
        <v>33.6</v>
      </c>
      <c r="R209" s="21">
        <f>(Data[[#This Row],[Lean_mass_g]]/Data[[#This Row],[Total_mass_g]])*100</f>
        <v>66.399999999999991</v>
      </c>
      <c r="S209" s="21"/>
      <c r="T209" s="21">
        <v>24.83</v>
      </c>
      <c r="U209" s="21">
        <f>[83]Glucose!$D$26</f>
        <v>5.6219999999999999</v>
      </c>
      <c r="V209" s="21">
        <f>[89]Insulin!$I36</f>
        <v>20.452500000000001</v>
      </c>
      <c r="W209" s="21">
        <f>(Data[[#This Row],[Glucose (umol/L)]]*Data[[#This Row],[Insulin (umol/L)]])/22.5</f>
        <v>5.110398</v>
      </c>
      <c r="X209" s="21">
        <f>[90]NEFA!$F$24</f>
        <v>633.70000000000005</v>
      </c>
      <c r="Y209" s="21">
        <f>[90]TAG!$I$25</f>
        <v>1971.3</v>
      </c>
      <c r="Z209" s="21">
        <f>'[90]Ranbut 3-OHB'!$F$24</f>
        <v>102.5</v>
      </c>
      <c r="AA209" s="21">
        <f>'[90]Apo B, HDL, Cholesterol, ALT'!$C$12</f>
        <v>4.9800000000000004</v>
      </c>
      <c r="AB209" s="21">
        <f>'[90]Apo B, HDL, Cholesterol, ALT'!$J$12</f>
        <v>0.94</v>
      </c>
      <c r="AC209" s="21">
        <f>Data[[#This Row],[total_chol (umol/L)]]-Data[[#This Row],[HDL_chol (umol/L)]]</f>
        <v>4.0400000000000009</v>
      </c>
      <c r="AD209" s="21">
        <f>Data[[#This Row],[Non_HDL (umol/L)]]-(Data[[#This Row],[TAG (umol/L)]]/2200)</f>
        <v>3.1439545454545463</v>
      </c>
      <c r="AE209" s="32">
        <f>'[115]calculations and TAG concs'!$H$12</f>
        <v>1320.771</v>
      </c>
      <c r="AF209" s="54">
        <v>3.3476322750603344E-3</v>
      </c>
      <c r="AG209" s="21">
        <f>[86]dnl!$D$5</f>
        <v>8.0952292240996133</v>
      </c>
      <c r="AH209" s="23">
        <f>(Data[[#This Row],[DNL (%)]]/100)*Data[[#This Row],[VLDL (umol/L)]]</f>
        <v>106.91943997543271</v>
      </c>
      <c r="AI209" s="21">
        <f>[4]SAMPLES!$L$220</f>
        <v>36.70695227731801</v>
      </c>
      <c r="AJ209" s="61">
        <f>(Data[[#This Row],[Gluconeogensis (%)]]/100)*Data[[#This Row],[Glucose (umol/L)]]</f>
        <v>2.0636648570308185</v>
      </c>
      <c r="AK209" s="19"/>
    </row>
    <row r="210" spans="1:37" s="11" customFormat="1" x14ac:dyDescent="0.25">
      <c r="A210" s="19">
        <v>225</v>
      </c>
      <c r="B210" s="19" t="s">
        <v>270</v>
      </c>
      <c r="C210" s="19" t="s">
        <v>250</v>
      </c>
      <c r="D210" s="19">
        <v>2</v>
      </c>
      <c r="E210" s="19" t="s">
        <v>228</v>
      </c>
      <c r="F210" s="19" t="s">
        <v>228</v>
      </c>
      <c r="G210" s="19">
        <f>'[82]Metformin Arm '!$O$7</f>
        <v>36</v>
      </c>
      <c r="H210" s="19">
        <v>176</v>
      </c>
      <c r="I210" s="19">
        <f>'[82]Metformin Arm '!$R$5</f>
        <v>94.2</v>
      </c>
      <c r="J210" s="20">
        <f t="shared" si="10"/>
        <v>30.410640495867771</v>
      </c>
      <c r="K210" s="19"/>
      <c r="L210" s="19"/>
      <c r="M210" s="21"/>
      <c r="N210" s="22">
        <v>24774.600000000002</v>
      </c>
      <c r="O210" s="22">
        <v>69425.400000000009</v>
      </c>
      <c r="P210" s="22">
        <f t="shared" si="11"/>
        <v>94200.000000000015</v>
      </c>
      <c r="Q210" s="21">
        <f>(Data[[#This Row],[Total_fat_g]]/Data[[#This Row],[Total_mass_g]])*100</f>
        <v>26.299999999999997</v>
      </c>
      <c r="R210" s="21">
        <f>(Data[[#This Row],[Lean_mass_g]]/Data[[#This Row],[Total_mass_g]])*100</f>
        <v>73.7</v>
      </c>
      <c r="S210" s="21"/>
      <c r="T210" s="21">
        <v>3.09</v>
      </c>
      <c r="U210" s="21">
        <f>[83]Glucose!$E$26</f>
        <v>5.4349999999999996</v>
      </c>
      <c r="V210" s="21">
        <f>[92]Insulin!$I41</f>
        <v>14.939500000000001</v>
      </c>
      <c r="W210" s="21">
        <f>(Data[[#This Row],[Glucose (umol/L)]]*Data[[#This Row],[Insulin (umol/L)]])/22.5</f>
        <v>3.6087192222222217</v>
      </c>
      <c r="X210" s="21">
        <f>[92]NEFA!$F$24</f>
        <v>806.5</v>
      </c>
      <c r="Y210" s="68">
        <f>[92]TAG!$I$25</f>
        <v>805.1</v>
      </c>
      <c r="Z210" s="21">
        <f>'[92]Ranbut 3-OHB'!$F$24</f>
        <v>114.2</v>
      </c>
      <c r="AA210" s="21">
        <f>'[92]Apo B, HDL, Cholesterol, ALT'!$C$12</f>
        <v>4</v>
      </c>
      <c r="AB210" s="21">
        <f>'[92]Apo B, HDL, Cholesterol, ALT'!$J$12</f>
        <v>1.1000000000000001</v>
      </c>
      <c r="AC210" s="21">
        <f>Data[[#This Row],[total_chol (umol/L)]]-Data[[#This Row],[HDL_chol (umol/L)]]</f>
        <v>2.9</v>
      </c>
      <c r="AD210" s="21">
        <f>Data[[#This Row],[Non_HDL (umol/L)]]-(Data[[#This Row],[TAG (umol/L)]]/2200)</f>
        <v>2.5340454545454545</v>
      </c>
      <c r="AE210" s="21">
        <f>'[116]calculations and TAG concs'!$H$4</f>
        <v>314.8618350000001</v>
      </c>
      <c r="AF210" s="54">
        <v>2.7359574021582115E-3</v>
      </c>
      <c r="AG210" s="21">
        <f>[86]dnl!$E$5</f>
        <v>5.3791516935311323</v>
      </c>
      <c r="AH210" s="23">
        <f>(Data[[#This Row],[DNL (%)]]/100)*Data[[#This Row],[VLDL (umol/L)]]</f>
        <v>16.936895729685705</v>
      </c>
      <c r="AI210" s="21">
        <f>[4]SAMPLES!$L$221</f>
        <v>41.16770139491107</v>
      </c>
      <c r="AJ210" s="61">
        <f>(Data[[#This Row],[Gluconeogensis (%)]]/100)*Data[[#This Row],[Glucose (umol/L)]]</f>
        <v>2.2374645708134167</v>
      </c>
      <c r="AK210" s="19"/>
    </row>
    <row r="211" spans="1:37" s="11" customFormat="1" x14ac:dyDescent="0.25">
      <c r="A211" s="19">
        <v>226</v>
      </c>
      <c r="B211" s="19" t="s">
        <v>271</v>
      </c>
      <c r="C211" s="19" t="s">
        <v>250</v>
      </c>
      <c r="D211" s="19">
        <v>2</v>
      </c>
      <c r="E211" s="19" t="s">
        <v>228</v>
      </c>
      <c r="F211" s="19" t="s">
        <v>227</v>
      </c>
      <c r="G211" s="19">
        <f>'[82]Metformin Arm '!$S$7</f>
        <v>52</v>
      </c>
      <c r="H211" s="19">
        <v>164.5</v>
      </c>
      <c r="I211" s="19">
        <f>'[82]Metformin Arm '!$V$5</f>
        <v>65.900000000000006</v>
      </c>
      <c r="J211" s="20">
        <f t="shared" si="10"/>
        <v>24.353063996082817</v>
      </c>
      <c r="K211" s="19"/>
      <c r="L211" s="19"/>
      <c r="M211" s="21"/>
      <c r="N211" s="22">
        <v>27348.5</v>
      </c>
      <c r="O211" s="22">
        <v>38551.500000000007</v>
      </c>
      <c r="P211" s="22">
        <f t="shared" si="11"/>
        <v>65900</v>
      </c>
      <c r="Q211" s="21">
        <f>(Data[[#This Row],[Total_fat_g]]/Data[[#This Row],[Total_mass_g]])*100</f>
        <v>41.5</v>
      </c>
      <c r="R211" s="21">
        <f>(Data[[#This Row],[Lean_mass_g]]/Data[[#This Row],[Total_mass_g]])*100</f>
        <v>58.500000000000007</v>
      </c>
      <c r="S211" s="21"/>
      <c r="T211" s="21">
        <v>2.76</v>
      </c>
      <c r="U211" s="21">
        <f>[83]Glucose!$F$26</f>
        <v>5.4939999999999998</v>
      </c>
      <c r="V211" s="21">
        <f>[94]Insulin!$I41</f>
        <v>13.214500000000001</v>
      </c>
      <c r="W211" s="21">
        <f>(Data[[#This Row],[Glucose (umol/L)]]*Data[[#This Row],[Insulin (umol/L)]])/22.5</f>
        <v>3.2266872444444448</v>
      </c>
      <c r="X211" s="21">
        <f>[94]NEFA!$F24</f>
        <v>486.7</v>
      </c>
      <c r="Y211" s="21">
        <f>[94]TAG!$I25</f>
        <v>565.19999999999993</v>
      </c>
      <c r="Z211" s="21">
        <f>'[94]Ranbut 3-OHB'!$F24</f>
        <v>103.8</v>
      </c>
      <c r="AA211" s="21">
        <f>'[94]Apo B, HDL, Cholesterol, ALT'!$C$12</f>
        <v>3.58</v>
      </c>
      <c r="AB211" s="21">
        <f>'[94]Apo B, HDL, Cholesterol, ALT'!$J$12</f>
        <v>1.26</v>
      </c>
      <c r="AC211" s="21">
        <f>Data[[#This Row],[total_chol (umol/L)]]-Data[[#This Row],[HDL_chol (umol/L)]]</f>
        <v>2.3200000000000003</v>
      </c>
      <c r="AD211" s="21">
        <f>Data[[#This Row],[Non_HDL (umol/L)]]-(Data[[#This Row],[TAG (umol/L)]]/2200)</f>
        <v>2.0630909090909095</v>
      </c>
      <c r="AE211" s="21">
        <f>[83]Lipoproteins!F$34</f>
        <v>156.35673</v>
      </c>
      <c r="AF211" s="54">
        <v>2.224980588193896E-3</v>
      </c>
      <c r="AG211" s="21">
        <f>[86]dnl!$F$5</f>
        <v>7.5683617242468513</v>
      </c>
      <c r="AH211" s="23">
        <f>(Data[[#This Row],[DNL (%)]]/100)*Data[[#This Row],[VLDL (umol/L)]]</f>
        <v>11.833642906603993</v>
      </c>
      <c r="AI211" s="21">
        <f>[4]SAMPLES!$L$222</f>
        <v>48.194221288724151</v>
      </c>
      <c r="AJ211" s="61">
        <f>(Data[[#This Row],[Gluconeogensis (%)]]/100)*Data[[#This Row],[Glucose (umol/L)]]</f>
        <v>2.6477905176025045</v>
      </c>
      <c r="AK211" s="19"/>
    </row>
    <row r="212" spans="1:37" s="11" customFormat="1" x14ac:dyDescent="0.25">
      <c r="A212" s="19">
        <v>227</v>
      </c>
      <c r="B212" s="19" t="s">
        <v>272</v>
      </c>
      <c r="C212" s="19" t="s">
        <v>250</v>
      </c>
      <c r="D212" s="19">
        <v>2</v>
      </c>
      <c r="E212" s="19" t="s">
        <v>228</v>
      </c>
      <c r="F212" s="19" t="s">
        <v>228</v>
      </c>
      <c r="G212" s="19">
        <f>'[82]Metformin Arm '!$W$7</f>
        <v>36</v>
      </c>
      <c r="H212" s="19">
        <v>172</v>
      </c>
      <c r="I212" s="19">
        <f>'[82]Metformin Arm '!$Z$5</f>
        <v>124.5</v>
      </c>
      <c r="J212" s="20">
        <f t="shared" si="10"/>
        <v>42.083558680367773</v>
      </c>
      <c r="K212" s="19"/>
      <c r="L212" s="19"/>
      <c r="M212" s="21"/>
      <c r="N212" s="22">
        <v>44446.500000000007</v>
      </c>
      <c r="O212" s="22">
        <v>80053.5</v>
      </c>
      <c r="P212" s="22">
        <f t="shared" si="11"/>
        <v>124500</v>
      </c>
      <c r="Q212" s="21">
        <f>(Data[[#This Row],[Total_fat_g]]/Data[[#This Row],[Total_mass_g]])*100</f>
        <v>35.700000000000003</v>
      </c>
      <c r="R212" s="21">
        <f>(Data[[#This Row],[Lean_mass_g]]/Data[[#This Row],[Total_mass_g]])*100</f>
        <v>64.3</v>
      </c>
      <c r="S212" s="21"/>
      <c r="T212" s="21">
        <v>38.369999999999997</v>
      </c>
      <c r="U212" s="21">
        <f>[83]Glucose!$G$26</f>
        <v>6.7279999999999998</v>
      </c>
      <c r="V212" s="21">
        <f>[95]Insulin!$I41</f>
        <v>41.500500000000002</v>
      </c>
      <c r="W212" s="21">
        <f>(Data[[#This Row],[Glucose (umol/L)]]*Data[[#This Row],[Insulin (umol/L)]])/22.5</f>
        <v>12.409571733333335</v>
      </c>
      <c r="X212" s="21">
        <f>[95]NEFA!$F24</f>
        <v>672.5</v>
      </c>
      <c r="Y212" s="21">
        <f>[95]TAG!$I25</f>
        <v>990.8</v>
      </c>
      <c r="Z212" s="21">
        <f>'[95]Ranbut 3-OHB'!$F24</f>
        <v>113.5</v>
      </c>
      <c r="AA212" s="21">
        <f>'[95]Apo B, HDL, Cholesterol, ALT'!$C$12</f>
        <v>4.18</v>
      </c>
      <c r="AB212" s="21">
        <f>'[95]Apo B, HDL, Cholesterol, ALT'!$J$12</f>
        <v>1.17</v>
      </c>
      <c r="AC212" s="21">
        <f>Data[[#This Row],[total_chol (umol/L)]]-Data[[#This Row],[HDL_chol (umol/L)]]</f>
        <v>3.01</v>
      </c>
      <c r="AD212" s="21">
        <f>Data[[#This Row],[Non_HDL (umol/L)]]-(Data[[#This Row],[TAG (umol/L)]]/2200)</f>
        <v>2.5596363636363635</v>
      </c>
      <c r="AE212" s="21">
        <f>[83]Lipoproteins!G$34</f>
        <v>206.16755250000003</v>
      </c>
      <c r="AF212" s="54">
        <v>4.3588049512871853E-3</v>
      </c>
      <c r="AG212" s="21">
        <f>[86]dnl!$G$5</f>
        <v>6.0430833255744156</v>
      </c>
      <c r="AH212" s="23">
        <f>(Data[[#This Row],[DNL (%)]]/100)*Data[[#This Row],[VLDL (umol/L)]]</f>
        <v>12.458876987872381</v>
      </c>
      <c r="AI212" s="21">
        <f>[4]SAMPLES!$L$223</f>
        <v>20.232268972960942</v>
      </c>
      <c r="AJ212" s="61">
        <f>(Data[[#This Row],[Gluconeogensis (%)]]/100)*Data[[#This Row],[Glucose (umol/L)]]</f>
        <v>1.3612270565008122</v>
      </c>
      <c r="AK212" s="19"/>
    </row>
    <row r="213" spans="1:37" s="11" customFormat="1" x14ac:dyDescent="0.25">
      <c r="A213" s="19">
        <v>228</v>
      </c>
      <c r="B213" s="19" t="s">
        <v>273</v>
      </c>
      <c r="C213" s="19" t="s">
        <v>250</v>
      </c>
      <c r="D213" s="19">
        <v>2</v>
      </c>
      <c r="E213" s="19" t="s">
        <v>228</v>
      </c>
      <c r="F213" s="19" t="s">
        <v>227</v>
      </c>
      <c r="G213" s="19">
        <f>'[82]Metformin Arm '!$AA$7</f>
        <v>63</v>
      </c>
      <c r="H213" s="19">
        <v>152</v>
      </c>
      <c r="I213" s="19">
        <f>'[82]Metformin Arm '!$AD$5</f>
        <v>78.7</v>
      </c>
      <c r="J213" s="20">
        <f t="shared" si="10"/>
        <v>34.06336565096953</v>
      </c>
      <c r="K213" s="19"/>
      <c r="L213" s="19"/>
      <c r="M213" s="21"/>
      <c r="N213" s="22">
        <v>31086.5</v>
      </c>
      <c r="O213" s="22">
        <v>47613.5</v>
      </c>
      <c r="P213" s="22">
        <f t="shared" si="11"/>
        <v>78700</v>
      </c>
      <c r="Q213" s="21">
        <f>(Data[[#This Row],[Total_fat_g]]/Data[[#This Row],[Total_mass_g]])*100</f>
        <v>39.5</v>
      </c>
      <c r="R213" s="21">
        <f>(Data[[#This Row],[Lean_mass_g]]/Data[[#This Row],[Total_mass_g]])*100</f>
        <v>60.5</v>
      </c>
      <c r="S213" s="21"/>
      <c r="T213" s="21">
        <v>17.649999999999999</v>
      </c>
      <c r="U213" s="21">
        <f>[83]Glucose!$H$26</f>
        <v>10.987</v>
      </c>
      <c r="V213" s="21">
        <f>[96]Insulin!$I41</f>
        <v>22.029499999999999</v>
      </c>
      <c r="W213" s="21">
        <f>(Data[[#This Row],[Glucose (umol/L)]]*Data[[#This Row],[Insulin (umol/L)]])/22.5</f>
        <v>10.757249622222222</v>
      </c>
      <c r="X213" s="21">
        <f>[96]NEFA!$F24</f>
        <v>754.6</v>
      </c>
      <c r="Y213" s="21">
        <f>[96]TAG!$I25</f>
        <v>1066.9000000000001</v>
      </c>
      <c r="Z213" s="21">
        <f>'[96]Ranbut 3-OHB'!$F24</f>
        <v>67.900000000000006</v>
      </c>
      <c r="AA213" s="21">
        <f>'[96]Apo B, HDL, Cholesterol, ALT'!$C$12</f>
        <v>3.621</v>
      </c>
      <c r="AB213" s="21">
        <f>'[96]Apo B, HDL, Cholesterol, ALT'!$J$12</f>
        <v>1.25</v>
      </c>
      <c r="AC213" s="21">
        <f>Data[[#This Row],[total_chol (umol/L)]]-Data[[#This Row],[HDL_chol (umol/L)]]</f>
        <v>2.371</v>
      </c>
      <c r="AD213" s="21">
        <f>Data[[#This Row],[Non_HDL (umol/L)]]-(Data[[#This Row],[TAG (umol/L)]]/2200)</f>
        <v>1.8860454545454546</v>
      </c>
      <c r="AE213" s="21">
        <f>[83]Lipoproteins!H$34</f>
        <v>356.79521249999999</v>
      </c>
      <c r="AF213" s="54">
        <v>4.3797541228440687E-3</v>
      </c>
      <c r="AG213" s="21">
        <f>[86]dnl!$H$5</f>
        <v>6.9301238724860941</v>
      </c>
      <c r="AH213" s="23">
        <f>(Data[[#This Row],[DNL (%)]]/100)*Data[[#This Row],[VLDL (umol/L)]]</f>
        <v>24.726350197349987</v>
      </c>
      <c r="AI213" s="21">
        <f>[4]SAMPLES!$L$224</f>
        <v>13.908288329793134</v>
      </c>
      <c r="AJ213" s="61">
        <f>(Data[[#This Row],[Gluconeogensis (%)]]/100)*Data[[#This Row],[Glucose (umol/L)]]</f>
        <v>1.5281036387943716</v>
      </c>
      <c r="AK213" s="19"/>
    </row>
    <row r="214" spans="1:37" s="11" customFormat="1" x14ac:dyDescent="0.25">
      <c r="A214" s="19">
        <v>229</v>
      </c>
      <c r="B214" s="19" t="s">
        <v>274</v>
      </c>
      <c r="C214" s="19" t="s">
        <v>250</v>
      </c>
      <c r="D214" s="19">
        <v>2</v>
      </c>
      <c r="E214" s="19" t="s">
        <v>228</v>
      </c>
      <c r="F214" s="19" t="s">
        <v>227</v>
      </c>
      <c r="G214" s="19">
        <f>'[82]Metformin Arm '!$AE$7</f>
        <v>48</v>
      </c>
      <c r="H214" s="19">
        <v>152.5</v>
      </c>
      <c r="I214" s="19">
        <f>'[82]Metformin Arm '!$AH$5</f>
        <v>74.2</v>
      </c>
      <c r="J214" s="20">
        <f t="shared" si="10"/>
        <v>31.905401773716751</v>
      </c>
      <c r="K214" s="19"/>
      <c r="L214" s="19"/>
      <c r="M214" s="21"/>
      <c r="N214" s="22">
        <v>26415.200000000001</v>
      </c>
      <c r="O214" s="22">
        <v>47784.800000000003</v>
      </c>
      <c r="P214" s="22">
        <f t="shared" si="11"/>
        <v>74200</v>
      </c>
      <c r="Q214" s="21">
        <f>(Data[[#This Row],[Total_fat_g]]/Data[[#This Row],[Total_mass_g]])*100</f>
        <v>35.6</v>
      </c>
      <c r="R214" s="21">
        <f>(Data[[#This Row],[Lean_mass_g]]/Data[[#This Row],[Total_mass_g]])*100</f>
        <v>64.400000000000006</v>
      </c>
      <c r="S214" s="21"/>
      <c r="T214" s="21">
        <v>5.94</v>
      </c>
      <c r="U214" s="21">
        <f>[83]Glucose!$I$26</f>
        <v>5.4009999999999998</v>
      </c>
      <c r="V214" s="21">
        <f>[97]Insulin!$I41</f>
        <v>18.749000000000002</v>
      </c>
      <c r="W214" s="21">
        <f>(Data[[#This Row],[Glucose (umol/L)]]*Data[[#This Row],[Insulin (umol/L)]])/22.5</f>
        <v>4.5005932888888891</v>
      </c>
      <c r="X214" s="21">
        <f>[97]NEFA!$C24</f>
        <v>810.4</v>
      </c>
      <c r="Y214" s="21">
        <f>[97]TAG!$I25</f>
        <v>2009.6000000000001</v>
      </c>
      <c r="Z214" s="21">
        <f>'[97]Ranbut 3-OHB'!$C24</f>
        <v>174.3</v>
      </c>
      <c r="AA214" s="21">
        <f>'[97]Apo B, HDL, Cholesterol, ALT'!$C$12</f>
        <v>5.08</v>
      </c>
      <c r="AB214" s="21">
        <f>'[97]Apo B, HDL, Cholesterol, ALT'!$J$12</f>
        <v>0.89</v>
      </c>
      <c r="AC214" s="21">
        <f>Data[[#This Row],[total_chol (umol/L)]]-Data[[#This Row],[HDL_chol (umol/L)]]</f>
        <v>4.1900000000000004</v>
      </c>
      <c r="AD214" s="21">
        <f>Data[[#This Row],[Non_HDL (umol/L)]]-(Data[[#This Row],[TAG (umol/L)]]/2200)</f>
        <v>3.2765454545454551</v>
      </c>
      <c r="AE214" s="21">
        <f>[83]Lipoproteins!$I$34</f>
        <v>1433.3728799999997</v>
      </c>
      <c r="AF214" s="54">
        <v>4.5915508665043472E-3</v>
      </c>
      <c r="AG214" s="21">
        <f>[86]dnl!$I$5</f>
        <v>3.8975860509624973</v>
      </c>
      <c r="AH214" s="23">
        <f>(Data[[#This Row],[DNL (%)]]/100)*Data[[#This Row],[VLDL (umol/L)]]</f>
        <v>55.866941429159404</v>
      </c>
      <c r="AI214" s="21">
        <f>[4]SAMPLES!$L$225</f>
        <v>30.900074852703955</v>
      </c>
      <c r="AJ214" s="61">
        <f>(Data[[#This Row],[Gluconeogensis (%)]]/100)*Data[[#This Row],[Glucose (umol/L)]]</f>
        <v>1.6689130427945407</v>
      </c>
      <c r="AK214" s="19"/>
    </row>
    <row r="215" spans="1:37" s="11" customFormat="1" x14ac:dyDescent="0.25">
      <c r="A215" s="19">
        <v>230</v>
      </c>
      <c r="B215" s="19" t="s">
        <v>304</v>
      </c>
      <c r="C215" s="19" t="s">
        <v>250</v>
      </c>
      <c r="D215" s="19">
        <v>2</v>
      </c>
      <c r="E215" s="19" t="s">
        <v>228</v>
      </c>
      <c r="F215" s="19" t="s">
        <v>228</v>
      </c>
      <c r="G215" s="19">
        <f>'[82]Metformin Arm '!$AI$7</f>
        <v>45</v>
      </c>
      <c r="H215" s="19">
        <v>185.5</v>
      </c>
      <c r="I215" s="19">
        <f>'[82]Metformin Arm '!$AL$5</f>
        <v>113.5</v>
      </c>
      <c r="J215" s="20">
        <f t="shared" si="10"/>
        <v>32.984357858486938</v>
      </c>
      <c r="K215" s="19"/>
      <c r="L215" s="19"/>
      <c r="M215" s="21"/>
      <c r="N215" s="22">
        <v>33255.5</v>
      </c>
      <c r="O215" s="22">
        <v>80244.5</v>
      </c>
      <c r="P215" s="22">
        <f t="shared" si="11"/>
        <v>113500</v>
      </c>
      <c r="Q215" s="21">
        <f>(Data[[#This Row],[Total_fat_g]]/Data[[#This Row],[Total_mass_g]])*100</f>
        <v>29.299999999999997</v>
      </c>
      <c r="R215" s="21">
        <f>(Data[[#This Row],[Lean_mass_g]]/Data[[#This Row],[Total_mass_g]])*100</f>
        <v>70.7</v>
      </c>
      <c r="S215" s="21"/>
      <c r="T215" s="21">
        <v>14.62</v>
      </c>
      <c r="U215" s="21">
        <f>[83]Glucose!$J$26</f>
        <v>4.7119999999999997</v>
      </c>
      <c r="V215" s="21">
        <f>[98]Insulin!$I41</f>
        <v>24.7165</v>
      </c>
      <c r="W215" s="21">
        <f>(Data[[#This Row],[Glucose (umol/L)]]*Data[[#This Row],[Insulin (umol/L)]])/22.5</f>
        <v>5.1761843555555549</v>
      </c>
      <c r="X215" s="21">
        <f>[98]NEFA!$C24</f>
        <v>372.4</v>
      </c>
      <c r="Y215" s="21">
        <f>[98]TAG!$I25</f>
        <v>3789.1</v>
      </c>
      <c r="Z215" s="21">
        <f>'[98]Ranbut 3-OHB'!$C24</f>
        <v>33.1</v>
      </c>
      <c r="AA215" s="21">
        <f>'[98]Apo B, HDL, Cholesterol, ALT'!$C$12</f>
        <v>3.93</v>
      </c>
      <c r="AB215" s="21">
        <f>'[98]Apo B, HDL, Cholesterol, ALT'!$J$12</f>
        <v>0.61</v>
      </c>
      <c r="AC215" s="21">
        <f>Data[[#This Row],[total_chol (umol/L)]]-Data[[#This Row],[HDL_chol (umol/L)]]</f>
        <v>3.3200000000000003</v>
      </c>
      <c r="AD215" s="21">
        <f>Data[[#This Row],[Non_HDL (umol/L)]]-(Data[[#This Row],[TAG (umol/L)]]/2200)</f>
        <v>1.5976818181818184</v>
      </c>
      <c r="AE215" s="21">
        <f>'[117]calculations and TAG concs'!$H$4</f>
        <v>1873.4193900000002</v>
      </c>
      <c r="AF215" s="54">
        <v>4.0754855072849816E-3</v>
      </c>
      <c r="AG215" s="21">
        <f>[86]dnl!$J$5</f>
        <v>5.0927960309821652</v>
      </c>
      <c r="AH215" s="23">
        <f>(Data[[#This Row],[DNL (%)]]/100)*Data[[#This Row],[VLDL (umol/L)]]</f>
        <v>95.40942833757029</v>
      </c>
      <c r="AI215" s="21">
        <f>[4]SAMPLES!$L$226</f>
        <v>17.635351490006613</v>
      </c>
      <c r="AJ215" s="61">
        <f>(Data[[#This Row],[Gluconeogensis (%)]]/100)*Data[[#This Row],[Glucose (umol/L)]]</f>
        <v>0.83097776220911157</v>
      </c>
      <c r="AK215" s="19"/>
    </row>
    <row r="216" spans="1:37" s="11" customFormat="1" x14ac:dyDescent="0.25">
      <c r="A216" s="19">
        <v>231</v>
      </c>
      <c r="B216" s="19" t="s">
        <v>275</v>
      </c>
      <c r="C216" s="19" t="s">
        <v>250</v>
      </c>
      <c r="D216" s="19">
        <v>2</v>
      </c>
      <c r="E216" s="19" t="s">
        <v>228</v>
      </c>
      <c r="F216" s="19" t="s">
        <v>227</v>
      </c>
      <c r="G216" s="19">
        <f>'[82]Metformin Arm '!$AQ$7</f>
        <v>46</v>
      </c>
      <c r="H216" s="19">
        <v>160.5</v>
      </c>
      <c r="I216" s="19">
        <f>'[82]Metformin Arm '!$AT$5</f>
        <v>79.8</v>
      </c>
      <c r="J216" s="20">
        <f t="shared" si="10"/>
        <v>30.977960229423239</v>
      </c>
      <c r="K216" s="19"/>
      <c r="L216" s="19"/>
      <c r="M216" s="21"/>
      <c r="N216" s="22">
        <v>31042.199999999997</v>
      </c>
      <c r="O216" s="22">
        <v>48757.799999999996</v>
      </c>
      <c r="P216" s="22">
        <f t="shared" si="11"/>
        <v>79800</v>
      </c>
      <c r="Q216" s="21">
        <f>(Data[[#This Row],[Total_fat_g]]/Data[[#This Row],[Total_mass_g]])*100</f>
        <v>38.9</v>
      </c>
      <c r="R216" s="21">
        <f>(Data[[#This Row],[Lean_mass_g]]/Data[[#This Row],[Total_mass_g]])*100</f>
        <v>61.1</v>
      </c>
      <c r="S216" s="21"/>
      <c r="T216" s="21">
        <v>17.3</v>
      </c>
      <c r="U216" s="21">
        <f>[83]Glucose!$K$26</f>
        <v>5.1390000000000002</v>
      </c>
      <c r="V216" s="21">
        <f>[100]Insulin!$I41</f>
        <v>21.378500000000003</v>
      </c>
      <c r="W216" s="21">
        <f>(Data[[#This Row],[Glucose (umol/L)]]*Data[[#This Row],[Insulin (umol/L)]])/22.5</f>
        <v>4.8828494000000013</v>
      </c>
      <c r="X216" s="21">
        <f>[100]NEFA!$C24</f>
        <v>347</v>
      </c>
      <c r="Y216" s="21">
        <f>[100]TAG!$I25</f>
        <v>1193.2</v>
      </c>
      <c r="Z216" s="69">
        <f>'[100]Ranbut 3-OHB'!$C24</f>
        <v>57.5</v>
      </c>
      <c r="AA216" s="21">
        <f>'[100]Apo B, HDL, Cholesterol, ALT'!$C$12</f>
        <v>5.85</v>
      </c>
      <c r="AB216" s="21">
        <f>'[100]Apo B, HDL, Cholesterol, ALT'!$J$12</f>
        <v>1.2</v>
      </c>
      <c r="AC216" s="21">
        <f>Data[[#This Row],[total_chol (umol/L)]]-Data[[#This Row],[HDL_chol (umol/L)]]</f>
        <v>4.6499999999999995</v>
      </c>
      <c r="AD216" s="21">
        <f>Data[[#This Row],[Non_HDL (umol/L)]]-(Data[[#This Row],[TAG (umol/L)]]/2200)</f>
        <v>4.1076363636363631</v>
      </c>
      <c r="AE216" s="21">
        <f>[83]Lipoproteins!$K$34</f>
        <v>655.73588250000012</v>
      </c>
      <c r="AF216" s="54">
        <v>4.3588049512871853E-3</v>
      </c>
      <c r="AG216" s="21">
        <f>[86]dnl!$K$5</f>
        <v>2.517465072328509</v>
      </c>
      <c r="AH216" s="23">
        <f>(Data[[#This Row],[DNL (%)]]/100)*Data[[#This Row],[VLDL (umol/L)]]</f>
        <v>16.507921808662616</v>
      </c>
      <c r="AI216" s="21">
        <f>[4]SAMPLES!$L$227</f>
        <v>23.129628606630103</v>
      </c>
      <c r="AJ216" s="61">
        <f>(Data[[#This Row],[Gluconeogensis (%)]]/100)*Data[[#This Row],[Glucose (umol/L)]]</f>
        <v>1.1886316140947211</v>
      </c>
      <c r="AK216" s="19"/>
    </row>
    <row r="217" spans="1:37" s="11" customFormat="1" x14ac:dyDescent="0.25">
      <c r="A217" s="19">
        <v>232</v>
      </c>
      <c r="B217" s="19" t="s">
        <v>276</v>
      </c>
      <c r="C217" s="19" t="s">
        <v>250</v>
      </c>
      <c r="D217" s="19">
        <v>2</v>
      </c>
      <c r="E217" s="19" t="s">
        <v>318</v>
      </c>
      <c r="F217" s="19" t="s">
        <v>228</v>
      </c>
      <c r="G217" s="19">
        <f>'[82]Dipagloflozin Arm'!$C$7</f>
        <v>55</v>
      </c>
      <c r="H217" s="19">
        <v>172.5</v>
      </c>
      <c r="I217" s="19">
        <f>'[82]Dipagloflozin Arm'!$F$5</f>
        <v>77.599999999999994</v>
      </c>
      <c r="J217" s="20">
        <f t="shared" si="10"/>
        <v>26.078554925435828</v>
      </c>
      <c r="K217" s="19"/>
      <c r="L217" s="19"/>
      <c r="M217" s="21"/>
      <c r="N217" s="22">
        <v>19700</v>
      </c>
      <c r="O217" s="22">
        <v>62312.799999999988</v>
      </c>
      <c r="P217" s="22">
        <f t="shared" si="11"/>
        <v>82012.799999999988</v>
      </c>
      <c r="Q217" s="21">
        <f>(Data[[#This Row],[Total_fat_g]]/Data[[#This Row],[Total_mass_g]])*100</f>
        <v>24.020640680479151</v>
      </c>
      <c r="R217" s="21">
        <f>(Data[[#This Row],[Lean_mass_g]]/Data[[#This Row],[Total_mass_g]])*100</f>
        <v>75.979359319520853</v>
      </c>
      <c r="S217" s="21"/>
      <c r="T217" s="21">
        <v>2.0699999999999998</v>
      </c>
      <c r="U217" s="21">
        <f>[101]Glucose!$C25</f>
        <v>5.0519999999999996</v>
      </c>
      <c r="V217" s="21">
        <f>[101]Insulin!$I41</f>
        <v>11.449</v>
      </c>
      <c r="W217" s="21">
        <f>(Data[[#This Row],[Glucose (umol/L)]]*Data[[#This Row],[Insulin (umol/L)]])/22.5</f>
        <v>2.570682133333333</v>
      </c>
      <c r="X217" s="21">
        <f>[101]NEFA!$C24</f>
        <v>412.5</v>
      </c>
      <c r="Y217" s="21">
        <f>[101]TAG!$I6</f>
        <v>552.9</v>
      </c>
      <c r="Z217" s="21">
        <f>'[101]Ranbut 3-OHB'!$C24</f>
        <v>116.2</v>
      </c>
      <c r="AA217" s="21">
        <f>'[101]Apo B, HDL, Cholesterol, ALT'!$C$12</f>
        <v>3.82</v>
      </c>
      <c r="AB217" s="21">
        <f>'[101]Apo B, HDL, Cholesterol, ALT'!$J$12</f>
        <v>1.36</v>
      </c>
      <c r="AC217" s="21">
        <f>Data[[#This Row],[total_chol (umol/L)]]-Data[[#This Row],[HDL_chol (umol/L)]]</f>
        <v>2.46</v>
      </c>
      <c r="AD217" s="21">
        <f>Data[[#This Row],[Non_HDL (umol/L)]]-(Data[[#This Row],[TAG (umol/L)]]/2200)</f>
        <v>2.2086818181818182</v>
      </c>
      <c r="AE217" s="21">
        <f>[102]Lipoproteins!B$34</f>
        <v>190.35992250000004</v>
      </c>
      <c r="AF217" s="54">
        <v>2.9809059853784861E-3</v>
      </c>
      <c r="AG217" s="21">
        <f>'[103]VLDL__DNL data DAPA'!B$50</f>
        <v>4.9503789157666986</v>
      </c>
      <c r="AH217" s="23">
        <f>(Data[[#This Row],[DNL (%)]]/100)*Data[[#This Row],[VLDL (umol/L)]]</f>
        <v>9.4235374675098296</v>
      </c>
      <c r="AI217" s="21">
        <f>[4]SAMPLES!$L$228</f>
        <v>8.9482057554008527</v>
      </c>
      <c r="AJ217" s="61">
        <f>(Data[[#This Row],[Gluconeogensis (%)]]/100)*Data[[#This Row],[Glucose (umol/L)]]</f>
        <v>0.45206335476285103</v>
      </c>
      <c r="AK217" s="19"/>
    </row>
    <row r="218" spans="1:37" s="11" customFormat="1" x14ac:dyDescent="0.25">
      <c r="A218" s="19">
        <v>233</v>
      </c>
      <c r="B218" s="19" t="s">
        <v>277</v>
      </c>
      <c r="C218" s="19" t="s">
        <v>250</v>
      </c>
      <c r="D218" s="19">
        <v>2</v>
      </c>
      <c r="E218" s="19" t="s">
        <v>318</v>
      </c>
      <c r="F218" s="19" t="s">
        <v>228</v>
      </c>
      <c r="G218" s="19">
        <f>'[82]Dipagloflozin Arm'!$G$7</f>
        <v>51</v>
      </c>
      <c r="H218" s="19">
        <v>182.5</v>
      </c>
      <c r="I218" s="19">
        <f>'[82]Dipagloflozin Arm'!$J$5</f>
        <v>99.6</v>
      </c>
      <c r="J218" s="20">
        <f t="shared" si="10"/>
        <v>29.904297241508726</v>
      </c>
      <c r="K218" s="19"/>
      <c r="L218" s="19"/>
      <c r="M218" s="21"/>
      <c r="N218" s="22">
        <v>23300</v>
      </c>
      <c r="O218" s="22">
        <v>76393.200000000012</v>
      </c>
      <c r="P218" s="22">
        <f t="shared" si="11"/>
        <v>99693.200000000012</v>
      </c>
      <c r="Q218" s="21">
        <f>(Data[[#This Row],[Total_fat_g]]/Data[[#This Row],[Total_mass_g]])*100</f>
        <v>23.371704389065652</v>
      </c>
      <c r="R218" s="21">
        <f>(Data[[#This Row],[Lean_mass_g]]/Data[[#This Row],[Total_mass_g]])*100</f>
        <v>76.628295610934344</v>
      </c>
      <c r="S218" s="21"/>
      <c r="T218" s="21">
        <v>1.08</v>
      </c>
      <c r="U218" s="21">
        <f>[104]Glucose!$C25</f>
        <v>5.6719999999999997</v>
      </c>
      <c r="V218" s="21">
        <f>[104]Insulin!$I41</f>
        <v>18.5825</v>
      </c>
      <c r="W218" s="21">
        <f>(Data[[#This Row],[Glucose (umol/L)]]*Data[[#This Row],[Insulin (umol/L)]])/22.5</f>
        <v>4.6844417777777769</v>
      </c>
      <c r="X218" s="21">
        <f>[104]NEFA!$C24</f>
        <v>565.4</v>
      </c>
      <c r="Y218" s="21">
        <f>[104]TAG!$I6</f>
        <v>473.2</v>
      </c>
      <c r="Z218" s="21">
        <f>'[104]Ranbut 3-OHB'!$F24</f>
        <v>118.9</v>
      </c>
      <c r="AA218" s="21">
        <f>'[104]Apo B, HDL, Cholesterol, ALT'!$C$12</f>
        <v>4.4800000000000004</v>
      </c>
      <c r="AB218" s="21">
        <f>'[104]Apo B, HDL, Cholesterol, ALT'!$J$12</f>
        <v>1.1399999999999999</v>
      </c>
      <c r="AC218" s="21">
        <f>Data[[#This Row],[total_chol (umol/L)]]-Data[[#This Row],[HDL_chol (umol/L)]]</f>
        <v>3.3400000000000007</v>
      </c>
      <c r="AD218" s="21">
        <f>Data[[#This Row],[Non_HDL (umol/L)]]-(Data[[#This Row],[TAG (umol/L)]]/2200)</f>
        <v>3.1249090909090915</v>
      </c>
      <c r="AE218" s="21">
        <f>[102]Lipoproteins!C$34</f>
        <v>333.23220000000003</v>
      </c>
      <c r="AF218" s="54">
        <v>3.6629779308605306E-3</v>
      </c>
      <c r="AG218" s="21">
        <f>'[103]VLDL__DNL data DAPA'!C$50</f>
        <v>6.2770628868669869</v>
      </c>
      <c r="AH218" s="23">
        <f>(Data[[#This Row],[DNL (%)]]/100)*Data[[#This Row],[VLDL (umol/L)]]</f>
        <v>20.917194753290374</v>
      </c>
      <c r="AI218" s="21">
        <f>[4]SAMPLES!$L$229</f>
        <v>27.681685673671097</v>
      </c>
      <c r="AJ218" s="61">
        <f>(Data[[#This Row],[Gluconeogensis (%)]]/100)*Data[[#This Row],[Glucose (umol/L)]]</f>
        <v>1.5701052114106246</v>
      </c>
      <c r="AK218" s="19"/>
    </row>
    <row r="219" spans="1:37" s="11" customFormat="1" x14ac:dyDescent="0.25">
      <c r="A219" s="19">
        <v>234</v>
      </c>
      <c r="B219" s="19" t="s">
        <v>278</v>
      </c>
      <c r="C219" s="19" t="s">
        <v>250</v>
      </c>
      <c r="D219" s="19">
        <v>2</v>
      </c>
      <c r="E219" s="19" t="s">
        <v>318</v>
      </c>
      <c r="F219" s="19" t="s">
        <v>228</v>
      </c>
      <c r="G219" s="19">
        <f>'[82]Dipagloflozin Arm'!$K$7</f>
        <v>51</v>
      </c>
      <c r="H219" s="19">
        <v>172.5</v>
      </c>
      <c r="I219" s="19">
        <f>'[82]Dipagloflozin Arm'!$N$5</f>
        <v>87.5</v>
      </c>
      <c r="J219" s="20">
        <f t="shared" si="10"/>
        <v>29.405587061541688</v>
      </c>
      <c r="K219" s="19"/>
      <c r="L219" s="19"/>
      <c r="M219" s="21"/>
      <c r="N219" s="22">
        <v>30400</v>
      </c>
      <c r="O219" s="22">
        <v>60899.999999999993</v>
      </c>
      <c r="P219" s="22">
        <f t="shared" si="11"/>
        <v>91300</v>
      </c>
      <c r="Q219" s="21">
        <f>(Data[[#This Row],[Total_fat_g]]/Data[[#This Row],[Total_mass_g]])*100</f>
        <v>33.296823658269439</v>
      </c>
      <c r="R219" s="21">
        <f>(Data[[#This Row],[Lean_mass_g]]/Data[[#This Row],[Total_mass_g]])*100</f>
        <v>66.703176341730554</v>
      </c>
      <c r="S219" s="21"/>
      <c r="T219" s="21">
        <v>10.43</v>
      </c>
      <c r="U219" s="21">
        <f>[105]Glucose!$C25</f>
        <v>5.0629999999999997</v>
      </c>
      <c r="V219" s="21">
        <f>[105]Insulin!$I41</f>
        <v>10.7865</v>
      </c>
      <c r="W219" s="21">
        <f>(Data[[#This Row],[Glucose (umol/L)]]*Data[[#This Row],[Insulin (umol/L)]])/22.5</f>
        <v>2.4272022</v>
      </c>
      <c r="X219" s="21">
        <f>[105]NEFA!$C24</f>
        <v>716.1</v>
      </c>
      <c r="Y219" s="21">
        <f>[105]TAG!$I6</f>
        <v>947.2</v>
      </c>
      <c r="Z219" s="21">
        <f>'[105]Ranbut 3-OHB'!$C24</f>
        <v>236.1</v>
      </c>
      <c r="AA219" s="21">
        <f>'[105]Apo B, HDL, Cholesterol, ALT'!$C$12</f>
        <v>4.32</v>
      </c>
      <c r="AB219" s="21">
        <f>'[105]Apo B, HDL, Cholesterol, ALT'!$J$12</f>
        <v>1.1299999999999999</v>
      </c>
      <c r="AC219" s="21">
        <f>Data[[#This Row],[total_chol (umol/L)]]-Data[[#This Row],[HDL_chol (umol/L)]]</f>
        <v>3.1900000000000004</v>
      </c>
      <c r="AD219" s="21">
        <f>Data[[#This Row],[Non_HDL (umol/L)]]-(Data[[#This Row],[TAG (umol/L)]]/2200)</f>
        <v>2.7594545454545458</v>
      </c>
      <c r="AE219" s="21">
        <f>[102]Lipoproteins!D$34</f>
        <v>515.2410900000001</v>
      </c>
      <c r="AF219" s="54">
        <v>3.5521704430118428E-3</v>
      </c>
      <c r="AG219" s="21">
        <f>'[103]VLDL__DNL data DAPA'!D$50</f>
        <v>2.4475535221113875</v>
      </c>
      <c r="AH219" s="23">
        <f>(Data[[#This Row],[DNL (%)]]/100)*Data[[#This Row],[VLDL (umol/L)]]</f>
        <v>12.610801445660107</v>
      </c>
      <c r="AI219" s="21">
        <f>[4]SAMPLES!$L$230</f>
        <v>25.713592044153412</v>
      </c>
      <c r="AJ219" s="61">
        <f>(Data[[#This Row],[Gluconeogensis (%)]]/100)*Data[[#This Row],[Glucose (umol/L)]]</f>
        <v>1.3018791651954871</v>
      </c>
      <c r="AK219" s="19"/>
    </row>
    <row r="220" spans="1:37" s="11" customFormat="1" x14ac:dyDescent="0.25">
      <c r="A220" s="19">
        <v>235</v>
      </c>
      <c r="B220" s="19" t="s">
        <v>279</v>
      </c>
      <c r="C220" s="19" t="s">
        <v>250</v>
      </c>
      <c r="D220" s="19">
        <v>2</v>
      </c>
      <c r="E220" s="19" t="s">
        <v>318</v>
      </c>
      <c r="F220" s="19" t="s">
        <v>228</v>
      </c>
      <c r="G220" s="19">
        <f>'[82]Dipagloflozin Arm'!$O$7</f>
        <v>50</v>
      </c>
      <c r="H220" s="19">
        <v>180.5</v>
      </c>
      <c r="I220" s="19">
        <f>'[82]Dipagloflozin Arm'!$R$5</f>
        <v>115.9</v>
      </c>
      <c r="J220" s="20">
        <f t="shared" si="10"/>
        <v>35.57369878991107</v>
      </c>
      <c r="K220" s="19"/>
      <c r="L220" s="19"/>
      <c r="M220" s="21"/>
      <c r="N220" s="22">
        <v>34300</v>
      </c>
      <c r="O220" s="22">
        <v>76146.300000000017</v>
      </c>
      <c r="P220" s="22">
        <f t="shared" si="11"/>
        <v>110446.30000000002</v>
      </c>
      <c r="Q220" s="21">
        <f>(Data[[#This Row],[Total_fat_g]]/Data[[#This Row],[Total_mass_g]])*100</f>
        <v>31.055816265461129</v>
      </c>
      <c r="R220" s="21">
        <f>(Data[[#This Row],[Lean_mass_g]]/Data[[#This Row],[Total_mass_g]])*100</f>
        <v>68.944183734538868</v>
      </c>
      <c r="S220" s="21"/>
      <c r="T220" s="21">
        <v>18.05</v>
      </c>
      <c r="U220" s="21">
        <f>[106]Glucose!$C25</f>
        <v>5.6719999999999997</v>
      </c>
      <c r="V220" s="21">
        <f>[106]Insulin!$I41</f>
        <v>34.271500000000003</v>
      </c>
      <c r="W220" s="21">
        <f>(Data[[#This Row],[Glucose (umol/L)]]*Data[[#This Row],[Insulin (umol/L)]])/22.5</f>
        <v>8.639464355555555</v>
      </c>
      <c r="X220" s="21">
        <f>[106]NEFA!$C24</f>
        <v>551</v>
      </c>
      <c r="Y220" s="21">
        <f>[106]TAG!$I6</f>
        <v>928</v>
      </c>
      <c r="Z220" s="21">
        <f>'[106]Ranbut 3-OHB'!$F24</f>
        <v>125.3</v>
      </c>
      <c r="AA220" s="21">
        <f>'[106]Apo B, HDL, Cholesterol, ALT'!$C$12</f>
        <v>5.31</v>
      </c>
      <c r="AB220" s="21">
        <f>'[106]Apo B, HDL, Cholesterol, ALT'!$J$12</f>
        <v>0.79</v>
      </c>
      <c r="AC220" s="21">
        <f>Data[[#This Row],[total_chol (umol/L)]]-Data[[#This Row],[HDL_chol (umol/L)]]</f>
        <v>4.5199999999999996</v>
      </c>
      <c r="AD220" s="21">
        <f>Data[[#This Row],[Non_HDL (umol/L)]]-(Data[[#This Row],[TAG (umol/L)]]/2200)</f>
        <v>4.0981818181818177</v>
      </c>
      <c r="AE220" s="21">
        <f>[102]Lipoproteins!E$34</f>
        <v>426.50381249999992</v>
      </c>
      <c r="AF220" s="54">
        <v>4.1060907248057135E-3</v>
      </c>
      <c r="AG220" s="21">
        <f>'[103]VLDL__DNL data DAPA'!E$50</f>
        <v>6.0236836572191645</v>
      </c>
      <c r="AH220" s="23">
        <f>(Data[[#This Row],[DNL (%)]]/100)*Data[[#This Row],[VLDL (umol/L)]]</f>
        <v>25.691240450979162</v>
      </c>
      <c r="AI220" s="21">
        <f>[4]SAMPLES!$L$231</f>
        <v>30.274599702199751</v>
      </c>
      <c r="AJ220" s="61">
        <f>(Data[[#This Row],[Gluconeogensis (%)]]/100)*Data[[#This Row],[Glucose (umol/L)]]</f>
        <v>1.7171752951087698</v>
      </c>
      <c r="AK220" s="19"/>
    </row>
    <row r="221" spans="1:37" s="11" customFormat="1" x14ac:dyDescent="0.25">
      <c r="A221" s="19">
        <v>236</v>
      </c>
      <c r="B221" s="19" t="s">
        <v>280</v>
      </c>
      <c r="C221" s="19" t="s">
        <v>250</v>
      </c>
      <c r="D221" s="19">
        <v>2</v>
      </c>
      <c r="E221" s="19" t="s">
        <v>318</v>
      </c>
      <c r="F221" s="19" t="s">
        <v>227</v>
      </c>
      <c r="G221" s="19">
        <f>'[82]Dipagloflozin Arm'!$S$7</f>
        <v>51</v>
      </c>
      <c r="H221" s="19">
        <v>160</v>
      </c>
      <c r="I221" s="19">
        <f>'[82]Dipagloflozin Arm'!$V$5</f>
        <v>92.7</v>
      </c>
      <c r="J221" s="20">
        <f t="shared" si="10"/>
        <v>36.210937499999993</v>
      </c>
      <c r="K221" s="19"/>
      <c r="L221" s="19"/>
      <c r="M221" s="21"/>
      <c r="N221" s="22">
        <v>46200</v>
      </c>
      <c r="O221" s="22">
        <v>49872.6</v>
      </c>
      <c r="P221" s="22">
        <f t="shared" si="11"/>
        <v>96072.6</v>
      </c>
      <c r="Q221" s="21">
        <f>(Data[[#This Row],[Total_fat_g]]/Data[[#This Row],[Total_mass_g]])*100</f>
        <v>48.088632971315434</v>
      </c>
      <c r="R221" s="21">
        <f>(Data[[#This Row],[Lean_mass_g]]/Data[[#This Row],[Total_mass_g]])*100</f>
        <v>51.911367028684552</v>
      </c>
      <c r="S221" s="21"/>
      <c r="T221" s="21">
        <v>13.77</v>
      </c>
      <c r="U221" s="21">
        <f>[107]Glucose!$C25</f>
        <v>5.569</v>
      </c>
      <c r="V221" s="21">
        <f>[107]Insulin!$I41</f>
        <v>22.6</v>
      </c>
      <c r="W221" s="21">
        <f>(Data[[#This Row],[Glucose (umol/L)]]*Data[[#This Row],[Insulin (umol/L)]])/22.5</f>
        <v>5.5937511111111116</v>
      </c>
      <c r="X221" s="21">
        <f>[107]NEFA!$C24</f>
        <v>1166.8</v>
      </c>
      <c r="Y221" s="21">
        <f>[107]TAG!$I6</f>
        <v>1530.2</v>
      </c>
      <c r="Z221" s="21">
        <f>'[107]Ranbut 3-OHB'!$C24</f>
        <v>147.9</v>
      </c>
      <c r="AA221" s="21">
        <f>'[107]Apo B, HDL, Cholesterol, ALT'!$C$12</f>
        <v>4.51</v>
      </c>
      <c r="AB221" s="21">
        <f>'[107]Apo B, HDL, Cholesterol, ALT'!$J$12</f>
        <v>1.57</v>
      </c>
      <c r="AC221" s="21">
        <f>Data[[#This Row],[total_chol (umol/L)]]-Data[[#This Row],[HDL_chol (umol/L)]]</f>
        <v>2.9399999999999995</v>
      </c>
      <c r="AD221" s="21">
        <f>Data[[#This Row],[Non_HDL (umol/L)]]-(Data[[#This Row],[TAG (umol/L)]]/2200)</f>
        <v>2.2444545454545448</v>
      </c>
      <c r="AE221" s="21">
        <f>[102]Lipoproteins!F$34</f>
        <v>918.38805374999993</v>
      </c>
      <c r="AF221" s="54">
        <v>5.3081990637571241E-3</v>
      </c>
      <c r="AG221" s="21">
        <f>'[103]VLDL__DNL data DAPA'!F$50</f>
        <v>12.675564293824282</v>
      </c>
      <c r="AH221" s="23">
        <f>(Data[[#This Row],[DNL (%)]]/100)*Data[[#This Row],[VLDL (umol/L)]]</f>
        <v>116.41086821988274</v>
      </c>
      <c r="AI221" s="21">
        <f>[4]SAMPLES!$L$232</f>
        <v>24.915666441315267</v>
      </c>
      <c r="AJ221" s="61">
        <f>(Data[[#This Row],[Gluconeogensis (%)]]/100)*Data[[#This Row],[Glucose (umol/L)]]</f>
        <v>1.3875534641168472</v>
      </c>
      <c r="AK221" s="19"/>
    </row>
    <row r="222" spans="1:37" s="11" customFormat="1" x14ac:dyDescent="0.25">
      <c r="A222" s="19">
        <v>237</v>
      </c>
      <c r="B222" s="19" t="s">
        <v>281</v>
      </c>
      <c r="C222" s="19" t="s">
        <v>250</v>
      </c>
      <c r="D222" s="19">
        <v>2</v>
      </c>
      <c r="E222" s="19" t="s">
        <v>318</v>
      </c>
      <c r="F222" s="19" t="s">
        <v>227</v>
      </c>
      <c r="G222" s="19">
        <f>'[82]Dipagloflozin Arm'!$W$7</f>
        <v>51</v>
      </c>
      <c r="H222" s="19">
        <v>162</v>
      </c>
      <c r="I222" s="19">
        <f>'[82]Dipagloflozin Arm'!$Z$5</f>
        <v>73.099999999999994</v>
      </c>
      <c r="J222" s="20">
        <f t="shared" si="10"/>
        <v>27.853985672915705</v>
      </c>
      <c r="K222" s="19"/>
      <c r="L222" s="19"/>
      <c r="M222" s="21"/>
      <c r="N222" s="22">
        <v>35800</v>
      </c>
      <c r="O222" s="22">
        <v>46930.2</v>
      </c>
      <c r="P222" s="22">
        <f t="shared" si="11"/>
        <v>82730.2</v>
      </c>
      <c r="Q222" s="21">
        <f>(Data[[#This Row],[Total_fat_g]]/Data[[#This Row],[Total_mass_g]])*100</f>
        <v>43.273194069396666</v>
      </c>
      <c r="R222" s="21">
        <f>(Data[[#This Row],[Lean_mass_g]]/Data[[#This Row],[Total_mass_g]])*100</f>
        <v>56.726805930603334</v>
      </c>
      <c r="S222" s="21"/>
      <c r="T222" s="21">
        <v>19.5</v>
      </c>
      <c r="U222" s="21">
        <f>[108]Glucose!$C25</f>
        <v>5.3520000000000003</v>
      </c>
      <c r="V222" s="21">
        <f>[108]Insulin!$I41</f>
        <v>24.243000000000002</v>
      </c>
      <c r="W222" s="21">
        <f>(Data[[#This Row],[Glucose (umol/L)]]*Data[[#This Row],[Insulin (umol/L)]])/22.5</f>
        <v>5.7666016000000013</v>
      </c>
      <c r="X222" s="21">
        <f>[108]NEFA!$C24</f>
        <v>540.20000000000005</v>
      </c>
      <c r="Y222" s="21">
        <f>[108]TAG!$I6</f>
        <v>1040.3</v>
      </c>
      <c r="Z222" s="21">
        <f>'[108]Ranbut 3-OHB'!$C24</f>
        <v>30</v>
      </c>
      <c r="AA222" s="21">
        <f>'[108]Apo B, HDL, Cholesterol, ALT'!$C$12</f>
        <v>3.33</v>
      </c>
      <c r="AB222" s="21">
        <f>'[108]Apo B, HDL, Cholesterol, ALT'!$J$12</f>
        <v>1.06</v>
      </c>
      <c r="AC222" s="21">
        <f>Data[[#This Row],[total_chol (umol/L)]]-Data[[#This Row],[HDL_chol (umol/L)]]</f>
        <v>2.27</v>
      </c>
      <c r="AD222" s="21">
        <f>Data[[#This Row],[Non_HDL (umol/L)]]-(Data[[#This Row],[TAG (umol/L)]]/2200)</f>
        <v>1.7971363636363638</v>
      </c>
      <c r="AE222" s="21">
        <f>[102]Lipoproteins!G$34</f>
        <v>414.16085250000009</v>
      </c>
      <c r="AF222" s="54">
        <v>4.3574424974542414E-3</v>
      </c>
      <c r="AG222" s="21">
        <f>'[103]VLDL__DNL data DAPA'!G$50</f>
        <v>4.9354184315274434</v>
      </c>
      <c r="AH222" s="23">
        <f>(Data[[#This Row],[DNL (%)]]/100)*Data[[#This Row],[VLDL (umol/L)]]</f>
        <v>20.440571050456192</v>
      </c>
      <c r="AI222" s="21">
        <f>[4]SAMPLES!$L$233</f>
        <v>18.061697524720447</v>
      </c>
      <c r="AJ222" s="61">
        <f>(Data[[#This Row],[Gluconeogensis (%)]]/100)*Data[[#This Row],[Glucose (umol/L)]]</f>
        <v>0.9666620515230383</v>
      </c>
      <c r="AK222" s="19"/>
    </row>
    <row r="223" spans="1:37" s="19" customFormat="1" x14ac:dyDescent="0.25">
      <c r="A223" s="19">
        <v>238</v>
      </c>
      <c r="B223" s="19" t="s">
        <v>282</v>
      </c>
      <c r="C223" s="19" t="s">
        <v>250</v>
      </c>
      <c r="D223" s="19">
        <v>2</v>
      </c>
      <c r="E223" s="19" t="s">
        <v>318</v>
      </c>
      <c r="F223" s="19" t="s">
        <v>228</v>
      </c>
      <c r="G223" s="19">
        <f>'[82]Dipagloflozin Arm'!$AA$7</f>
        <v>54</v>
      </c>
      <c r="H223" s="19">
        <v>172.5</v>
      </c>
      <c r="I223" s="19">
        <f>'[82]Dipagloflozin Arm'!$AD$5</f>
        <v>89.9</v>
      </c>
      <c r="J223" s="20">
        <f t="shared" si="10"/>
        <v>30.212140306658263</v>
      </c>
      <c r="M223" s="21"/>
      <c r="N223" s="22">
        <v>43200</v>
      </c>
      <c r="O223" s="22">
        <v>51063.200000000004</v>
      </c>
      <c r="P223" s="22">
        <f t="shared" si="11"/>
        <v>94263.200000000012</v>
      </c>
      <c r="Q223" s="21">
        <f>(Data[[#This Row],[Total_fat_g]]/Data[[#This Row],[Total_mass_g]])*100</f>
        <v>45.829125257788824</v>
      </c>
      <c r="R223" s="21">
        <f>(Data[[#This Row],[Lean_mass_g]]/Data[[#This Row],[Total_mass_g]])*100</f>
        <v>54.170874742211176</v>
      </c>
      <c r="S223" s="21"/>
      <c r="T223" s="21">
        <v>12.71</v>
      </c>
      <c r="U223" s="21">
        <f>[109]Glucose!$C25</f>
        <v>5.617</v>
      </c>
      <c r="V223" s="21">
        <f>[109]Insulin!$I41</f>
        <v>23.824000000000002</v>
      </c>
      <c r="W223" s="21">
        <f>(Data[[#This Row],[Glucose (umol/L)]]*Data[[#This Row],[Insulin (umol/L)]])/22.5</f>
        <v>5.9475292444444445</v>
      </c>
      <c r="X223" s="21">
        <f>[109]NEFA!$F24</f>
        <v>859.05</v>
      </c>
      <c r="Y223" s="21">
        <f>[109]TAG!$I6</f>
        <v>1866.2</v>
      </c>
      <c r="Z223" s="21">
        <f>'[109]Ranbut 3-OHB'!$F24</f>
        <v>112.1</v>
      </c>
      <c r="AA223" s="21">
        <f>'[109]Apo B, HDL, Cholesterol, ALT'!$C$12</f>
        <v>4.93</v>
      </c>
      <c r="AB223" s="21">
        <f>'[109]Apo B, HDL, Cholesterol, ALT'!$J$12</f>
        <v>1.29</v>
      </c>
      <c r="AC223" s="21">
        <f>Data[[#This Row],[total_chol (umol/L)]]-Data[[#This Row],[HDL_chol (umol/L)]]</f>
        <v>3.6399999999999997</v>
      </c>
      <c r="AD223" s="21">
        <f>Data[[#This Row],[Non_HDL (umol/L)]]-(Data[[#This Row],[TAG (umol/L)]]/2200)</f>
        <v>2.7917272727272726</v>
      </c>
      <c r="AE223" s="21">
        <f>[102]Lipoproteins!H$34</f>
        <v>962.02130625000007</v>
      </c>
      <c r="AF223" s="54">
        <v>4.7619673162328053E-3</v>
      </c>
      <c r="AG223" s="21">
        <f>'[103]VLDL__DNL data DAPA'!H$50</f>
        <v>6.6454148728880194</v>
      </c>
      <c r="AH223" s="23">
        <f>(Data[[#This Row],[DNL (%)]]/100)*Data[[#This Row],[VLDL (umol/L)]]</f>
        <v>63.930306965889109</v>
      </c>
      <c r="AI223" s="21">
        <f>[4]SAMPLES!$L$234</f>
        <v>24.552553840431351</v>
      </c>
      <c r="AJ223" s="61">
        <f>(Data[[#This Row],[Gluconeogensis (%)]]/100)*Data[[#This Row],[Glucose (umol/L)]]</f>
        <v>1.379116949217029</v>
      </c>
      <c r="AK223"/>
    </row>
    <row r="224" spans="1:37" s="19" customFormat="1" x14ac:dyDescent="0.25">
      <c r="A224" s="19">
        <v>239</v>
      </c>
      <c r="B224" s="19" t="s">
        <v>283</v>
      </c>
      <c r="C224" s="19" t="s">
        <v>250</v>
      </c>
      <c r="D224" s="19">
        <v>2</v>
      </c>
      <c r="E224" s="19" t="s">
        <v>318</v>
      </c>
      <c r="F224" s="19" t="s">
        <v>227</v>
      </c>
      <c r="G224" s="19">
        <f>'[82]Dipagloflozin Arm'!$AE$7</f>
        <v>50</v>
      </c>
      <c r="H224" s="19">
        <v>175</v>
      </c>
      <c r="I224" s="19">
        <f>'[82]Dipagloflozin Arm'!$AH$5</f>
        <v>81.900000000000006</v>
      </c>
      <c r="J224" s="20">
        <f t="shared" si="10"/>
        <v>26.742857142857144</v>
      </c>
      <c r="M224" s="21"/>
      <c r="N224" s="22">
        <v>21900</v>
      </c>
      <c r="O224" s="22">
        <v>63963.9</v>
      </c>
      <c r="P224" s="22">
        <f t="shared" si="11"/>
        <v>85863.9</v>
      </c>
      <c r="Q224" s="21">
        <f>(Data[[#This Row],[Total_fat_g]]/Data[[#This Row],[Total_mass_g]])*100</f>
        <v>25.505480184338243</v>
      </c>
      <c r="R224" s="21">
        <f>(Data[[#This Row],[Lean_mass_g]]/Data[[#This Row],[Total_mass_g]])*100</f>
        <v>74.494519815661761</v>
      </c>
      <c r="S224" s="21"/>
      <c r="T224" s="21">
        <v>19.22</v>
      </c>
      <c r="U224" s="21">
        <f>[110]Glucose!$C25</f>
        <v>5.6470000000000002</v>
      </c>
      <c r="V224" s="21">
        <f>[110]Insulin!$I41</f>
        <v>13.843499999999999</v>
      </c>
      <c r="W224" s="21">
        <f>(Data[[#This Row],[Glucose (umol/L)]]*Data[[#This Row],[Insulin (umol/L)]])/22.5</f>
        <v>3.4744108666666667</v>
      </c>
      <c r="X224" s="21">
        <f>[110]NEFA!$F24</f>
        <v>444.9</v>
      </c>
      <c r="Y224" s="21">
        <f>[110]TAG!$I6</f>
        <v>956.19999999999993</v>
      </c>
      <c r="Z224" s="21">
        <f>'[110]Ranbut 3-OHB'!$F24</f>
        <v>184.9</v>
      </c>
      <c r="AA224" s="21">
        <f>'[110]Apo B, HDL, Cholesterol, ALT'!$C$12</f>
        <v>4.41</v>
      </c>
      <c r="AB224" s="21">
        <f>'[110]Apo B, HDL, Cholesterol, ALT'!$J$12</f>
        <v>1.44</v>
      </c>
      <c r="AC224" s="21">
        <f>Data[[#This Row],[total_chol (umol/L)]]-Data[[#This Row],[HDL_chol (umol/L)]]</f>
        <v>2.97</v>
      </c>
      <c r="AD224" s="21">
        <f>Data[[#This Row],[Non_HDL (umol/L)]]-(Data[[#This Row],[TAG (umol/L)]]/2200)</f>
        <v>2.5353636363636367</v>
      </c>
      <c r="AE224" s="21">
        <f>[102]Lipoproteins!I$34</f>
        <v>384.33187500000003</v>
      </c>
      <c r="AF224" s="54">
        <v>3.7640491791585107E-3</v>
      </c>
      <c r="AG224" s="21">
        <f>'[103]VLDL__DNL data DAPA'!I$50</f>
        <v>11.627677711989266</v>
      </c>
      <c r="AH224" s="23">
        <f>(Data[[#This Row],[DNL (%)]]/100)*Data[[#This Row],[VLDL (umol/L)]]</f>
        <v>44.688871769445448</v>
      </c>
      <c r="AI224" s="21">
        <f>[4]SAMPLES!$L$235</f>
        <v>28.591858761792992</v>
      </c>
      <c r="AJ224" s="61">
        <f>(Data[[#This Row],[Gluconeogensis (%)]]/100)*Data[[#This Row],[Glucose (umol/L)]]</f>
        <v>1.6145822642784504</v>
      </c>
      <c r="AK224"/>
    </row>
    <row r="225" spans="1:37" s="19" customFormat="1" x14ac:dyDescent="0.25">
      <c r="A225" s="19">
        <v>240</v>
      </c>
      <c r="B225" s="19" t="s">
        <v>284</v>
      </c>
      <c r="C225" s="19" t="s">
        <v>250</v>
      </c>
      <c r="D225" s="19">
        <v>2</v>
      </c>
      <c r="E225" s="19" t="s">
        <v>318</v>
      </c>
      <c r="F225" s="19" t="s">
        <v>227</v>
      </c>
      <c r="G225" s="19">
        <f>'[82]Dipagloflozin Arm'!$AI$7</f>
        <v>49</v>
      </c>
      <c r="H225" s="19">
        <v>165.5</v>
      </c>
      <c r="I225" s="19">
        <f>'[82]Dipagloflozin Arm'!$AL$5</f>
        <v>99.1</v>
      </c>
      <c r="J225" s="20">
        <f t="shared" si="10"/>
        <v>36.180757751389635</v>
      </c>
      <c r="M225" s="21"/>
      <c r="N225" s="22">
        <v>47300</v>
      </c>
      <c r="O225" s="22">
        <v>52225.700000000004</v>
      </c>
      <c r="P225" s="22">
        <f t="shared" si="11"/>
        <v>99525.700000000012</v>
      </c>
      <c r="Q225" s="21">
        <f>(Data[[#This Row],[Total_fat_g]]/Data[[#This Row],[Total_mass_g]])*100</f>
        <v>47.525413034020353</v>
      </c>
      <c r="R225" s="21">
        <f>(Data[[#This Row],[Lean_mass_g]]/Data[[#This Row],[Total_mass_g]])*100</f>
        <v>52.47458696597964</v>
      </c>
      <c r="S225" s="21"/>
      <c r="T225" s="21">
        <v>27.94</v>
      </c>
      <c r="U225" s="21">
        <f>[111]Glucose!$C25</f>
        <v>5.74</v>
      </c>
      <c r="V225" s="21">
        <f>[111]Insulin!$I41</f>
        <v>25.286000000000001</v>
      </c>
      <c r="W225" s="21">
        <f>(Data[[#This Row],[Glucose (umol/L)]]*Data[[#This Row],[Insulin (umol/L)]])/22.5</f>
        <v>6.4507395555555567</v>
      </c>
      <c r="X225" s="21">
        <f>[111]NEFA!$F24</f>
        <v>497.8</v>
      </c>
      <c r="Y225" s="21">
        <f>[111]TAG!$I6</f>
        <v>1334.1000000000001</v>
      </c>
      <c r="Z225" s="21">
        <f>'[111]Ranbut 3-OHB'!$F24</f>
        <v>124.1</v>
      </c>
      <c r="AA225" s="21">
        <f>'[111]Apo B, HDL, Cholesterol, ALT'!$C$12</f>
        <v>6.53</v>
      </c>
      <c r="AB225" s="21">
        <f>'[111]Apo B, HDL, Cholesterol, ALT'!$J$12</f>
        <v>1.69</v>
      </c>
      <c r="AC225" s="21">
        <f>Data[[#This Row],[total_chol (umol/L)]]-Data[[#This Row],[HDL_chol (umol/L)]]</f>
        <v>4.84</v>
      </c>
      <c r="AD225" s="21">
        <f>Data[[#This Row],[Non_HDL (umol/L)]]-(Data[[#This Row],[TAG (umol/L)]]/2200)</f>
        <v>4.2335909090909087</v>
      </c>
      <c r="AE225" s="21">
        <f>[102]Lipoproteins!J$34</f>
        <v>767.81031750000011</v>
      </c>
      <c r="AF225" s="54">
        <v>5.2190926266549083E-3</v>
      </c>
      <c r="AG225" s="21">
        <f>'[103]VLDL__DNL data DAPA'!J$50</f>
        <v>3.2308622312145512</v>
      </c>
      <c r="AH225" s="23">
        <f>(Data[[#This Row],[DNL (%)]]/100)*Data[[#This Row],[VLDL (umol/L)]]</f>
        <v>24.806893555476034</v>
      </c>
      <c r="AI225" s="21">
        <f>[4]SAMPLES!$L$236</f>
        <v>23.029154535227185</v>
      </c>
      <c r="AJ225" s="61">
        <f>(Data[[#This Row],[Gluconeogensis (%)]]/100)*Data[[#This Row],[Glucose (umol/L)]]</f>
        <v>1.3218734703220405</v>
      </c>
      <c r="AK225"/>
    </row>
    <row r="226" spans="1:37" s="19" customFormat="1" x14ac:dyDescent="0.25">
      <c r="A226" s="19">
        <v>241</v>
      </c>
      <c r="B226" s="19" t="s">
        <v>285</v>
      </c>
      <c r="C226" s="19" t="s">
        <v>250</v>
      </c>
      <c r="D226" s="19">
        <v>2</v>
      </c>
      <c r="E226" s="19" t="s">
        <v>318</v>
      </c>
      <c r="F226" s="19" t="s">
        <v>227</v>
      </c>
      <c r="G226" s="19">
        <f>'[82]Metformin Arm '!$AQ$7</f>
        <v>46</v>
      </c>
      <c r="H226" s="19">
        <v>159.49999999999997</v>
      </c>
      <c r="I226" s="19">
        <f>'[82]Dipagloflozin Arm'!$AP$5</f>
        <v>89.2</v>
      </c>
      <c r="J226" s="20">
        <f t="shared" si="10"/>
        <v>35.062548520553072</v>
      </c>
      <c r="M226" s="21"/>
      <c r="N226" s="22">
        <v>39900</v>
      </c>
      <c r="O226" s="22">
        <v>53609.200000000004</v>
      </c>
      <c r="P226" s="22">
        <f t="shared" si="11"/>
        <v>93509.200000000012</v>
      </c>
      <c r="Q226" s="21">
        <f>(Data[[#This Row],[Total_fat_g]]/Data[[#This Row],[Total_mass_g]])*100</f>
        <v>42.669598285516287</v>
      </c>
      <c r="R226" s="21">
        <f>(Data[[#This Row],[Lean_mass_g]]/Data[[#This Row],[Total_mass_g]])*100</f>
        <v>57.330401714483706</v>
      </c>
      <c r="S226" s="21"/>
      <c r="T226" s="21">
        <v>7.14</v>
      </c>
      <c r="U226" s="21">
        <f>[112]Glucose!$F25</f>
        <v>4.9390000000000001</v>
      </c>
      <c r="V226" s="21">
        <f>[112]Insulin!$I41</f>
        <v>25.321000000000002</v>
      </c>
      <c r="W226" s="21">
        <f>(Data[[#This Row],[Glucose (umol/L)]]*Data[[#This Row],[Insulin (umol/L)]])/22.5</f>
        <v>5.5582408444444447</v>
      </c>
      <c r="X226" s="21">
        <f>[112]NEFA!$F24</f>
        <v>372.9</v>
      </c>
      <c r="Y226" s="21">
        <f>[112]TAG!$I6</f>
        <v>1333.7</v>
      </c>
      <c r="Z226" s="69">
        <f>'[112]Ranbut 3-OHB'!$F24</f>
        <v>322.2</v>
      </c>
      <c r="AA226" s="21">
        <f>'[112]Apo B, HDL, Cholesterol, ALT'!$C$12</f>
        <v>5</v>
      </c>
      <c r="AB226" s="21">
        <f>'[112]Apo B, HDL, Cholesterol, ALT'!$J$12</f>
        <v>0.61</v>
      </c>
      <c r="AC226" s="21">
        <f>Data[[#This Row],[total_chol (umol/L)]]-Data[[#This Row],[HDL_chol (umol/L)]]</f>
        <v>4.3899999999999997</v>
      </c>
      <c r="AD226" s="21">
        <f>Data[[#This Row],[Non_HDL (umol/L)]]-(Data[[#This Row],[TAG (umol/L)]]/2200)</f>
        <v>3.7837727272727268</v>
      </c>
      <c r="AE226" s="21">
        <f>[102]Lipoproteins!K$34</f>
        <v>789.1733925000002</v>
      </c>
      <c r="AF226" s="54">
        <v>4.4955494101482189E-3</v>
      </c>
      <c r="AG226" s="21">
        <f>'[103]VLDL__DNL data DAPA'!K$50</f>
        <v>3.2939602488675135</v>
      </c>
      <c r="AH226" s="23">
        <f>(Data[[#This Row],[DNL (%)]]/100)*Data[[#This Row],[VLDL (umol/L)]]</f>
        <v>25.995057843589205</v>
      </c>
      <c r="AI226" s="21">
        <f>[4]SAMPLES!$L$237</f>
        <v>29.461788621306805</v>
      </c>
      <c r="AJ226" s="61">
        <f>(Data[[#This Row],[Gluconeogensis (%)]]/100)*Data[[#This Row],[Glucose (umol/L)]]</f>
        <v>1.4551177400063431</v>
      </c>
      <c r="AK226"/>
    </row>
    <row r="227" spans="1:37" s="19" customFormat="1" x14ac:dyDescent="0.25">
      <c r="A227" s="15">
        <v>244</v>
      </c>
      <c r="B227" s="15" t="s">
        <v>361</v>
      </c>
      <c r="C227" s="15" t="s">
        <v>56</v>
      </c>
      <c r="D227" s="15" t="s">
        <v>387</v>
      </c>
      <c r="E227" s="15"/>
      <c r="F227" s="15" t="s">
        <v>228</v>
      </c>
      <c r="G227" s="15">
        <v>50</v>
      </c>
      <c r="H227" s="15">
        <v>172</v>
      </c>
      <c r="I227" s="15">
        <f>'[118]Anthro data'!$B$41</f>
        <v>90.7</v>
      </c>
      <c r="J227" s="16">
        <f t="shared" si="10"/>
        <v>30.65846403461331</v>
      </c>
      <c r="K227" s="15">
        <f>'[118]Anthro data'!$B$44</f>
        <v>102</v>
      </c>
      <c r="L227" s="15">
        <f>'[118]Anthro data'!$B$45</f>
        <v>105</v>
      </c>
      <c r="M227" s="17">
        <f>Data[[#This Row],[Waist_Circumference]]/Data[[#This Row],[Hip_circumference]]</f>
        <v>0.97142857142857142</v>
      </c>
      <c r="N227" s="45"/>
      <c r="O227" s="45"/>
      <c r="P227" s="45"/>
      <c r="Q227" s="67"/>
      <c r="R227" s="67"/>
      <c r="S227" s="67"/>
      <c r="T227" s="17">
        <f>'[119]For SPSS'!$AD$2</f>
        <v>7.9</v>
      </c>
      <c r="U227" s="17">
        <f>'[119]For SPSS'!$AG$2</f>
        <v>5.056</v>
      </c>
      <c r="V227" s="17">
        <f>'[119]For SPSS'!$AI$2</f>
        <v>15.907499999999999</v>
      </c>
      <c r="W227" s="17">
        <f>(Data[[#This Row],[Glucose (umol/L)]]*Data[[#This Row],[Insulin (umol/L)]])/22.5</f>
        <v>3.574592</v>
      </c>
      <c r="X227" s="17">
        <f>'[119]For SPSS'!$AK$2</f>
        <v>176.9</v>
      </c>
      <c r="Y227" s="17">
        <f>'[119]For SPSS'!$AM$2</f>
        <v>1356.6</v>
      </c>
      <c r="Z227" s="17">
        <f>'[120]Ranbut 3OHB'!$B$24</f>
        <v>31</v>
      </c>
      <c r="AA227" s="17">
        <f>[120]Cholesterol!$B$24</f>
        <v>5.39</v>
      </c>
      <c r="AB227" s="17">
        <f>[120]HDL!$B$24</f>
        <v>0.96</v>
      </c>
      <c r="AC227" s="17">
        <f>Data[[#This Row],[total_chol (umol/L)]]-Data[[#This Row],[HDL_chol (umol/L)]]</f>
        <v>4.43</v>
      </c>
      <c r="AD227" s="17">
        <f>Data[[#This Row],[Non_HDL (umol/L)]]-(Data[[#This Row],[TAG (umol/L)]]/2200)</f>
        <v>3.8133636363636363</v>
      </c>
      <c r="AE227" s="17">
        <v>861.19416000000012</v>
      </c>
      <c r="AF227" s="50">
        <f>'[121]plasma H2O'!$B$13</f>
        <v>3.1947786499823107E-3</v>
      </c>
      <c r="AG227" s="17">
        <f>'[121]16 DNL'!$B$15</f>
        <v>16.510810224423832</v>
      </c>
      <c r="AH227" s="23">
        <f>(Data[[#This Row],[DNL (%)]]/100)*Data[[#This Row],[VLDL (umol/L)]]</f>
        <v>142.19013342142097</v>
      </c>
      <c r="AI227" s="17">
        <f>[4]SAMPLES!$L$125</f>
        <v>21.477653012421836</v>
      </c>
      <c r="AJ227" s="56">
        <f>(Data[[#This Row],[Gluconeogensis (%)]]/100)*Data[[#This Row],[Glucose (umol/L)]]</f>
        <v>1.0859101363080479</v>
      </c>
      <c r="AK227" s="15"/>
    </row>
    <row r="228" spans="1:37" s="19" customFormat="1" x14ac:dyDescent="0.25">
      <c r="A228" s="15">
        <v>245</v>
      </c>
      <c r="B228" s="15" t="s">
        <v>362</v>
      </c>
      <c r="C228" s="15" t="s">
        <v>58</v>
      </c>
      <c r="D228" s="15" t="s">
        <v>387</v>
      </c>
      <c r="E228" s="15"/>
      <c r="F228" s="15" t="s">
        <v>228</v>
      </c>
      <c r="G228" s="15">
        <v>45</v>
      </c>
      <c r="H228" s="15">
        <v>173</v>
      </c>
      <c r="I228" s="15">
        <f>'[118]Anthro data'!$D$41</f>
        <v>91.4</v>
      </c>
      <c r="J228" s="16">
        <f t="shared" si="10"/>
        <v>30.538942163119383</v>
      </c>
      <c r="K228" s="15">
        <f>'[118]Anthro data'!$D$44</f>
        <v>99</v>
      </c>
      <c r="L228" s="15">
        <f>'[118]Anthro data'!$D$45</f>
        <v>104</v>
      </c>
      <c r="M228" s="17">
        <f>Data[[#This Row],[Waist_Circumference]]/Data[[#This Row],[Hip_circumference]]</f>
        <v>0.95192307692307687</v>
      </c>
      <c r="N228" s="45"/>
      <c r="O228" s="45"/>
      <c r="P228" s="45"/>
      <c r="Q228" s="67"/>
      <c r="R228" s="67"/>
      <c r="S228" s="67"/>
      <c r="T228" s="17">
        <f>'[119]For SPSS'!$AD$4</f>
        <v>1.9</v>
      </c>
      <c r="U228" s="17">
        <f>'[119]For SPSS'!$AG$4</f>
        <v>5.17</v>
      </c>
      <c r="V228" s="17">
        <f>'[119]For SPSS'!$AI$4</f>
        <v>13.665500000000002</v>
      </c>
      <c r="W228" s="17">
        <f>(Data[[#This Row],[Glucose (umol/L)]]*Data[[#This Row],[Insulin (umol/L)]])/22.5</f>
        <v>3.1400282222222224</v>
      </c>
      <c r="X228" s="17">
        <f>'[119]For SPSS'!$AK$4</f>
        <v>498.7</v>
      </c>
      <c r="Y228" s="17">
        <f>'[119]For SPSS'!$AM$4</f>
        <v>1870.1999999999998</v>
      </c>
      <c r="Z228" s="17">
        <f>'[120]Ranbut 3OHB'!$D$24</f>
        <v>43.2</v>
      </c>
      <c r="AA228" s="17">
        <f>[120]Cholesterol!$D$24</f>
        <v>6.02</v>
      </c>
      <c r="AB228" s="17">
        <f>[120]HDL!$D$24</f>
        <v>1.3</v>
      </c>
      <c r="AC228" s="17">
        <f>Data[[#This Row],[total_chol (umol/L)]]-Data[[#This Row],[HDL_chol (umol/L)]]</f>
        <v>4.72</v>
      </c>
      <c r="AD228" s="17">
        <f>Data[[#This Row],[Non_HDL (umol/L)]]-(Data[[#This Row],[TAG (umol/L)]]/2200)</f>
        <v>3.8699090909090907</v>
      </c>
      <c r="AE228" s="17">
        <v>1134</v>
      </c>
      <c r="AF228" s="50">
        <f>'[121]plasma H2O'!$D$13</f>
        <v>3.1298154076225618E-3</v>
      </c>
      <c r="AG228" s="17">
        <f>'[121]16 DNL'!$D$15</f>
        <v>21.345178790313671</v>
      </c>
      <c r="AH228" s="23">
        <f>(Data[[#This Row],[DNL (%)]]/100)*Data[[#This Row],[VLDL (umol/L)]]</f>
        <v>242.05432748215702</v>
      </c>
      <c r="AI228" s="17">
        <f>[4]SAMPLES!$L$126</f>
        <v>29.935354871070409</v>
      </c>
      <c r="AJ228" s="56">
        <f>(Data[[#This Row],[Gluconeogensis (%)]]/100)*Data[[#This Row],[Glucose (umol/L)]]</f>
        <v>1.54765784683434</v>
      </c>
      <c r="AK228" s="15"/>
    </row>
    <row r="229" spans="1:37" s="19" customFormat="1" x14ac:dyDescent="0.25">
      <c r="A229" s="15">
        <v>246</v>
      </c>
      <c r="B229" s="15" t="s">
        <v>363</v>
      </c>
      <c r="C229" s="15" t="s">
        <v>60</v>
      </c>
      <c r="D229" s="15" t="s">
        <v>387</v>
      </c>
      <c r="E229" s="15"/>
      <c r="F229" s="15" t="s">
        <v>228</v>
      </c>
      <c r="G229" s="15">
        <v>37</v>
      </c>
      <c r="H229" s="15">
        <v>177</v>
      </c>
      <c r="I229" s="15">
        <f>'[118]Anthro data'!$E$41</f>
        <v>89.5</v>
      </c>
      <c r="J229" s="16">
        <f t="shared" si="10"/>
        <v>28.567780650515495</v>
      </c>
      <c r="K229" s="15">
        <f>'[118]Anthro data'!$E$44</f>
        <v>95</v>
      </c>
      <c r="L229" s="15">
        <f>'[118]Anthro data'!$E$45</f>
        <v>103</v>
      </c>
      <c r="M229" s="17">
        <f>Data[[#This Row],[Waist_Circumference]]/Data[[#This Row],[Hip_circumference]]</f>
        <v>0.92233009708737868</v>
      </c>
      <c r="N229" s="45"/>
      <c r="O229" s="45"/>
      <c r="P229" s="45"/>
      <c r="Q229" s="67"/>
      <c r="R229" s="67"/>
      <c r="S229" s="67"/>
      <c r="T229" s="17">
        <f>'[119]For SPSS'!$AD$5</f>
        <v>11.3</v>
      </c>
      <c r="U229" s="17">
        <f>'[119]For SPSS'!$AG$5</f>
        <v>5.4409999999999998</v>
      </c>
      <c r="V229" s="17">
        <f>'[119]For SPSS'!$AI$5</f>
        <v>16.105499999999999</v>
      </c>
      <c r="W229" s="17">
        <f>(Data[[#This Row],[Glucose (umol/L)]]*Data[[#This Row],[Insulin (umol/L)]])/22.5</f>
        <v>3.8946677999999997</v>
      </c>
      <c r="X229" s="17">
        <f>'[119]For SPSS'!$AK$5</f>
        <v>294.7</v>
      </c>
      <c r="Y229" s="17">
        <f>'[119]For SPSS'!$AM$5</f>
        <v>3146.1</v>
      </c>
      <c r="Z229" s="17">
        <f>'[120]Ranbut 3OHB'!$E$24</f>
        <v>29.1</v>
      </c>
      <c r="AA229" s="17">
        <f>[120]Cholesterol!$E$24</f>
        <v>5.43</v>
      </c>
      <c r="AB229" s="17">
        <f>[120]HDL!$E$24</f>
        <v>1.1399999999999999</v>
      </c>
      <c r="AC229" s="17">
        <f>Data[[#This Row],[total_chol (umol/L)]]-Data[[#This Row],[HDL_chol (umol/L)]]</f>
        <v>4.29</v>
      </c>
      <c r="AD229" s="17">
        <f>Data[[#This Row],[Non_HDL (umol/L)]]-(Data[[#This Row],[TAG (umol/L)]]/2200)</f>
        <v>2.8599545454545456</v>
      </c>
      <c r="AE229" s="17">
        <v>2240.6963775000004</v>
      </c>
      <c r="AF229" s="50">
        <f>'[121]plasma H2O'!$E$13</f>
        <v>2.3762434835562598E-3</v>
      </c>
      <c r="AG229" s="17">
        <f>'[121]16 DNL'!$E$15</f>
        <v>12.500400798610315</v>
      </c>
      <c r="AH229" s="23">
        <f>(Data[[#This Row],[DNL (%)]]/100)*Data[[#This Row],[VLDL (umol/L)]]</f>
        <v>280.09602786744244</v>
      </c>
      <c r="AI229" s="17">
        <f>[4]SAMPLES!$L$127</f>
        <v>25.892951523919113</v>
      </c>
      <c r="AJ229" s="56">
        <f>(Data[[#This Row],[Gluconeogensis (%)]]/100)*Data[[#This Row],[Glucose (umol/L)]]</f>
        <v>1.4088354924164388</v>
      </c>
      <c r="AK229" s="15"/>
    </row>
    <row r="230" spans="1:37" s="19" customFormat="1" x14ac:dyDescent="0.25">
      <c r="A230" s="15">
        <v>247</v>
      </c>
      <c r="B230" s="15" t="s">
        <v>364</v>
      </c>
      <c r="C230" s="15" t="s">
        <v>62</v>
      </c>
      <c r="D230" s="15" t="s">
        <v>387</v>
      </c>
      <c r="E230" s="15"/>
      <c r="F230" s="15" t="s">
        <v>228</v>
      </c>
      <c r="G230" s="15">
        <v>48</v>
      </c>
      <c r="H230" s="15">
        <v>180</v>
      </c>
      <c r="I230" s="15">
        <f>'[118]Anthro data'!$F$41</f>
        <v>90.6</v>
      </c>
      <c r="J230" s="16">
        <f t="shared" si="10"/>
        <v>27.962962962962958</v>
      </c>
      <c r="K230" s="15">
        <f>'[118]Anthro data'!$F$44</f>
        <v>94</v>
      </c>
      <c r="L230" s="15">
        <f>'[118]Anthro data'!$F$45</f>
        <v>101</v>
      </c>
      <c r="M230" s="17">
        <f>Data[[#This Row],[Waist_Circumference]]/Data[[#This Row],[Hip_circumference]]</f>
        <v>0.93069306930693074</v>
      </c>
      <c r="N230" s="45"/>
      <c r="O230" s="45"/>
      <c r="P230" s="45"/>
      <c r="Q230" s="67"/>
      <c r="R230" s="67"/>
      <c r="S230" s="67"/>
      <c r="T230" s="17">
        <f>'[119]For SPSS'!$AD$6</f>
        <v>1.9</v>
      </c>
      <c r="U230" s="17">
        <f>'[119]For SPSS'!$AG$6</f>
        <v>5.3949999999999996</v>
      </c>
      <c r="V230" s="17">
        <f>'[119]For SPSS'!$AI$6</f>
        <v>11.224</v>
      </c>
      <c r="W230" s="17">
        <f>(Data[[#This Row],[Glucose (umol/L)]]*Data[[#This Row],[Insulin (umol/L)]])/22.5</f>
        <v>2.6912657777777773</v>
      </c>
      <c r="X230" s="17">
        <f>'[119]For SPSS'!$AK$6</f>
        <v>176.5</v>
      </c>
      <c r="Y230" s="17">
        <f>'[119]For SPSS'!$AM$6</f>
        <v>1387.8</v>
      </c>
      <c r="Z230" s="17">
        <f>'[120]Ranbut 3OHB'!$F$24</f>
        <v>24.5</v>
      </c>
      <c r="AA230" s="17">
        <f>[120]Cholesterol!$F$24</f>
        <v>3.71</v>
      </c>
      <c r="AB230" s="17">
        <f>[120]HDL!$F$24</f>
        <v>0.85</v>
      </c>
      <c r="AC230" s="17">
        <f>Data[[#This Row],[total_chol (umol/L)]]-Data[[#This Row],[HDL_chol (umol/L)]]</f>
        <v>2.86</v>
      </c>
      <c r="AD230" s="17">
        <f>Data[[#This Row],[Non_HDL (umol/L)]]-(Data[[#This Row],[TAG (umol/L)]]/2200)</f>
        <v>2.2291818181818179</v>
      </c>
      <c r="AE230" s="17">
        <v>1066.2760462500003</v>
      </c>
      <c r="AF230" s="50">
        <f>'[121]plasma H2O'!$F$13</f>
        <v>3.0434283287089758E-3</v>
      </c>
      <c r="AG230" s="17">
        <f>'[121]16 DNL'!$F$15</f>
        <v>19.070260227924045</v>
      </c>
      <c r="AH230" s="23">
        <f>(Data[[#This Row],[DNL (%)]]/100)*Data[[#This Row],[VLDL (umol/L)]]</f>
        <v>203.34161676789481</v>
      </c>
      <c r="AI230" s="17">
        <f>[4]SAMPLES!$L$128</f>
        <v>27.934284081983797</v>
      </c>
      <c r="AJ230" s="56">
        <f>(Data[[#This Row],[Gluconeogensis (%)]]/100)*Data[[#This Row],[Glucose (umol/L)]]</f>
        <v>1.5070546262230256</v>
      </c>
      <c r="AK230" s="15"/>
    </row>
    <row r="231" spans="1:37" s="19" customFormat="1" x14ac:dyDescent="0.25">
      <c r="A231" s="15">
        <v>248</v>
      </c>
      <c r="B231" s="15" t="s">
        <v>365</v>
      </c>
      <c r="C231" s="15" t="s">
        <v>66</v>
      </c>
      <c r="D231" s="15" t="s">
        <v>387</v>
      </c>
      <c r="E231" s="15"/>
      <c r="F231" s="15" t="s">
        <v>228</v>
      </c>
      <c r="G231" s="15">
        <v>46</v>
      </c>
      <c r="H231" s="15">
        <v>168</v>
      </c>
      <c r="I231" s="15">
        <f>'[118]Anthro data'!$H$41</f>
        <v>68</v>
      </c>
      <c r="J231" s="16">
        <f t="shared" si="10"/>
        <v>24.092970521541954</v>
      </c>
      <c r="K231" s="15">
        <f>'[118]Anthro data'!$H$44</f>
        <v>87</v>
      </c>
      <c r="L231" s="15">
        <f>'[118]Anthro data'!$H$45</f>
        <v>92</v>
      </c>
      <c r="M231" s="17">
        <f>Data[[#This Row],[Waist_Circumference]]/Data[[#This Row],[Hip_circumference]]</f>
        <v>0.94565217391304346</v>
      </c>
      <c r="N231" s="45"/>
      <c r="O231" s="45"/>
      <c r="P231" s="45"/>
      <c r="Q231" s="67"/>
      <c r="R231" s="67"/>
      <c r="S231" s="67"/>
      <c r="T231" s="17">
        <f>'[119]For SPSS'!$AD$8</f>
        <v>1.8</v>
      </c>
      <c r="U231" s="17">
        <f>'[119]For SPSS'!$AG$8</f>
        <v>5.17</v>
      </c>
      <c r="V231" s="17">
        <f>'[119]For SPSS'!$AI$8</f>
        <v>8.27</v>
      </c>
      <c r="W231" s="17">
        <f>(Data[[#This Row],[Glucose (umol/L)]]*Data[[#This Row],[Insulin (umol/L)]])/22.5</f>
        <v>1.9002622222222221</v>
      </c>
      <c r="X231" s="17">
        <f>'[119]For SPSS'!$AK$8</f>
        <v>347.8</v>
      </c>
      <c r="Y231" s="17">
        <f>'[119]For SPSS'!$AM$8</f>
        <v>883.3</v>
      </c>
      <c r="Z231" s="17">
        <f>'[120]Ranbut 3OHB'!$H$24</f>
        <v>50.3</v>
      </c>
      <c r="AA231" s="17">
        <f>[120]Cholesterol!$H$24</f>
        <v>6.27</v>
      </c>
      <c r="AB231" s="17">
        <f>[120]HDL!$H$24</f>
        <v>1.0900000000000001</v>
      </c>
      <c r="AC231" s="17">
        <f>Data[[#This Row],[total_chol (umol/L)]]-Data[[#This Row],[HDL_chol (umol/L)]]</f>
        <v>5.18</v>
      </c>
      <c r="AD231" s="17">
        <f>Data[[#This Row],[Non_HDL (umol/L)]]-(Data[[#This Row],[TAG (umol/L)]]/2200)</f>
        <v>4.7784999999999993</v>
      </c>
      <c r="AE231" s="17">
        <v>547.13386500000013</v>
      </c>
      <c r="AF231" s="50">
        <f>'[121]plasma H2O'!$G$13</f>
        <v>3.1350957308188027E-3</v>
      </c>
      <c r="AG231" s="17">
        <f>'[121]16 DNL'!$G$15</f>
        <v>6.3575587312101067</v>
      </c>
      <c r="AH231" s="23">
        <f>(Data[[#This Row],[DNL (%)]]/100)*Data[[#This Row],[VLDL (umol/L)]]</f>
        <v>34.784356805714829</v>
      </c>
      <c r="AI231" s="17">
        <f>[4]SAMPLES!$L$129</f>
        <v>45.70171428688316</v>
      </c>
      <c r="AJ231" s="56">
        <f>(Data[[#This Row],[Gluconeogensis (%)]]/100)*Data[[#This Row],[Glucose (umol/L)]]</f>
        <v>2.3627786286318595</v>
      </c>
      <c r="AK231" s="15"/>
    </row>
    <row r="232" spans="1:37" s="19" customFormat="1" x14ac:dyDescent="0.25">
      <c r="A232" s="15">
        <v>249</v>
      </c>
      <c r="B232" s="15" t="s">
        <v>366</v>
      </c>
      <c r="C232" s="15" t="s">
        <v>68</v>
      </c>
      <c r="D232" s="15" t="s">
        <v>387</v>
      </c>
      <c r="E232" s="15"/>
      <c r="F232" s="15" t="s">
        <v>228</v>
      </c>
      <c r="G232" s="15">
        <v>47</v>
      </c>
      <c r="H232" s="15">
        <v>176</v>
      </c>
      <c r="I232" s="15">
        <f>'[118]Anthro data'!$I$41</f>
        <v>100.7</v>
      </c>
      <c r="J232" s="16">
        <f t="shared" si="10"/>
        <v>32.509039256198349</v>
      </c>
      <c r="K232" s="15">
        <f>'[118]Anthro data'!$I$44</f>
        <v>107</v>
      </c>
      <c r="L232" s="15">
        <f>'[118]Anthro data'!$I$45</f>
        <v>107</v>
      </c>
      <c r="M232" s="17">
        <f>Data[[#This Row],[Waist_Circumference]]/Data[[#This Row],[Hip_circumference]]</f>
        <v>1</v>
      </c>
      <c r="N232" s="45"/>
      <c r="O232" s="45"/>
      <c r="P232" s="45"/>
      <c r="Q232" s="67"/>
      <c r="R232" s="67"/>
      <c r="S232" s="67"/>
      <c r="T232" s="17">
        <f>'[119]For SPSS'!$AD$9</f>
        <v>5.3</v>
      </c>
      <c r="U232" s="17">
        <f>'[119]For SPSS'!$AG$9</f>
        <v>5.508</v>
      </c>
      <c r="V232" s="17">
        <f>'[119]For SPSS'!$AI$9</f>
        <v>14.987</v>
      </c>
      <c r="W232" s="17">
        <f>(Data[[#This Row],[Glucose (umol/L)]]*Data[[#This Row],[Insulin (umol/L)]])/22.5</f>
        <v>3.6688175999999997</v>
      </c>
      <c r="X232" s="17">
        <f>'[119]For SPSS'!$AK$9</f>
        <v>284.3</v>
      </c>
      <c r="Y232" s="17">
        <f>'[119]For SPSS'!$AM$9</f>
        <v>1827.2</v>
      </c>
      <c r="Z232" s="17">
        <f>'[120]Ranbut 3OHB'!$I$24</f>
        <v>49.3</v>
      </c>
      <c r="AA232" s="17">
        <f>[120]Cholesterol!$I$24</f>
        <v>4.22</v>
      </c>
      <c r="AB232" s="17">
        <f>[120]HDL!$I$24</f>
        <v>0.92</v>
      </c>
      <c r="AC232" s="17">
        <f>Data[[#This Row],[total_chol (umol/L)]]-Data[[#This Row],[HDL_chol (umol/L)]]</f>
        <v>3.3</v>
      </c>
      <c r="AD232" s="17">
        <f>Data[[#This Row],[Non_HDL (umol/L)]]-(Data[[#This Row],[TAG (umol/L)]]/2200)</f>
        <v>2.4694545454545453</v>
      </c>
      <c r="AE232" s="17">
        <v>1055.3364562500001</v>
      </c>
      <c r="AF232" s="50">
        <f>'[121]plasma H2O'!$H$13</f>
        <v>3.2714831681637151E-3</v>
      </c>
      <c r="AG232" s="17">
        <f>'[121]16 DNL'!$H$15</f>
        <v>8.5959186373862391</v>
      </c>
      <c r="AH232" s="23">
        <f>(Data[[#This Row],[DNL (%)]]/100)*Data[[#This Row],[VLDL (umol/L)]]</f>
        <v>90.715863129925225</v>
      </c>
      <c r="AI232" s="17">
        <f>[4]SAMPLES!$L$130</f>
        <v>38.626569044700737</v>
      </c>
      <c r="AJ232" s="56">
        <f>(Data[[#This Row],[Gluconeogensis (%)]]/100)*Data[[#This Row],[Glucose (umol/L)]]</f>
        <v>2.1275514229821164</v>
      </c>
      <c r="AK232" s="15"/>
    </row>
    <row r="233" spans="1:37" s="19" customFormat="1" x14ac:dyDescent="0.25">
      <c r="A233" s="15">
        <v>250</v>
      </c>
      <c r="B233" s="15" t="s">
        <v>367</v>
      </c>
      <c r="C233" s="15" t="s">
        <v>70</v>
      </c>
      <c r="D233" s="15" t="s">
        <v>387</v>
      </c>
      <c r="E233" s="15"/>
      <c r="F233" s="15" t="s">
        <v>228</v>
      </c>
      <c r="G233" s="15">
        <v>47</v>
      </c>
      <c r="H233" s="15">
        <v>177</v>
      </c>
      <c r="I233" s="15">
        <f>'[118]Anthro data'!$J$41</f>
        <v>95.4</v>
      </c>
      <c r="J233" s="16">
        <f t="shared" si="10"/>
        <v>30.451019821890259</v>
      </c>
      <c r="K233" s="15">
        <f>'[118]Anthro data'!$J$44</f>
        <v>99</v>
      </c>
      <c r="L233" s="15">
        <f>'[118]Anthro data'!$J$45</f>
        <v>108</v>
      </c>
      <c r="M233" s="17">
        <f>Data[[#This Row],[Waist_Circumference]]/Data[[#This Row],[Hip_circumference]]</f>
        <v>0.91666666666666663</v>
      </c>
      <c r="N233" s="45"/>
      <c r="O233" s="45"/>
      <c r="P233" s="45"/>
      <c r="Q233" s="67"/>
      <c r="R233" s="67"/>
      <c r="S233" s="67"/>
      <c r="T233" s="17">
        <f>'[119]For SPSS'!$AD$10</f>
        <v>7.6</v>
      </c>
      <c r="U233" s="17">
        <f>'[119]For SPSS'!$AG$10</f>
        <v>6.2830000000000004</v>
      </c>
      <c r="V233" s="17">
        <f>'[119]For SPSS'!$AI$10</f>
        <v>15.2165</v>
      </c>
      <c r="W233" s="17">
        <f>(Data[[#This Row],[Glucose (umol/L)]]*Data[[#This Row],[Insulin (umol/L)]])/22.5</f>
        <v>4.2491230888888891</v>
      </c>
      <c r="X233" s="17">
        <f>'[119]For SPSS'!$AK$10</f>
        <v>433.8</v>
      </c>
      <c r="Y233" s="17">
        <f>'[119]For SPSS'!$AM$10</f>
        <v>2227.8000000000002</v>
      </c>
      <c r="Z233" s="17">
        <f>'[120]Ranbut 3OHB'!$J$24</f>
        <v>48</v>
      </c>
      <c r="AA233" s="17">
        <f>[120]Cholesterol!$J$24</f>
        <v>4.97</v>
      </c>
      <c r="AB233" s="17">
        <f>[120]HDL!$J$24</f>
        <v>0.78</v>
      </c>
      <c r="AC233" s="17">
        <f>Data[[#This Row],[total_chol (umol/L)]]-Data[[#This Row],[HDL_chol (umol/L)]]</f>
        <v>4.1899999999999995</v>
      </c>
      <c r="AD233" s="17">
        <f>Data[[#This Row],[Non_HDL (umol/L)]]-(Data[[#This Row],[TAG (umol/L)]]/2200)</f>
        <v>3.1773636363636357</v>
      </c>
      <c r="AE233" s="17">
        <v>1547.3930625000003</v>
      </c>
      <c r="AF233" s="50">
        <f>'[121]plasma H2O'!$I$13</f>
        <v>3.4999998100791376E-3</v>
      </c>
      <c r="AG233" s="17">
        <f>'[121]16 DNL'!$I$15</f>
        <v>13.599674550538104</v>
      </c>
      <c r="AH233" s="23">
        <f>(Data[[#This Row],[DNL (%)]]/100)*Data[[#This Row],[VLDL (umol/L)]]</f>
        <v>210.44042051760474</v>
      </c>
      <c r="AI233" s="17">
        <f>[4]SAMPLES!$L$131</f>
        <v>16.714927077494707</v>
      </c>
      <c r="AJ233" s="56">
        <f>(Data[[#This Row],[Gluconeogensis (%)]]/100)*Data[[#This Row],[Glucose (umol/L)]]</f>
        <v>1.0501988682789924</v>
      </c>
      <c r="AK233" s="15"/>
    </row>
    <row r="234" spans="1:37" s="19" customFormat="1" x14ac:dyDescent="0.25">
      <c r="A234" s="15">
        <v>251</v>
      </c>
      <c r="B234" s="15" t="s">
        <v>368</v>
      </c>
      <c r="C234" s="15" t="s">
        <v>72</v>
      </c>
      <c r="D234" s="15" t="s">
        <v>387</v>
      </c>
      <c r="E234" s="15"/>
      <c r="F234" s="15" t="s">
        <v>228</v>
      </c>
      <c r="G234" s="15">
        <v>45</v>
      </c>
      <c r="H234" s="15">
        <v>174</v>
      </c>
      <c r="I234" s="15">
        <f>'[118]Anthro data'!$K$41</f>
        <v>80.3</v>
      </c>
      <c r="J234" s="16">
        <f t="shared" si="10"/>
        <v>26.52265821112432</v>
      </c>
      <c r="K234" s="15">
        <f>'[118]Anthro data'!$K$44</f>
        <v>88</v>
      </c>
      <c r="L234" s="15">
        <f>'[118]Anthro data'!$K$45</f>
        <v>98</v>
      </c>
      <c r="M234" s="17">
        <f>Data[[#This Row],[Waist_Circumference]]/Data[[#This Row],[Hip_circumference]]</f>
        <v>0.89795918367346939</v>
      </c>
      <c r="N234" s="45"/>
      <c r="O234" s="45"/>
      <c r="P234" s="45"/>
      <c r="Q234" s="67"/>
      <c r="R234" s="67"/>
      <c r="S234" s="67"/>
      <c r="T234" s="17">
        <f>'[119]For SPSS'!$AD$11</f>
        <v>2.9</v>
      </c>
      <c r="U234" s="17">
        <f>'[119]For SPSS'!$AG$11</f>
        <v>5.3650000000000002</v>
      </c>
      <c r="V234" s="17">
        <f>'[119]For SPSS'!$AI$11</f>
        <v>10.3345</v>
      </c>
      <c r="W234" s="17">
        <f>(Data[[#This Row],[Glucose (umol/L)]]*Data[[#This Row],[Insulin (umol/L)]])/22.5</f>
        <v>2.4642041111111115</v>
      </c>
      <c r="X234" s="17">
        <f>'[119]For SPSS'!$AK$11</f>
        <v>227.3</v>
      </c>
      <c r="Y234" s="17">
        <f>'[119]For SPSS'!$AM$11</f>
        <v>1321.6</v>
      </c>
      <c r="Z234" s="17">
        <f>'[120]Ranbut 3OHB'!$K$24</f>
        <v>40.6</v>
      </c>
      <c r="AA234" s="17">
        <f>[120]Cholesterol!$K$24</f>
        <v>5.41</v>
      </c>
      <c r="AB234" s="17">
        <f>[120]HDL!$K$24</f>
        <v>1.25</v>
      </c>
      <c r="AC234" s="17">
        <f>Data[[#This Row],[total_chol (umol/L)]]-Data[[#This Row],[HDL_chol (umol/L)]]</f>
        <v>4.16</v>
      </c>
      <c r="AD234" s="17">
        <f>Data[[#This Row],[Non_HDL (umol/L)]]-(Data[[#This Row],[TAG (umol/L)]]/2200)</f>
        <v>3.5592727272727274</v>
      </c>
      <c r="AE234" s="17">
        <v>952.44497999999999</v>
      </c>
      <c r="AF234" s="50">
        <f>'[121]plasma H2O'!$J$13</f>
        <v>3.1041033212784626E-3</v>
      </c>
      <c r="AG234" s="17">
        <f>'[121]16 DNL'!$J$15</f>
        <v>3.4144531035860251</v>
      </c>
      <c r="AH234" s="23">
        <f>(Data[[#This Row],[DNL (%)]]/100)*Data[[#This Row],[VLDL (umol/L)]]</f>
        <v>32.520787179559292</v>
      </c>
      <c r="AI234" s="17">
        <f>[4]SAMPLES!$L$132</f>
        <v>46.221187599452115</v>
      </c>
      <c r="AJ234" s="56">
        <f>(Data[[#This Row],[Gluconeogensis (%)]]/100)*Data[[#This Row],[Glucose (umol/L)]]</f>
        <v>2.4797667147106059</v>
      </c>
      <c r="AK234" s="15"/>
    </row>
    <row r="235" spans="1:37" s="19" customFormat="1" x14ac:dyDescent="0.25">
      <c r="A235" s="15">
        <v>252</v>
      </c>
      <c r="B235" s="15" t="s">
        <v>369</v>
      </c>
      <c r="C235" s="15" t="s">
        <v>74</v>
      </c>
      <c r="D235" s="15" t="s">
        <v>387</v>
      </c>
      <c r="E235" s="15"/>
      <c r="F235" s="15" t="s">
        <v>228</v>
      </c>
      <c r="G235" s="15">
        <v>47</v>
      </c>
      <c r="H235" s="15">
        <v>178</v>
      </c>
      <c r="I235" s="15">
        <f>'[118]Anthro data'!$L$41</f>
        <v>85.6</v>
      </c>
      <c r="J235" s="16">
        <f t="shared" si="10"/>
        <v>27.016790809241254</v>
      </c>
      <c r="K235" s="15">
        <f>'[118]Anthro data'!$L$44</f>
        <v>94</v>
      </c>
      <c r="L235" s="15">
        <f>'[118]Anthro data'!$L$45</f>
        <v>99</v>
      </c>
      <c r="M235" s="17">
        <f>Data[[#This Row],[Waist_Circumference]]/Data[[#This Row],[Hip_circumference]]</f>
        <v>0.9494949494949495</v>
      </c>
      <c r="N235" s="45"/>
      <c r="O235" s="45"/>
      <c r="P235" s="45"/>
      <c r="Q235" s="67"/>
      <c r="R235" s="67"/>
      <c r="S235" s="67"/>
      <c r="T235" s="17">
        <f>'[119]For SPSS'!$AD$12</f>
        <v>13.533834586466167</v>
      </c>
      <c r="U235" s="17">
        <f>'[119]For SPSS'!$AG$12</f>
        <v>5.7709999999999999</v>
      </c>
      <c r="V235" s="17">
        <f>'[119]For SPSS'!$AI$12</f>
        <v>19.677</v>
      </c>
      <c r="W235" s="17">
        <f>(Data[[#This Row],[Glucose (umol/L)]]*Data[[#This Row],[Insulin (umol/L)]])/22.5</f>
        <v>5.0469318666666663</v>
      </c>
      <c r="X235" s="17">
        <f>'[119]For SPSS'!$AK$12</f>
        <v>352.4</v>
      </c>
      <c r="Y235" s="17">
        <f>'[119]For SPSS'!$AM$12</f>
        <v>1690.6</v>
      </c>
      <c r="Z235" s="17">
        <f>'[120]Ranbut 3OHB'!$L$24</f>
        <v>24.3</v>
      </c>
      <c r="AA235" s="17">
        <f>[120]Cholesterol!$L$24</f>
        <v>6.42</v>
      </c>
      <c r="AB235" s="17">
        <f>[120]HDL!$L$24</f>
        <v>1.1100000000000001</v>
      </c>
      <c r="AC235" s="17">
        <f>Data[[#This Row],[total_chol (umol/L)]]-Data[[#This Row],[HDL_chol (umol/L)]]</f>
        <v>5.31</v>
      </c>
      <c r="AD235" s="17">
        <f>Data[[#This Row],[Non_HDL (umol/L)]]-(Data[[#This Row],[TAG (umol/L)]]/2200)</f>
        <v>4.5415454545454539</v>
      </c>
      <c r="AE235" s="17">
        <v>1210.7989125000004</v>
      </c>
      <c r="AF235" s="50">
        <f>'[121]plasma H2O'!$K$13</f>
        <v>2.9711739749165703E-3</v>
      </c>
      <c r="AG235" s="17">
        <f>'[121]16 DNL'!$K$15</f>
        <v>13.709325622480966</v>
      </c>
      <c r="AH235" s="23">
        <f>(Data[[#This Row],[DNL (%)]]/100)*Data[[#This Row],[VLDL (umol/L)]]</f>
        <v>165.99236554808346</v>
      </c>
      <c r="AI235" s="17">
        <f>[4]SAMPLES!$L$133</f>
        <v>37.331653119280176</v>
      </c>
      <c r="AJ235" s="56">
        <f>(Data[[#This Row],[Gluconeogensis (%)]]/100)*Data[[#This Row],[Glucose (umol/L)]]</f>
        <v>2.154409701513659</v>
      </c>
      <c r="AK235" s="15"/>
    </row>
    <row r="236" spans="1:37" s="19" customFormat="1" x14ac:dyDescent="0.25">
      <c r="A236" s="15">
        <v>253</v>
      </c>
      <c r="B236" s="15" t="s">
        <v>370</v>
      </c>
      <c r="C236" s="15" t="s">
        <v>76</v>
      </c>
      <c r="D236" s="15" t="s">
        <v>387</v>
      </c>
      <c r="E236" s="15"/>
      <c r="F236" s="15" t="s">
        <v>228</v>
      </c>
      <c r="G236" s="15">
        <v>44</v>
      </c>
      <c r="H236" s="15">
        <v>180</v>
      </c>
      <c r="I236" s="15">
        <f>'[118]Anthro data'!$M$41</f>
        <v>80.3</v>
      </c>
      <c r="J236" s="16">
        <f t="shared" si="10"/>
        <v>24.783950617283949</v>
      </c>
      <c r="K236" s="15">
        <f>'[118]Anthro data'!$M$44</f>
        <v>97</v>
      </c>
      <c r="L236" s="15">
        <f>'[118]Anthro data'!$M$45</f>
        <v>98</v>
      </c>
      <c r="M236" s="17">
        <f>Data[[#This Row],[Waist_Circumference]]/Data[[#This Row],[Hip_circumference]]</f>
        <v>0.98979591836734693</v>
      </c>
      <c r="N236" s="45"/>
      <c r="O236" s="45"/>
      <c r="P236" s="45"/>
      <c r="Q236" s="67"/>
      <c r="R236" s="67"/>
      <c r="S236" s="67"/>
      <c r="T236" s="17"/>
      <c r="U236" s="17">
        <f>[38]Glucose!$F$25</f>
        <v>6.0030000000000001</v>
      </c>
      <c r="V236" s="17">
        <f>[38]Insulin!$I$41</f>
        <v>15.375999999999999</v>
      </c>
      <c r="W236" s="17">
        <f>(Data[[#This Row],[Glucose (umol/L)]]*Data[[#This Row],[Insulin (umol/L)]])/22.5</f>
        <v>4.1023167999999997</v>
      </c>
      <c r="X236" s="17">
        <f>[38]NEFA!$F$24</f>
        <v>442.2</v>
      </c>
      <c r="Y236" s="17">
        <f>[38]TAG!$F$25</f>
        <v>5609.2</v>
      </c>
      <c r="Z236" s="17">
        <f>'[38]Ranbut 3-OHB'!$F$24</f>
        <v>167.5</v>
      </c>
      <c r="AA236" s="17">
        <f>'[38]Apo B, HDL, Cholesterol, ALT'!$F$12</f>
        <v>6.69</v>
      </c>
      <c r="AB236" s="17">
        <f>'[38]Apo B, HDL, Cholesterol, ALT'!$M$12</f>
        <v>0.8</v>
      </c>
      <c r="AC236" s="17">
        <f>Data[[#This Row],[total_chol (umol/L)]]-Data[[#This Row],[HDL_chol (umol/L)]]</f>
        <v>5.8900000000000006</v>
      </c>
      <c r="AD236" s="17">
        <f>Data[[#This Row],[Non_HDL (umol/L)]]-(Data[[#This Row],[TAG (umol/L)]]/2200)</f>
        <v>3.3403636363636369</v>
      </c>
      <c r="AE236" s="17">
        <f>'[122]calculations and TAG concs'!$N$6</f>
        <v>1989.3510449999999</v>
      </c>
      <c r="AF236" s="50"/>
      <c r="AG236" s="17"/>
      <c r="AH236" s="23"/>
      <c r="AI236" s="17">
        <f>[4]SAMPLES!$L$134</f>
        <v>20.945898664007775</v>
      </c>
      <c r="AJ236" s="56">
        <f>(Data[[#This Row],[Gluconeogensis (%)]]/100)*Data[[#This Row],[Glucose (umol/L)]]</f>
        <v>1.2573822968003867</v>
      </c>
      <c r="AK236" s="15"/>
    </row>
    <row r="237" spans="1:37" s="19" customFormat="1" x14ac:dyDescent="0.25">
      <c r="A237" s="15">
        <v>254</v>
      </c>
      <c r="B237" s="15" t="s">
        <v>371</v>
      </c>
      <c r="C237" s="15" t="s">
        <v>78</v>
      </c>
      <c r="D237" s="15" t="s">
        <v>387</v>
      </c>
      <c r="E237" s="15"/>
      <c r="F237" s="15" t="s">
        <v>228</v>
      </c>
      <c r="G237" s="15">
        <v>33</v>
      </c>
      <c r="H237" s="15">
        <v>186</v>
      </c>
      <c r="I237" s="16">
        <f>'[118]Anthro data'!$N$41</f>
        <v>108.4</v>
      </c>
      <c r="J237" s="16">
        <f t="shared" si="10"/>
        <v>31.333102092727479</v>
      </c>
      <c r="K237" s="15">
        <f>'[118]Anthro data'!$N$44</f>
        <v>100</v>
      </c>
      <c r="L237" s="15">
        <f>'[118]Anthro data'!$N$45</f>
        <v>111</v>
      </c>
      <c r="M237" s="17">
        <f>Data[[#This Row],[Waist_Circumference]]/Data[[#This Row],[Hip_circumference]]</f>
        <v>0.90090090090090091</v>
      </c>
      <c r="N237" s="45"/>
      <c r="O237" s="45"/>
      <c r="P237" s="45"/>
      <c r="Q237" s="67"/>
      <c r="R237" s="67"/>
      <c r="S237" s="67"/>
      <c r="T237" s="17">
        <f>'[119]For SPSS'!$AD$13</f>
        <v>3.3</v>
      </c>
      <c r="U237" s="17">
        <f>'[119]For SPSS'!$AG$13</f>
        <v>5.3959999999999999</v>
      </c>
      <c r="V237" s="17">
        <f>'[119]For SPSS'!$AI$13</f>
        <v>10.388</v>
      </c>
      <c r="W237" s="17">
        <f>(Data[[#This Row],[Glucose (umol/L)]]*Data[[#This Row],[Insulin (umol/L)]])/22.5</f>
        <v>2.4912732444444443</v>
      </c>
      <c r="X237" s="17">
        <f>'[119]For SPSS'!$AK$13</f>
        <v>270.39999999999998</v>
      </c>
      <c r="Y237" s="17">
        <f>'[119]For SPSS'!$AM$13</f>
        <v>1590.8</v>
      </c>
      <c r="Z237" s="17">
        <f>'[120]Ranbut 3OHB'!$M$24</f>
        <v>31.9</v>
      </c>
      <c r="AA237" s="17">
        <f>[120]Cholesterol!$M$24</f>
        <v>5.41</v>
      </c>
      <c r="AB237" s="17">
        <f>[120]HDL!$M$24</f>
        <v>0.82</v>
      </c>
      <c r="AC237" s="17">
        <f>Data[[#This Row],[total_chol (umol/L)]]-Data[[#This Row],[HDL_chol (umol/L)]]</f>
        <v>4.59</v>
      </c>
      <c r="AD237" s="17">
        <f>Data[[#This Row],[Non_HDL (umol/L)]]-(Data[[#This Row],[TAG (umol/L)]]/2200)</f>
        <v>3.8669090909090906</v>
      </c>
      <c r="AE237" s="17">
        <v>745.76</v>
      </c>
      <c r="AF237" s="50">
        <f>'[121]plasma H2O'!$L$13</f>
        <v>3.3194373944859345E-3</v>
      </c>
      <c r="AG237" s="17">
        <f>'[121]16 DNL'!$L$15</f>
        <v>8.907802912421122</v>
      </c>
      <c r="AH237" s="23">
        <f>(Data[[#This Row],[DNL (%)]]/100)*Data[[#This Row],[VLDL (umol/L)]]</f>
        <v>66.430830999671755</v>
      </c>
      <c r="AI237" s="17">
        <f>[4]SAMPLES!$L$135</f>
        <v>31.896797339417347</v>
      </c>
      <c r="AJ237" s="56">
        <f>(Data[[#This Row],[Gluconeogensis (%)]]/100)*Data[[#This Row],[Glucose (umol/L)]]</f>
        <v>1.7211511844349601</v>
      </c>
      <c r="AK237" s="15"/>
    </row>
    <row r="238" spans="1:37" s="19" customFormat="1" x14ac:dyDescent="0.25">
      <c r="A238" s="15">
        <v>255</v>
      </c>
      <c r="B238" s="15" t="s">
        <v>372</v>
      </c>
      <c r="C238" s="15" t="s">
        <v>80</v>
      </c>
      <c r="D238" s="15" t="s">
        <v>387</v>
      </c>
      <c r="E238" s="15"/>
      <c r="F238" s="15" t="s">
        <v>228</v>
      </c>
      <c r="G238" s="15">
        <v>52</v>
      </c>
      <c r="H238" s="15">
        <v>182</v>
      </c>
      <c r="I238" s="15">
        <f>'[118]Anthro data'!$O$41</f>
        <v>115.2</v>
      </c>
      <c r="J238" s="16">
        <f t="shared" si="10"/>
        <v>34.778408404782027</v>
      </c>
      <c r="K238" s="15">
        <f>'[118]Anthro data'!$O$44</f>
        <v>127</v>
      </c>
      <c r="L238" s="15">
        <f>'[118]Anthro data'!$O$45</f>
        <v>123</v>
      </c>
      <c r="M238" s="17">
        <f>Data[[#This Row],[Waist_Circumference]]/Data[[#This Row],[Hip_circumference]]</f>
        <v>1.032520325203252</v>
      </c>
      <c r="N238" s="45"/>
      <c r="O238" s="45"/>
      <c r="P238" s="45"/>
      <c r="Q238" s="67"/>
      <c r="R238" s="67"/>
      <c r="S238" s="67"/>
      <c r="T238" s="17">
        <f>'[119]For SPSS'!$AD$14</f>
        <v>22.8</v>
      </c>
      <c r="U238" s="17">
        <f>'[119]For SPSS'!$AG$14</f>
        <v>5.7839999999999998</v>
      </c>
      <c r="V238" s="17">
        <f>'[119]For SPSS'!$AI$14</f>
        <v>17.966999999999999</v>
      </c>
      <c r="W238" s="17">
        <f>(Data[[#This Row],[Glucose (umol/L)]]*Data[[#This Row],[Insulin (umol/L)]])/22.5</f>
        <v>4.6187167999999996</v>
      </c>
      <c r="X238" s="17">
        <f>'[119]For SPSS'!$AK$14</f>
        <v>705.5</v>
      </c>
      <c r="Y238" s="17">
        <f>'[119]For SPSS'!$AM$14</f>
        <v>1328.6000000000001</v>
      </c>
      <c r="Z238" s="17">
        <f>'[120]Ranbut 3OHB'!$N$24</f>
        <v>141.19999999999999</v>
      </c>
      <c r="AA238" s="17">
        <f>[120]Cholesterol!$N$24</f>
        <v>5.86</v>
      </c>
      <c r="AB238" s="17">
        <f>[120]HDL!$N$24</f>
        <v>0.98</v>
      </c>
      <c r="AC238" s="17">
        <f>Data[[#This Row],[total_chol (umol/L)]]-Data[[#This Row],[HDL_chol (umol/L)]]</f>
        <v>4.8800000000000008</v>
      </c>
      <c r="AD238" s="17">
        <f>Data[[#This Row],[Non_HDL (umol/L)]]-(Data[[#This Row],[TAG (umol/L)]]/2200)</f>
        <v>4.2760909090909101</v>
      </c>
      <c r="AE238" s="17">
        <v>826.7436674999999</v>
      </c>
      <c r="AF238" s="50">
        <f>'[121]plasma H2O'!$M$13</f>
        <v>3.9505902931967441E-3</v>
      </c>
      <c r="AG238" s="17">
        <f>'[121]16 DNL'!$M$15</f>
        <v>3.0255042892420043</v>
      </c>
      <c r="AH238" s="23">
        <f>(Data[[#This Row],[DNL (%)]]/100)*Data[[#This Row],[VLDL (umol/L)]]</f>
        <v>25.013165121249152</v>
      </c>
      <c r="AI238" s="17">
        <f>[4]SAMPLES!$L$136</f>
        <v>40.088278340402425</v>
      </c>
      <c r="AJ238" s="56">
        <f>(Data[[#This Row],[Gluconeogensis (%)]]/100)*Data[[#This Row],[Glucose (umol/L)]]</f>
        <v>2.3187060192088764</v>
      </c>
      <c r="AK238" s="15"/>
    </row>
    <row r="239" spans="1:37" s="19" customFormat="1" x14ac:dyDescent="0.25">
      <c r="A239" s="15">
        <v>256</v>
      </c>
      <c r="B239" s="15" t="s">
        <v>373</v>
      </c>
      <c r="C239" s="15" t="s">
        <v>82</v>
      </c>
      <c r="D239" s="15" t="s">
        <v>387</v>
      </c>
      <c r="E239" s="15"/>
      <c r="F239" s="15" t="s">
        <v>228</v>
      </c>
      <c r="G239" s="15">
        <v>45</v>
      </c>
      <c r="H239" s="15">
        <v>167</v>
      </c>
      <c r="I239" s="15">
        <f>'[118]Anthro data'!$P$41</f>
        <v>68.400000000000006</v>
      </c>
      <c r="J239" s="16">
        <f t="shared" si="10"/>
        <v>24.525798701997207</v>
      </c>
      <c r="K239" s="15">
        <f>'[118]Anthro data'!$P$44</f>
        <v>87</v>
      </c>
      <c r="L239" s="15">
        <f>'[118]Anthro data'!$P$45</f>
        <v>94</v>
      </c>
      <c r="M239" s="17">
        <f>Data[[#This Row],[Waist_Circumference]]/Data[[#This Row],[Hip_circumference]]</f>
        <v>0.92553191489361697</v>
      </c>
      <c r="N239" s="45"/>
      <c r="O239" s="45"/>
      <c r="P239" s="45"/>
      <c r="Q239" s="67"/>
      <c r="R239" s="67"/>
      <c r="S239" s="67"/>
      <c r="T239" s="17">
        <f>'[119]For SPSS'!$AD$15</f>
        <v>1.3</v>
      </c>
      <c r="U239" s="17">
        <f>'[119]For SPSS'!$AG$15</f>
        <v>5.7629999999999999</v>
      </c>
      <c r="V239" s="17">
        <f>'[119]For SPSS'!$AI$15</f>
        <v>9.577</v>
      </c>
      <c r="W239" s="17">
        <f>(Data[[#This Row],[Glucose (umol/L)]]*Data[[#This Row],[Insulin (umol/L)]])/22.5</f>
        <v>2.4529889333333332</v>
      </c>
      <c r="X239" s="17">
        <f>'[119]For SPSS'!$AK$15</f>
        <v>288</v>
      </c>
      <c r="Y239" s="17">
        <f>'[119]For SPSS'!$AM$15</f>
        <v>1614.5</v>
      </c>
      <c r="Z239" s="17">
        <f>'[120]Ranbut 3OHB'!$O$24</f>
        <v>53.3</v>
      </c>
      <c r="AA239" s="17">
        <f>[120]Cholesterol!$O$24</f>
        <v>5.27</v>
      </c>
      <c r="AB239" s="17">
        <f>[120]HDL!$O$24</f>
        <v>0.88</v>
      </c>
      <c r="AC239" s="17">
        <f>Data[[#This Row],[total_chol (umol/L)]]-Data[[#This Row],[HDL_chol (umol/L)]]</f>
        <v>4.3899999999999997</v>
      </c>
      <c r="AD239" s="17">
        <f>Data[[#This Row],[Non_HDL (umol/L)]]-(Data[[#This Row],[TAG (umol/L)]]/2200)</f>
        <v>3.6561363636363633</v>
      </c>
      <c r="AE239" s="17">
        <v>901.24</v>
      </c>
      <c r="AF239" s="50">
        <f>'[121]plasma H2O'!$N$13</f>
        <v>3.1678554400898945E-3</v>
      </c>
      <c r="AG239" s="17">
        <f>'[121]16 DNL'!$N$15</f>
        <v>2.985368417501145</v>
      </c>
      <c r="AH239" s="23">
        <f>(Data[[#This Row],[DNL (%)]]/100)*Data[[#This Row],[VLDL (umol/L)]]</f>
        <v>26.905334325887321</v>
      </c>
      <c r="AI239" s="17">
        <f>[4]SAMPLES!$L$137</f>
        <v>46.990335755845585</v>
      </c>
      <c r="AJ239" s="56">
        <f>(Data[[#This Row],[Gluconeogensis (%)]]/100)*Data[[#This Row],[Glucose (umol/L)]]</f>
        <v>2.7080530496093811</v>
      </c>
      <c r="AK239" s="15"/>
    </row>
    <row r="240" spans="1:37" s="19" customFormat="1" x14ac:dyDescent="0.25">
      <c r="A240" s="15">
        <v>257</v>
      </c>
      <c r="B240" s="15" t="s">
        <v>374</v>
      </c>
      <c r="C240" s="15" t="s">
        <v>84</v>
      </c>
      <c r="D240" s="15" t="s">
        <v>387</v>
      </c>
      <c r="E240" s="15"/>
      <c r="F240" s="15" t="s">
        <v>228</v>
      </c>
      <c r="G240" s="15">
        <v>27</v>
      </c>
      <c r="H240" s="15">
        <v>185</v>
      </c>
      <c r="I240" s="15">
        <f>'[118]Anthro data'!$Q$41</f>
        <v>92.1</v>
      </c>
      <c r="J240" s="16">
        <f t="shared" si="10"/>
        <v>26.910153396639878</v>
      </c>
      <c r="K240" s="15">
        <f>'[118]Anthro data'!$Q$44</f>
        <v>90</v>
      </c>
      <c r="L240" s="15">
        <f>'[118]Anthro data'!$Q$45</f>
        <v>102</v>
      </c>
      <c r="M240" s="17">
        <f>Data[[#This Row],[Waist_Circumference]]/Data[[#This Row],[Hip_circumference]]</f>
        <v>0.88235294117647056</v>
      </c>
      <c r="N240" s="45"/>
      <c r="O240" s="45"/>
      <c r="P240" s="45"/>
      <c r="Q240" s="67"/>
      <c r="R240" s="67"/>
      <c r="S240" s="67"/>
      <c r="T240" s="17">
        <f>'[119]For SPSS'!$AD$16</f>
        <v>3.3</v>
      </c>
      <c r="U240" s="17">
        <f>'[119]For SPSS'!$AG$16</f>
        <v>5.8449999999999998</v>
      </c>
      <c r="V240" s="17">
        <f>'[119]For SPSS'!$AI$16</f>
        <v>10.305</v>
      </c>
      <c r="W240" s="17">
        <f>(Data[[#This Row],[Glucose (umol/L)]]*Data[[#This Row],[Insulin (umol/L)]])/22.5</f>
        <v>2.6770099999999997</v>
      </c>
      <c r="X240" s="17">
        <f>'[119]For SPSS'!$AK$16</f>
        <v>241.7</v>
      </c>
      <c r="Y240" s="17">
        <f>'[119]For SPSS'!$AM$16</f>
        <v>1691</v>
      </c>
      <c r="Z240" s="17">
        <f>'[120]Ranbut 3OHB'!$P$24</f>
        <v>64.400000000000006</v>
      </c>
      <c r="AA240" s="17">
        <f>[120]Cholesterol!$P$24</f>
        <v>4.63</v>
      </c>
      <c r="AB240" s="17">
        <f>[120]HDL!$P$24</f>
        <v>1.08</v>
      </c>
      <c r="AC240" s="17">
        <f>Data[[#This Row],[total_chol (umol/L)]]-Data[[#This Row],[HDL_chol (umol/L)]]</f>
        <v>3.55</v>
      </c>
      <c r="AD240" s="17">
        <f>Data[[#This Row],[Non_HDL (umol/L)]]-(Data[[#This Row],[TAG (umol/L)]]/2200)</f>
        <v>2.7813636363636363</v>
      </c>
      <c r="AE240" s="17">
        <v>1031.4227325000002</v>
      </c>
      <c r="AF240" s="50">
        <f>'[121]plasma H2O'!$O$13</f>
        <v>2.8906105492101973E-3</v>
      </c>
      <c r="AG240" s="17">
        <f>'[121]16 DNL'!$O$15</f>
        <v>3.4194797320913928</v>
      </c>
      <c r="AH240" s="23">
        <f>(Data[[#This Row],[DNL (%)]]/100)*Data[[#This Row],[VLDL (umol/L)]]</f>
        <v>35.269291290020725</v>
      </c>
      <c r="AI240" s="17">
        <f>[4]SAMPLES!$L$138</f>
        <v>35.792663828664189</v>
      </c>
      <c r="AJ240" s="56">
        <f>(Data[[#This Row],[Gluconeogensis (%)]]/100)*Data[[#This Row],[Glucose (umol/L)]]</f>
        <v>2.0920812007854219</v>
      </c>
      <c r="AK240" s="15"/>
    </row>
    <row r="241" spans="1:37" s="19" customFormat="1" x14ac:dyDescent="0.25">
      <c r="A241" s="15">
        <v>258</v>
      </c>
      <c r="B241" s="15" t="s">
        <v>375</v>
      </c>
      <c r="C241" s="15" t="s">
        <v>86</v>
      </c>
      <c r="D241" s="15" t="s">
        <v>387</v>
      </c>
      <c r="E241" s="15"/>
      <c r="F241" s="15" t="s">
        <v>228</v>
      </c>
      <c r="G241" s="15">
        <v>46</v>
      </c>
      <c r="H241" s="15">
        <v>180</v>
      </c>
      <c r="I241" s="15">
        <f>'[118]Anthro data'!$R$41</f>
        <v>87.1</v>
      </c>
      <c r="J241" s="16">
        <f t="shared" si="10"/>
        <v>26.882716049382712</v>
      </c>
      <c r="K241" s="15">
        <f>'[118]Anthro data'!$R$44</f>
        <v>89</v>
      </c>
      <c r="L241" s="15">
        <f>'[118]Anthro data'!$R$45</f>
        <v>100</v>
      </c>
      <c r="M241" s="17">
        <f>Data[[#This Row],[Waist_Circumference]]/Data[[#This Row],[Hip_circumference]]</f>
        <v>0.89</v>
      </c>
      <c r="N241" s="45"/>
      <c r="O241" s="45"/>
      <c r="P241" s="45"/>
      <c r="Q241" s="67"/>
      <c r="R241" s="67"/>
      <c r="S241" s="67"/>
      <c r="T241" s="17">
        <f>'[119]For SPSS'!$AD$17</f>
        <v>1.5</v>
      </c>
      <c r="U241" s="17">
        <f>'[119]For SPSS'!$AG$17</f>
        <v>5.7469999999999999</v>
      </c>
      <c r="V241" s="17">
        <f>'[119]For SPSS'!$AI$17</f>
        <v>15.198500000000001</v>
      </c>
      <c r="W241" s="17">
        <f>(Data[[#This Row],[Glucose (umol/L)]]*Data[[#This Row],[Insulin (umol/L)]])/22.5</f>
        <v>3.8820346444444449</v>
      </c>
      <c r="X241" s="17">
        <f>'[119]For SPSS'!$AK$17</f>
        <v>408.6</v>
      </c>
      <c r="Y241" s="17">
        <f>'[119]For SPSS'!$AM$17</f>
        <v>1415.6</v>
      </c>
      <c r="Z241" s="17">
        <f>'[120]Ranbut 3OHB'!$Q$24</f>
        <v>71.8</v>
      </c>
      <c r="AA241" s="17">
        <f>[120]Cholesterol!$Q$24</f>
        <v>5.83</v>
      </c>
      <c r="AB241" s="17">
        <f>[120]HDL!$Q$24</f>
        <v>1</v>
      </c>
      <c r="AC241" s="17">
        <f>Data[[#This Row],[total_chol (umol/L)]]-Data[[#This Row],[HDL_chol (umol/L)]]</f>
        <v>4.83</v>
      </c>
      <c r="AD241" s="17">
        <f>Data[[#This Row],[Non_HDL (umol/L)]]-(Data[[#This Row],[TAG (umol/L)]]/2200)</f>
        <v>4.1865454545454543</v>
      </c>
      <c r="AE241" s="17">
        <v>1021.7854762500002</v>
      </c>
      <c r="AF241" s="50">
        <f>'[121]plasma H2O'!$P$13</f>
        <v>2.8484538959247345E-3</v>
      </c>
      <c r="AG241" s="17">
        <f>'[121]16 DNL'!$P$15</f>
        <v>2.1995120043915248</v>
      </c>
      <c r="AH241" s="23">
        <f>(Data[[#This Row],[DNL (%)]]/100)*Data[[#This Row],[VLDL (umol/L)]]</f>
        <v>22.474294209247869</v>
      </c>
      <c r="AI241" s="17">
        <f>[4]SAMPLES!$L$139</f>
        <v>42.128389189114209</v>
      </c>
      <c r="AJ241" s="56">
        <f>(Data[[#This Row],[Gluconeogensis (%)]]/100)*Data[[#This Row],[Glucose (umol/L)]]</f>
        <v>2.4211185266983932</v>
      </c>
      <c r="AK241" s="15"/>
    </row>
    <row r="242" spans="1:37" s="19" customFormat="1" x14ac:dyDescent="0.25">
      <c r="A242" s="15">
        <v>259</v>
      </c>
      <c r="B242" s="15" t="s">
        <v>376</v>
      </c>
      <c r="C242" s="15" t="s">
        <v>88</v>
      </c>
      <c r="D242" s="15" t="s">
        <v>387</v>
      </c>
      <c r="E242" s="15"/>
      <c r="F242" s="15" t="s">
        <v>228</v>
      </c>
      <c r="G242" s="15">
        <v>45</v>
      </c>
      <c r="H242" s="15">
        <v>179</v>
      </c>
      <c r="I242" s="15">
        <f>'[118]Anthro data'!$S$41</f>
        <v>98.8</v>
      </c>
      <c r="J242" s="16">
        <f t="shared" si="10"/>
        <v>30.835492025841891</v>
      </c>
      <c r="K242" s="15">
        <f>'[118]Anthro data'!$S$44</f>
        <v>107</v>
      </c>
      <c r="L242" s="15">
        <f>'[118]Anthro data'!$S$45</f>
        <v>107</v>
      </c>
      <c r="M242" s="17">
        <f>Data[[#This Row],[Waist_Circumference]]/Data[[#This Row],[Hip_circumference]]</f>
        <v>1</v>
      </c>
      <c r="N242" s="45"/>
      <c r="O242" s="45"/>
      <c r="P242" s="45"/>
      <c r="Q242" s="67"/>
      <c r="R242" s="67"/>
      <c r="S242" s="67"/>
      <c r="T242" s="17">
        <f>'[119]For SPSS'!$AD$18</f>
        <v>2.8</v>
      </c>
      <c r="U242" s="17">
        <f>'[119]For SPSS'!$AG$18</f>
        <v>6.2050000000000001</v>
      </c>
      <c r="V242" s="17">
        <f>'[119]For SPSS'!$AI$18</f>
        <v>12.181999999999999</v>
      </c>
      <c r="W242" s="17">
        <f>(Data[[#This Row],[Glucose (umol/L)]]*Data[[#This Row],[Insulin (umol/L)]])/22.5</f>
        <v>3.3595248888888887</v>
      </c>
      <c r="X242" s="17">
        <f>'[119]For SPSS'!$AK$18</f>
        <v>374</v>
      </c>
      <c r="Y242" s="17">
        <f>'[119]For SPSS'!$AM$18</f>
        <v>1751.1</v>
      </c>
      <c r="Z242" s="17">
        <f>'[120]Ranbut 3OHB'!$R$24</f>
        <v>34.1</v>
      </c>
      <c r="AA242" s="17">
        <f>[120]Cholesterol!$R$24</f>
        <v>5.82</v>
      </c>
      <c r="AB242" s="17">
        <f>[120]HDL!$R$24</f>
        <v>0.97</v>
      </c>
      <c r="AC242" s="17">
        <f>Data[[#This Row],[total_chol (umol/L)]]-Data[[#This Row],[HDL_chol (umol/L)]]</f>
        <v>4.8500000000000005</v>
      </c>
      <c r="AD242" s="17">
        <f>Data[[#This Row],[Non_HDL (umol/L)]]-(Data[[#This Row],[TAG (umol/L)]]/2200)</f>
        <v>4.054045454545455</v>
      </c>
      <c r="AE242" s="17">
        <v>882.96918000000005</v>
      </c>
      <c r="AF242" s="50">
        <f>'[121]plasma H2O'!$Q$13</f>
        <v>3.1003833945370024E-3</v>
      </c>
      <c r="AG242" s="17">
        <f>'[121]16 DNL'!$Q$15</f>
        <v>8.5085381337322712</v>
      </c>
      <c r="AH242" s="23">
        <f>(Data[[#This Row],[DNL (%)]]/100)*Data[[#This Row],[VLDL (umol/L)]]</f>
        <v>75.127769389403142</v>
      </c>
      <c r="AI242" s="17">
        <f>[4]SAMPLES!$L$140</f>
        <v>28.911203864225786</v>
      </c>
      <c r="AJ242" s="56">
        <f>(Data[[#This Row],[Gluconeogensis (%)]]/100)*Data[[#This Row],[Glucose (umol/L)]]</f>
        <v>1.79394019977521</v>
      </c>
      <c r="AK242" s="15"/>
    </row>
    <row r="243" spans="1:37" s="19" customFormat="1" x14ac:dyDescent="0.25">
      <c r="A243" s="15">
        <v>260</v>
      </c>
      <c r="B243" s="15" t="s">
        <v>377</v>
      </c>
      <c r="C243" s="15" t="s">
        <v>90</v>
      </c>
      <c r="D243" s="15" t="s">
        <v>387</v>
      </c>
      <c r="E243" s="15"/>
      <c r="F243" s="15" t="s">
        <v>228</v>
      </c>
      <c r="G243" s="15">
        <v>48</v>
      </c>
      <c r="H243" s="15">
        <v>187</v>
      </c>
      <c r="I243" s="15">
        <f>'[118]Anthro data'!$T$41</f>
        <v>89</v>
      </c>
      <c r="J243" s="16">
        <f t="shared" si="10"/>
        <v>25.45111384369012</v>
      </c>
      <c r="K243" s="15">
        <f>'[118]Anthro data'!$T$44</f>
        <v>94</v>
      </c>
      <c r="L243" s="15">
        <f>'[118]Anthro data'!$T$45</f>
        <v>101</v>
      </c>
      <c r="M243" s="17">
        <f>Data[[#This Row],[Waist_Circumference]]/Data[[#This Row],[Hip_circumference]]</f>
        <v>0.93069306930693074</v>
      </c>
      <c r="N243" s="45"/>
      <c r="O243" s="45"/>
      <c r="P243" s="45"/>
      <c r="Q243" s="67"/>
      <c r="R243" s="67"/>
      <c r="S243" s="67"/>
      <c r="T243" s="17">
        <f>'[119]For SPSS'!$AD$19</f>
        <v>6.8</v>
      </c>
      <c r="U243" s="17">
        <f>'[119]For SPSS'!$AG$19</f>
        <v>5.8940000000000001</v>
      </c>
      <c r="V243" s="17">
        <f>'[119]For SPSS'!$AI$19</f>
        <v>17.495000000000001</v>
      </c>
      <c r="W243" s="17">
        <f>(Data[[#This Row],[Glucose (umol/L)]]*Data[[#This Row],[Insulin (umol/L)]])/22.5</f>
        <v>4.5829124444444451</v>
      </c>
      <c r="X243" s="17">
        <f>'[119]For SPSS'!$AK$19</f>
        <v>462</v>
      </c>
      <c r="Y243" s="17">
        <f>'[119]For SPSS'!$AM$19</f>
        <v>4016</v>
      </c>
      <c r="Z243" s="17">
        <f>'[120]Ranbut 3OHB'!$S$24</f>
        <v>48.9</v>
      </c>
      <c r="AA243" s="17">
        <f>[120]Cholesterol!$S$24</f>
        <v>6.91</v>
      </c>
      <c r="AB243" s="17">
        <f>[120]HDL!$S$24</f>
        <v>1.1399999999999999</v>
      </c>
      <c r="AC243" s="17">
        <f>Data[[#This Row],[total_chol (umol/L)]]-Data[[#This Row],[HDL_chol (umol/L)]]</f>
        <v>5.7700000000000005</v>
      </c>
      <c r="AD243" s="17">
        <f>Data[[#This Row],[Non_HDL (umol/L)]]-(Data[[#This Row],[TAG (umol/L)]]/2200)</f>
        <v>3.9445454545454552</v>
      </c>
      <c r="AE243" s="17">
        <v>1907.4647343750003</v>
      </c>
      <c r="AF243" s="50">
        <f>'[121]plasma H2O'!$R$13</f>
        <v>2.864678910490501E-3</v>
      </c>
      <c r="AG243" s="17">
        <f>'[121]16 DNL'!$R$15</f>
        <v>11.013918939441552</v>
      </c>
      <c r="AH243" s="23">
        <f>(Data[[#This Row],[DNL (%)]]/100)*Data[[#This Row],[VLDL (umol/L)]]</f>
        <v>210.08661964249666</v>
      </c>
      <c r="AI243" s="17">
        <f>[4]SAMPLES!$L$141</f>
        <v>32.509878266296724</v>
      </c>
      <c r="AJ243" s="56">
        <f>(Data[[#This Row],[Gluconeogensis (%)]]/100)*Data[[#This Row],[Glucose (umol/L)]]</f>
        <v>1.9161322250155288</v>
      </c>
      <c r="AK243" s="15"/>
    </row>
    <row r="244" spans="1:37" s="19" customFormat="1" x14ac:dyDescent="0.25">
      <c r="A244" s="15">
        <v>261</v>
      </c>
      <c r="B244" s="15" t="s">
        <v>378</v>
      </c>
      <c r="C244" s="15" t="s">
        <v>91</v>
      </c>
      <c r="D244" s="15" t="s">
        <v>387</v>
      </c>
      <c r="E244" s="15"/>
      <c r="F244" s="15" t="s">
        <v>228</v>
      </c>
      <c r="G244" s="15">
        <v>35</v>
      </c>
      <c r="H244" s="15">
        <v>174</v>
      </c>
      <c r="I244" s="15">
        <f>'[118]Anthro data'!$U$41</f>
        <v>96.4</v>
      </c>
      <c r="J244" s="16">
        <f t="shared" si="10"/>
        <v>31.84040163826133</v>
      </c>
      <c r="K244" s="15">
        <f>'[118]Anthro data'!$U$44</f>
        <v>104</v>
      </c>
      <c r="L244" s="15">
        <f>'[118]Anthro data'!$U$45</f>
        <v>105</v>
      </c>
      <c r="M244" s="17">
        <f>Data[[#This Row],[Waist_Circumference]]/Data[[#This Row],[Hip_circumference]]</f>
        <v>0.99047619047619051</v>
      </c>
      <c r="N244" s="45"/>
      <c r="O244" s="45"/>
      <c r="P244" s="45"/>
      <c r="Q244" s="67"/>
      <c r="R244" s="67"/>
      <c r="S244" s="67"/>
      <c r="T244" s="17">
        <f>'[119]For SPSS'!$AD$20</f>
        <v>7.1</v>
      </c>
      <c r="U244" s="17">
        <f>'[119]For SPSS'!$AG$20</f>
        <v>6.1429999999999998</v>
      </c>
      <c r="V244" s="17">
        <f>'[119]For SPSS'!$AI$20</f>
        <v>14.752500000000001</v>
      </c>
      <c r="W244" s="17">
        <f>(Data[[#This Row],[Glucose (umol/L)]]*Data[[#This Row],[Insulin (umol/L)]])/22.5</f>
        <v>4.0277603333333341</v>
      </c>
      <c r="X244" s="17">
        <f>'[119]For SPSS'!$AK$20</f>
        <v>431.2</v>
      </c>
      <c r="Y244" s="17">
        <f>'[119]For SPSS'!$AM$20</f>
        <v>1068.7</v>
      </c>
      <c r="Z244" s="17">
        <f>'[120]Ranbut 3OHB'!$T$24</f>
        <v>64.3</v>
      </c>
      <c r="AA244" s="17">
        <f>[120]Cholesterol!$T$24</f>
        <v>5.61</v>
      </c>
      <c r="AB244" s="17">
        <f>[120]HDL!$T$24</f>
        <v>1.1100000000000001</v>
      </c>
      <c r="AC244" s="17">
        <f>Data[[#This Row],[total_chol (umol/L)]]-Data[[#This Row],[HDL_chol (umol/L)]]</f>
        <v>4.5</v>
      </c>
      <c r="AD244" s="17">
        <f>Data[[#This Row],[Non_HDL (umol/L)]]-(Data[[#This Row],[TAG (umol/L)]]/2200)</f>
        <v>4.0142272727272728</v>
      </c>
      <c r="AE244" s="17">
        <v>666.13049999999998</v>
      </c>
      <c r="AF244" s="50">
        <f>'[121]plasma H2O'!$S$13</f>
        <v>1.7984404281072971E-3</v>
      </c>
      <c r="AG244" s="17">
        <f>'[121]16 DNL'!$S$15</f>
        <v>8.8067826644890914</v>
      </c>
      <c r="AH244" s="23">
        <f>(Data[[#This Row],[DNL (%)]]/100)*Data[[#This Row],[VLDL (umol/L)]]</f>
        <v>58.664665396874511</v>
      </c>
      <c r="AI244" s="17">
        <f>[4]SAMPLES!$L$142</f>
        <v>82.952475339100602</v>
      </c>
      <c r="AJ244" s="56">
        <f>(Data[[#This Row],[Gluconeogensis (%)]]/100)*Data[[#This Row],[Glucose (umol/L)]]</f>
        <v>5.0957705600809504</v>
      </c>
      <c r="AK244" s="15"/>
    </row>
    <row r="245" spans="1:37" s="19" customFormat="1" x14ac:dyDescent="0.25">
      <c r="A245" s="15">
        <v>262</v>
      </c>
      <c r="B245" s="15" t="s">
        <v>356</v>
      </c>
      <c r="C245" s="15" t="s">
        <v>94</v>
      </c>
      <c r="D245" s="15" t="s">
        <v>387</v>
      </c>
      <c r="E245" s="15"/>
      <c r="F245" s="15" t="s">
        <v>228</v>
      </c>
      <c r="G245" s="15">
        <v>29</v>
      </c>
      <c r="H245" s="15">
        <v>179</v>
      </c>
      <c r="I245" s="15">
        <f>'[118]Anthro data'!$V$41</f>
        <v>98.8</v>
      </c>
      <c r="J245" s="16">
        <f t="shared" si="10"/>
        <v>30.835492025841891</v>
      </c>
      <c r="K245" s="15">
        <f>'[118]Anthro data'!$V$44</f>
        <v>109</v>
      </c>
      <c r="L245" s="15">
        <f>'[118]Anthro data'!$V$45</f>
        <v>106</v>
      </c>
      <c r="M245" s="17">
        <f>Data[[#This Row],[Waist_Circumference]]/Data[[#This Row],[Hip_circumference]]</f>
        <v>1.0283018867924529</v>
      </c>
      <c r="N245" s="45"/>
      <c r="O245" s="45"/>
      <c r="P245" s="45"/>
      <c r="Q245" s="67"/>
      <c r="R245" s="67"/>
      <c r="S245" s="67"/>
      <c r="T245" s="17">
        <f>'[119]For SPSS'!$AD$21</f>
        <v>2.2999999999999998</v>
      </c>
      <c r="U245" s="17">
        <f>'[119]For SPSS'!$AG$21</f>
        <v>6.375</v>
      </c>
      <c r="V245" s="17">
        <f>'[119]For SPSS'!$AI$21</f>
        <v>14.125999999999999</v>
      </c>
      <c r="W245" s="17">
        <f>(Data[[#This Row],[Glucose (umol/L)]]*Data[[#This Row],[Insulin (umol/L)]])/22.5</f>
        <v>4.0023666666666662</v>
      </c>
      <c r="X245" s="17">
        <f>'[119]For SPSS'!$AK$21</f>
        <v>184.4</v>
      </c>
      <c r="Y245" s="17">
        <f>'[119]For SPSS'!$AM$21</f>
        <v>1480.1000000000001</v>
      </c>
      <c r="Z245" s="17">
        <f>'[120]Ranbut 3OHB'!$U$24</f>
        <v>45.9</v>
      </c>
      <c r="AA245" s="17">
        <f>[120]Cholesterol!$U$24</f>
        <v>5.93</v>
      </c>
      <c r="AB245" s="17">
        <f>[120]HDL!$U$24</f>
        <v>1.19</v>
      </c>
      <c r="AC245" s="17">
        <f>Data[[#This Row],[total_chol (umol/L)]]-Data[[#This Row],[HDL_chol (umol/L)]]</f>
        <v>4.74</v>
      </c>
      <c r="AD245" s="17">
        <f>Data[[#This Row],[Non_HDL (umol/L)]]-(Data[[#This Row],[TAG (umol/L)]]/2200)</f>
        <v>4.0672272727272727</v>
      </c>
      <c r="AE245" s="17">
        <v>1011</v>
      </c>
      <c r="AF245" s="50">
        <f>'[121]plasma H2O'!$T$13</f>
        <v>1.9960566040608608E-3</v>
      </c>
      <c r="AG245" s="17">
        <f>'[121]16 DNL'!$T$15</f>
        <v>12.285749338821351</v>
      </c>
      <c r="AH245" s="23">
        <f>(Data[[#This Row],[DNL (%)]]/100)*Data[[#This Row],[VLDL (umol/L)]]</f>
        <v>124.20892581548385</v>
      </c>
      <c r="AI245" s="17">
        <f>[4]SAMPLES!$L$143</f>
        <v>34.187578291370905</v>
      </c>
      <c r="AJ245" s="56">
        <f>(Data[[#This Row],[Gluconeogensis (%)]]/100)*Data[[#This Row],[Glucose (umol/L)]]</f>
        <v>2.1794581160748954</v>
      </c>
      <c r="AK245" s="15"/>
    </row>
    <row r="246" spans="1:37" s="19" customFormat="1" x14ac:dyDescent="0.25">
      <c r="A246" s="15">
        <v>263</v>
      </c>
      <c r="B246" s="15" t="s">
        <v>357</v>
      </c>
      <c r="C246" s="15" t="s">
        <v>95</v>
      </c>
      <c r="D246" s="15" t="s">
        <v>387</v>
      </c>
      <c r="E246" s="15"/>
      <c r="F246" s="15" t="s">
        <v>228</v>
      </c>
      <c r="G246" s="15">
        <v>37</v>
      </c>
      <c r="H246" s="15">
        <v>190</v>
      </c>
      <c r="I246" s="15">
        <f>'[118]Anthro data'!$W$41</f>
        <v>98.1</v>
      </c>
      <c r="J246" s="16">
        <f t="shared" si="10"/>
        <v>27.174515235457061</v>
      </c>
      <c r="K246" s="15">
        <f>'[118]Anthro data'!$W$44</f>
        <v>97</v>
      </c>
      <c r="L246" s="15">
        <f>'[118]Anthro data'!$W$45</f>
        <v>108</v>
      </c>
      <c r="M246" s="17">
        <f>Data[[#This Row],[Waist_Circumference]]/Data[[#This Row],[Hip_circumference]]</f>
        <v>0.89814814814814814</v>
      </c>
      <c r="N246" s="45"/>
      <c r="O246" s="45"/>
      <c r="P246" s="45"/>
      <c r="Q246" s="67"/>
      <c r="R246" s="67"/>
      <c r="S246" s="67"/>
      <c r="T246" s="17">
        <f>'[119]For SPSS'!$AD$22</f>
        <v>2.5</v>
      </c>
      <c r="U246" s="17">
        <f>'[119]For SPSS'!$AG$22</f>
        <v>5.1890000000000001</v>
      </c>
      <c r="V246" s="17">
        <f>'[119]For SPSS'!$AI$22</f>
        <v>17.6145</v>
      </c>
      <c r="W246" s="17">
        <f>(Data[[#This Row],[Glucose (umol/L)]]*Data[[#This Row],[Insulin (umol/L)]])/22.5</f>
        <v>4.0622951333333335</v>
      </c>
      <c r="X246" s="17">
        <f>'[119]For SPSS'!$AK$22</f>
        <v>291.60000000000002</v>
      </c>
      <c r="Y246" s="17">
        <f>'[119]For SPSS'!$AM$22</f>
        <v>3709.05</v>
      </c>
      <c r="Z246" s="17">
        <f>'[120]Ranbut 3OHB'!$V$24</f>
        <v>76.75</v>
      </c>
      <c r="AA246" s="17">
        <f>[120]Cholesterol!$V$24</f>
        <v>5.24</v>
      </c>
      <c r="AB246" s="17">
        <f>[120]HDL!$V$24</f>
        <v>0.92</v>
      </c>
      <c r="AC246" s="17">
        <f>Data[[#This Row],[total_chol (umol/L)]]-Data[[#This Row],[HDL_chol (umol/L)]]</f>
        <v>4.32</v>
      </c>
      <c r="AD246" s="17">
        <f>Data[[#This Row],[Non_HDL (umol/L)]]-(Data[[#This Row],[TAG (umol/L)]]/2200)</f>
        <v>2.6340681818181819</v>
      </c>
      <c r="AE246" s="17">
        <f>'[123]calculations and TAG concs'!$N$6</f>
        <v>1952.4677399999998</v>
      </c>
      <c r="AF246" s="50"/>
      <c r="AG246" s="17"/>
      <c r="AH246" s="23"/>
      <c r="AI246" s="17">
        <f>[4]SAMPLES!$L$144</f>
        <v>20.24976413059267</v>
      </c>
      <c r="AJ246" s="56">
        <f>(Data[[#This Row],[Gluconeogensis (%)]]/100)*Data[[#This Row],[Glucose (umol/L)]]</f>
        <v>1.0507602607364537</v>
      </c>
      <c r="AK246" s="7"/>
    </row>
    <row r="247" spans="1:37" s="19" customFormat="1" x14ac:dyDescent="0.25">
      <c r="A247" s="33">
        <v>266</v>
      </c>
      <c r="B247" s="33" t="s">
        <v>210</v>
      </c>
      <c r="C247" s="33" t="s">
        <v>226</v>
      </c>
      <c r="D247" s="33" t="s">
        <v>387</v>
      </c>
      <c r="E247" s="33" t="s">
        <v>23</v>
      </c>
      <c r="F247" s="33" t="s">
        <v>227</v>
      </c>
      <c r="G247" s="33">
        <v>45</v>
      </c>
      <c r="H247" s="33">
        <v>164</v>
      </c>
      <c r="I247" s="34">
        <v>69.2</v>
      </c>
      <c r="J247" s="34">
        <f t="shared" si="10"/>
        <v>25.728732897085074</v>
      </c>
      <c r="K247" s="33">
        <v>84</v>
      </c>
      <c r="L247" s="33">
        <v>102</v>
      </c>
      <c r="M247" s="35">
        <f>Data[[#This Row],[Waist_Circumference]]/Data[[#This Row],[Hip_circumference]]</f>
        <v>0.82352941176470584</v>
      </c>
      <c r="N247" s="45"/>
      <c r="O247" s="45"/>
      <c r="P247" s="45"/>
      <c r="Q247" s="67"/>
      <c r="R247" s="67"/>
      <c r="S247" s="67"/>
      <c r="T247" s="67"/>
      <c r="U247" s="35">
        <f>[51]Glucose!$B$7</f>
        <v>4.1159999999999997</v>
      </c>
      <c r="V247" s="35">
        <f>[51]Insulin!$B$7</f>
        <v>9.4074999999999989</v>
      </c>
      <c r="W247" s="35">
        <f>(Data[[#This Row],[Glucose (umol/L)]]*Data[[#This Row],[Insulin (umol/L)]])/22.5</f>
        <v>1.7209453333333329</v>
      </c>
      <c r="X247" s="35">
        <f>[51]NEFA!$B$7</f>
        <v>831.5</v>
      </c>
      <c r="Y247" s="35">
        <f>[51]TAG!$B$7</f>
        <v>412.8</v>
      </c>
      <c r="Z247" s="35">
        <f>'[51]3OHB'!$B$7</f>
        <v>148.4</v>
      </c>
      <c r="AA247" s="35">
        <f>'[51]Chol, HDL'!$B$7</f>
        <v>3.22</v>
      </c>
      <c r="AB247" s="35">
        <f>'[51]Chol, HDL'!$B$24</f>
        <v>1.08</v>
      </c>
      <c r="AC247" s="35">
        <f>Data[[#This Row],[total_chol (umol/L)]]-Data[[#This Row],[HDL_chol (umol/L)]]</f>
        <v>2.14</v>
      </c>
      <c r="AD247" s="35">
        <f>Data[[#This Row],[Non_HDL (umol/L)]]-(Data[[#This Row],[TAG (umol/L)]]/2200)</f>
        <v>1.9523636363636365</v>
      </c>
      <c r="AE247" s="35">
        <v>164.30728499999998</v>
      </c>
      <c r="AF247" s="52">
        <f>[51]DNL!$B$5</f>
        <v>3.641818846151358E-3</v>
      </c>
      <c r="AG247" s="35">
        <f>[51]DNL!$B$49</f>
        <v>3.236568791701957</v>
      </c>
      <c r="AH247" s="23">
        <f>(Data[[#This Row],[DNL (%)]]/100)*Data[[#This Row],[VLDL (umol/L)]]</f>
        <v>5.3179183088027902</v>
      </c>
      <c r="AI247" s="35">
        <f>[4]SAMPLES!$L$161</f>
        <v>31.892251312519456</v>
      </c>
      <c r="AJ247" s="58">
        <f>(Data[[#This Row],[Gluconeogensis (%)]]/100)*Data[[#This Row],[Glucose (umol/L)]]</f>
        <v>1.3126850640233005</v>
      </c>
      <c r="AK247" s="27"/>
    </row>
    <row r="248" spans="1:37" s="19" customFormat="1" x14ac:dyDescent="0.25">
      <c r="A248" s="33">
        <v>267</v>
      </c>
      <c r="B248" s="33" t="s">
        <v>211</v>
      </c>
      <c r="C248" s="33" t="s">
        <v>226</v>
      </c>
      <c r="D248" s="33" t="s">
        <v>387</v>
      </c>
      <c r="E248" s="33" t="s">
        <v>407</v>
      </c>
      <c r="F248" s="33" t="s">
        <v>228</v>
      </c>
      <c r="G248" s="33">
        <v>48</v>
      </c>
      <c r="H248" s="33">
        <v>182</v>
      </c>
      <c r="I248" s="34">
        <v>92.3</v>
      </c>
      <c r="J248" s="34">
        <f t="shared" si="10"/>
        <v>27.864992150706435</v>
      </c>
      <c r="K248" s="33">
        <v>102</v>
      </c>
      <c r="L248" s="33">
        <v>105</v>
      </c>
      <c r="M248" s="35">
        <f>Data[[#This Row],[Waist_Circumference]]/Data[[#This Row],[Hip_circumference]]</f>
        <v>0.97142857142857142</v>
      </c>
      <c r="N248" s="45"/>
      <c r="O248" s="45"/>
      <c r="P248" s="45"/>
      <c r="Q248" s="67"/>
      <c r="R248" s="67"/>
      <c r="S248" s="67"/>
      <c r="T248" s="67"/>
      <c r="U248" s="35">
        <f>[51]Glucose!$C$24</f>
        <v>4.7929999999999993</v>
      </c>
      <c r="V248" s="35">
        <f>[51]Insulin!$C$24</f>
        <v>6.6615000000000002</v>
      </c>
      <c r="W248" s="35">
        <f>(Data[[#This Row],[Glucose (umol/L)]]*Data[[#This Row],[Insulin (umol/L)]])/22.5</f>
        <v>1.419047533333333</v>
      </c>
      <c r="X248" s="35">
        <f>[51]NEFA!$C$24</f>
        <v>345.95</v>
      </c>
      <c r="Y248" s="35">
        <f>[51]TAG!$C$24</f>
        <v>772.80000000000007</v>
      </c>
      <c r="Z248" s="35">
        <f>'[51]3OHB'!$C$24</f>
        <v>63.1</v>
      </c>
      <c r="AA248" s="35">
        <f>'[51]Chol, HDL'!$C$14</f>
        <v>6.16</v>
      </c>
      <c r="AB248" s="35">
        <f>'[51]Chol, HDL'!$C$31</f>
        <v>1.48</v>
      </c>
      <c r="AC248" s="35">
        <f>Data[[#This Row],[total_chol (umol/L)]]-Data[[#This Row],[HDL_chol (umol/L)]]</f>
        <v>4.68</v>
      </c>
      <c r="AD248" s="35">
        <f>Data[[#This Row],[Non_HDL (umol/L)]]-(Data[[#This Row],[TAG (umol/L)]]/2200)</f>
        <v>4.3287272727272725</v>
      </c>
      <c r="AE248" s="35">
        <v>329.22408750000005</v>
      </c>
      <c r="AF248" s="52">
        <f>[51]DNL!$C$15</f>
        <v>3.4640908523478429E-3</v>
      </c>
      <c r="AG248" s="35">
        <f>[51]DNL!$C$61</f>
        <v>3.5432059578462161</v>
      </c>
      <c r="AH248" s="23">
        <f>(Data[[#This Row],[DNL (%)]]/100)*Data[[#This Row],[VLDL (umol/L)]]</f>
        <v>11.665087482964841</v>
      </c>
      <c r="AI248" s="35">
        <f>[4]SAMPLES!$L$162</f>
        <v>44.05480751254607</v>
      </c>
      <c r="AJ248" s="58">
        <f>(Data[[#This Row],[Gluconeogensis (%)]]/100)*Data[[#This Row],[Glucose (umol/L)]]</f>
        <v>2.1115469240763329</v>
      </c>
      <c r="AK248" s="27"/>
    </row>
    <row r="249" spans="1:37" s="19" customFormat="1" x14ac:dyDescent="0.25">
      <c r="A249" s="33">
        <v>268</v>
      </c>
      <c r="B249" s="33" t="s">
        <v>212</v>
      </c>
      <c r="C249" s="33" t="s">
        <v>226</v>
      </c>
      <c r="D249" s="33" t="s">
        <v>387</v>
      </c>
      <c r="E249" s="33" t="s">
        <v>23</v>
      </c>
      <c r="F249" s="33" t="s">
        <v>227</v>
      </c>
      <c r="G249" s="33">
        <v>47</v>
      </c>
      <c r="H249" s="33">
        <v>161</v>
      </c>
      <c r="I249" s="34">
        <v>75.3</v>
      </c>
      <c r="J249" s="34">
        <f t="shared" si="10"/>
        <v>29.049805177269391</v>
      </c>
      <c r="K249" s="33">
        <v>80</v>
      </c>
      <c r="L249" s="33">
        <v>107</v>
      </c>
      <c r="M249" s="35">
        <f>Data[[#This Row],[Waist_Circumference]]/Data[[#This Row],[Hip_circumference]]</f>
        <v>0.74766355140186913</v>
      </c>
      <c r="N249" s="45"/>
      <c r="O249" s="45"/>
      <c r="P249" s="45"/>
      <c r="Q249" s="67"/>
      <c r="R249" s="67"/>
      <c r="S249" s="67"/>
      <c r="T249" s="67"/>
      <c r="U249" s="35">
        <f>[51]Glucose!$D$7</f>
        <v>5.024</v>
      </c>
      <c r="V249" s="35">
        <f>[51]Insulin!$D$7</f>
        <v>7.0269999999999992</v>
      </c>
      <c r="W249" s="35">
        <f>(Data[[#This Row],[Glucose (umol/L)]]*Data[[#This Row],[Insulin (umol/L)]])/22.5</f>
        <v>1.569051022222222</v>
      </c>
      <c r="X249" s="35">
        <f>[51]NEFA!$D$7</f>
        <v>606.29999999999995</v>
      </c>
      <c r="Y249" s="35">
        <f>[51]TAG!$D$7</f>
        <v>992.8</v>
      </c>
      <c r="Z249" s="35">
        <f>'[51]3OHB'!$D$7</f>
        <v>123.9</v>
      </c>
      <c r="AA249" s="35">
        <f>'[51]Chol, HDL'!$D$7</f>
        <v>5.18</v>
      </c>
      <c r="AB249" s="35">
        <f>'[51]Chol, HDL'!$D$24</f>
        <v>1.33</v>
      </c>
      <c r="AC249" s="35">
        <f>Data[[#This Row],[total_chol (umol/L)]]-Data[[#This Row],[HDL_chol (umol/L)]]</f>
        <v>3.8499999999999996</v>
      </c>
      <c r="AD249" s="35">
        <f>Data[[#This Row],[Non_HDL (umol/L)]]-(Data[[#This Row],[TAG (umol/L)]]/2200)</f>
        <v>3.3987272727272724</v>
      </c>
      <c r="AE249" s="35">
        <v>705.60792749999996</v>
      </c>
      <c r="AF249" s="52">
        <f>[51]DNL!$D$5</f>
        <v>3.9215550652339269E-3</v>
      </c>
      <c r="AG249" s="35">
        <f>[51]DNL!$D$49</f>
        <v>3.6018471297859795</v>
      </c>
      <c r="AH249" s="23">
        <f>(Data[[#This Row],[DNL (%)]]/100)*Data[[#This Row],[VLDL (umol/L)]]</f>
        <v>25.414918884201086</v>
      </c>
      <c r="AI249" s="35">
        <f>[4]SAMPLES!$L$163</f>
        <v>38.84942031725592</v>
      </c>
      <c r="AJ249" s="58">
        <f>(Data[[#This Row],[Gluconeogensis (%)]]/100)*Data[[#This Row],[Glucose (umol/L)]]</f>
        <v>1.9517948767389373</v>
      </c>
      <c r="AK249" s="27"/>
    </row>
    <row r="250" spans="1:37" s="19" customFormat="1" x14ac:dyDescent="0.25">
      <c r="A250" s="33">
        <v>269</v>
      </c>
      <c r="B250" s="33" t="s">
        <v>213</v>
      </c>
      <c r="C250" s="33" t="s">
        <v>226</v>
      </c>
      <c r="D250" s="33" t="s">
        <v>387</v>
      </c>
      <c r="E250" s="33" t="s">
        <v>23</v>
      </c>
      <c r="F250" s="33" t="s">
        <v>227</v>
      </c>
      <c r="G250" s="33">
        <v>50</v>
      </c>
      <c r="H250" s="33">
        <v>169.5</v>
      </c>
      <c r="I250" s="34">
        <v>69.5</v>
      </c>
      <c r="J250" s="34">
        <f t="shared" si="10"/>
        <v>24.190530886435027</v>
      </c>
      <c r="K250" s="33">
        <v>80</v>
      </c>
      <c r="L250" s="33">
        <v>102</v>
      </c>
      <c r="M250" s="35">
        <f>Data[[#This Row],[Waist_Circumference]]/Data[[#This Row],[Hip_circumference]]</f>
        <v>0.78431372549019607</v>
      </c>
      <c r="N250" s="45"/>
      <c r="O250" s="45"/>
      <c r="P250" s="45"/>
      <c r="Q250" s="67"/>
      <c r="R250" s="67"/>
      <c r="S250" s="67"/>
      <c r="T250" s="67"/>
      <c r="U250" s="35">
        <f>[51]Glucose!$E$7</f>
        <v>5.2560000000000002</v>
      </c>
      <c r="V250" s="35">
        <f>[51]Insulin!$E$7</f>
        <v>5.9429999999999996</v>
      </c>
      <c r="W250" s="35">
        <f>(Data[[#This Row],[Glucose (umol/L)]]*Data[[#This Row],[Insulin (umol/L)]])/22.5</f>
        <v>1.3882848000000001</v>
      </c>
      <c r="X250" s="35">
        <f>[51]NEFA!$E$7</f>
        <v>455.8</v>
      </c>
      <c r="Y250" s="35">
        <f>[51]TAG!$E$7</f>
        <v>784.5</v>
      </c>
      <c r="Z250" s="35">
        <f>'[51]3OHB'!$E$7</f>
        <v>225.3</v>
      </c>
      <c r="AA250" s="35">
        <f>'[51]Chol, HDL'!$E$7</f>
        <v>6.53</v>
      </c>
      <c r="AB250" s="35">
        <f>'[51]Chol, HDL'!$E$24</f>
        <v>2.46</v>
      </c>
      <c r="AC250" s="35">
        <f>Data[[#This Row],[total_chol (umol/L)]]-Data[[#This Row],[HDL_chol (umol/L)]]</f>
        <v>4.07</v>
      </c>
      <c r="AD250" s="35">
        <f>Data[[#This Row],[Non_HDL (umol/L)]]-(Data[[#This Row],[TAG (umol/L)]]/2200)</f>
        <v>3.7134090909090913</v>
      </c>
      <c r="AE250" s="35">
        <v>410.16253499999999</v>
      </c>
      <c r="AF250" s="52">
        <f>[51]DNL!$E$5</f>
        <v>3.2602981086078172E-3</v>
      </c>
      <c r="AG250" s="35">
        <f>[51]DNL!$E$49</f>
        <v>1.7162251570701008</v>
      </c>
      <c r="AH250" s="23">
        <f>(Data[[#This Row],[DNL (%)]]/100)*Data[[#This Row],[VLDL (umol/L)]]</f>
        <v>7.0393126105464567</v>
      </c>
      <c r="AI250" s="66">
        <f>[4]SAMPLES!$L$164</f>
        <v>42.268335464711157</v>
      </c>
      <c r="AJ250" s="58">
        <f>(Data[[#This Row],[Gluconeogensis (%)]]/100)*Data[[#This Row],[Glucose (umol/L)]]</f>
        <v>2.2216237120252185</v>
      </c>
      <c r="AK250" s="27"/>
    </row>
    <row r="251" spans="1:37" s="19" customFormat="1" x14ac:dyDescent="0.25">
      <c r="A251" s="33">
        <v>270</v>
      </c>
      <c r="B251" s="33" t="s">
        <v>214</v>
      </c>
      <c r="C251" s="33" t="s">
        <v>226</v>
      </c>
      <c r="D251" s="33" t="s">
        <v>387</v>
      </c>
      <c r="E251" s="33" t="s">
        <v>407</v>
      </c>
      <c r="F251" s="33" t="s">
        <v>227</v>
      </c>
      <c r="G251" s="33">
        <v>47</v>
      </c>
      <c r="H251" s="33">
        <v>171</v>
      </c>
      <c r="I251" s="34">
        <v>80</v>
      </c>
      <c r="J251" s="34">
        <f t="shared" si="10"/>
        <v>27.358845456721728</v>
      </c>
      <c r="K251" s="33">
        <v>92</v>
      </c>
      <c r="L251" s="33">
        <v>109</v>
      </c>
      <c r="M251" s="35">
        <f>Data[[#This Row],[Waist_Circumference]]/Data[[#This Row],[Hip_circumference]]</f>
        <v>0.84403669724770647</v>
      </c>
      <c r="N251" s="45"/>
      <c r="O251" s="45"/>
      <c r="P251" s="45"/>
      <c r="Q251" s="67"/>
      <c r="R251" s="67"/>
      <c r="S251" s="67"/>
      <c r="T251" s="67"/>
      <c r="U251" s="35">
        <f>[51]Glucose!$F$24</f>
        <v>3.726</v>
      </c>
      <c r="V251" s="35">
        <f>[51]Insulin!$F$24</f>
        <v>11.669</v>
      </c>
      <c r="W251" s="35">
        <f>(Data[[#This Row],[Glucose (umol/L)]]*Data[[#This Row],[Insulin (umol/L)]])/22.5</f>
        <v>1.9323864000000002</v>
      </c>
      <c r="X251" s="35">
        <f>[51]NEFA!$F$24</f>
        <v>427.8</v>
      </c>
      <c r="Y251" s="35">
        <f>[51]TAG!$F$24</f>
        <v>1341.2</v>
      </c>
      <c r="Z251" s="35">
        <f>'[51]3OHB'!$F$24</f>
        <v>27.4</v>
      </c>
      <c r="AA251" s="35">
        <f>'[51]Chol, HDL'!$F$14</f>
        <v>4.49</v>
      </c>
      <c r="AB251" s="35">
        <f>'[51]Chol, HDL'!$F$31</f>
        <v>1.37</v>
      </c>
      <c r="AC251" s="35">
        <f>Data[[#This Row],[total_chol (umol/L)]]-Data[[#This Row],[HDL_chol (umol/L)]]</f>
        <v>3.12</v>
      </c>
      <c r="AD251" s="35">
        <f>Data[[#This Row],[Non_HDL (umol/L)]]-(Data[[#This Row],[TAG (umol/L)]]/2200)</f>
        <v>2.5103636363636364</v>
      </c>
      <c r="AE251" s="35">
        <v>914.64281999999992</v>
      </c>
      <c r="AF251" s="52">
        <f>[51]DNL!$F$15</f>
        <v>4.0430925777200375E-3</v>
      </c>
      <c r="AG251" s="35">
        <f>[51]DNL!$F$61</f>
        <v>14.312133029078494</v>
      </c>
      <c r="AH251" s="23">
        <f>(Data[[#This Row],[DNL (%)]]/100)*Data[[#This Row],[VLDL (umol/L)]]</f>
        <v>130.90489713931495</v>
      </c>
      <c r="AI251" s="66">
        <f>[4]SAMPLES!$L$165</f>
        <v>26.781032403832729</v>
      </c>
      <c r="AJ251" s="58">
        <f>(Data[[#This Row],[Gluconeogensis (%)]]/100)*Data[[#This Row],[Glucose (umol/L)]]</f>
        <v>0.99786126736680747</v>
      </c>
      <c r="AK251" s="27"/>
    </row>
    <row r="252" spans="1:37" s="19" customFormat="1" x14ac:dyDescent="0.25">
      <c r="A252" s="33">
        <v>271</v>
      </c>
      <c r="B252" s="33" t="s">
        <v>215</v>
      </c>
      <c r="C252" s="33" t="s">
        <v>226</v>
      </c>
      <c r="D252" s="33" t="s">
        <v>387</v>
      </c>
      <c r="E252" s="33" t="s">
        <v>407</v>
      </c>
      <c r="F252" s="33" t="s">
        <v>228</v>
      </c>
      <c r="G252" s="33">
        <v>42</v>
      </c>
      <c r="H252" s="33">
        <v>174</v>
      </c>
      <c r="I252" s="34">
        <v>91.2</v>
      </c>
      <c r="J252" s="34">
        <f t="shared" si="10"/>
        <v>30.122869599682918</v>
      </c>
      <c r="K252" s="33">
        <v>101</v>
      </c>
      <c r="L252" s="33">
        <v>103</v>
      </c>
      <c r="M252" s="35">
        <f>Data[[#This Row],[Waist_Circumference]]/Data[[#This Row],[Hip_circumference]]</f>
        <v>0.98058252427184467</v>
      </c>
      <c r="N252" s="45"/>
      <c r="O252" s="45"/>
      <c r="P252" s="45"/>
      <c r="Q252" s="67"/>
      <c r="R252" s="67"/>
      <c r="S252" s="67"/>
      <c r="T252" s="67"/>
      <c r="U252" s="35">
        <f>[51]Glucose!$G$24</f>
        <v>5.0599999999999996</v>
      </c>
      <c r="V252" s="35">
        <f>[51]Insulin!$G$24</f>
        <v>11.829000000000001</v>
      </c>
      <c r="W252" s="35">
        <f>(Data[[#This Row],[Glucose (umol/L)]]*Data[[#This Row],[Insulin (umol/L)]])/22.5</f>
        <v>2.6602106666666665</v>
      </c>
      <c r="X252" s="35">
        <f>[51]NEFA!$G$24</f>
        <v>351.1</v>
      </c>
      <c r="Y252" s="35">
        <f>[51]TAG!$G$24</f>
        <v>1381.5</v>
      </c>
      <c r="Z252" s="35">
        <f>'[51]3OHB'!$G$24</f>
        <v>53.6</v>
      </c>
      <c r="AA252" s="35">
        <f>'[51]Chol, HDL'!$G$14</f>
        <v>4.34</v>
      </c>
      <c r="AB252" s="35">
        <f>'[51]Chol, HDL'!$G$31</f>
        <v>0.84</v>
      </c>
      <c r="AC252" s="35">
        <f>Data[[#This Row],[total_chol (umol/L)]]-Data[[#This Row],[HDL_chol (umol/L)]]</f>
        <v>3.5</v>
      </c>
      <c r="AD252" s="35">
        <f>Data[[#This Row],[Non_HDL (umol/L)]]-(Data[[#This Row],[TAG (umol/L)]]/2200)</f>
        <v>2.8720454545454546</v>
      </c>
      <c r="AE252" s="35">
        <v>1311.9647400000001</v>
      </c>
      <c r="AF252" s="52">
        <f>[51]DNL!$G$15</f>
        <v>3.4459117322292445E-3</v>
      </c>
      <c r="AG252" s="35">
        <f>[51]DNL!$G$61</f>
        <v>11.803633769643886</v>
      </c>
      <c r="AH252" s="23">
        <f>(Data[[#This Row],[DNL (%)]]/100)*Data[[#This Row],[VLDL (umol/L)]]</f>
        <v>154.8595130964606</v>
      </c>
      <c r="AI252" s="66">
        <f>[4]SAMPLES!$L$166</f>
        <v>27.101801700900463</v>
      </c>
      <c r="AJ252" s="58">
        <f>(Data[[#This Row],[Gluconeogensis (%)]]/100)*Data[[#This Row],[Glucose (umol/L)]]</f>
        <v>1.3713511660655633</v>
      </c>
      <c r="AK252" s="27"/>
    </row>
    <row r="253" spans="1:37" s="19" customFormat="1" x14ac:dyDescent="0.25">
      <c r="A253" s="33">
        <v>272</v>
      </c>
      <c r="B253" s="33" t="s">
        <v>216</v>
      </c>
      <c r="C253" s="33" t="s">
        <v>226</v>
      </c>
      <c r="D253" s="33" t="s">
        <v>387</v>
      </c>
      <c r="E253" s="33" t="s">
        <v>23</v>
      </c>
      <c r="F253" s="33" t="s">
        <v>227</v>
      </c>
      <c r="G253" s="33">
        <v>46</v>
      </c>
      <c r="H253" s="33">
        <v>161</v>
      </c>
      <c r="I253" s="34">
        <v>90.3</v>
      </c>
      <c r="J253" s="34">
        <f t="shared" si="10"/>
        <v>34.836618957601942</v>
      </c>
      <c r="K253" s="33">
        <v>104</v>
      </c>
      <c r="L253" s="33">
        <v>118</v>
      </c>
      <c r="M253" s="35">
        <f>Data[[#This Row],[Waist_Circumference]]/Data[[#This Row],[Hip_circumference]]</f>
        <v>0.88135593220338981</v>
      </c>
      <c r="N253" s="45"/>
      <c r="O253" s="45"/>
      <c r="P253" s="45"/>
      <c r="Q253" s="67"/>
      <c r="R253" s="67"/>
      <c r="S253" s="67"/>
      <c r="T253" s="67"/>
      <c r="U253" s="35">
        <f>[51]Glucose!$H$7</f>
        <v>6.133</v>
      </c>
      <c r="V253" s="35">
        <f>[51]Insulin!$H$7</f>
        <v>12.861499999999999</v>
      </c>
      <c r="W253" s="35">
        <f>(Data[[#This Row],[Glucose (umol/L)]]*Data[[#This Row],[Insulin (umol/L)]])/22.5</f>
        <v>3.5057590888888885</v>
      </c>
      <c r="X253" s="35">
        <f>[51]NEFA!$H$7</f>
        <v>1009.5</v>
      </c>
      <c r="Y253" s="35">
        <f>[51]TAG!$H$7</f>
        <v>1313</v>
      </c>
      <c r="Z253" s="35">
        <f>'[51]3OHB'!$H$7</f>
        <v>175.2</v>
      </c>
      <c r="AA253" s="35">
        <f>'[51]Chol, HDL'!$H$7</f>
        <v>5.07</v>
      </c>
      <c r="AB253" s="35">
        <f>'[51]Chol, HDL'!$H$24</f>
        <v>1.1599999999999999</v>
      </c>
      <c r="AC253" s="35">
        <f>Data[[#This Row],[total_chol (umol/L)]]-Data[[#This Row],[HDL_chol (umol/L)]]</f>
        <v>3.91</v>
      </c>
      <c r="AD253" s="35">
        <f>Data[[#This Row],[Non_HDL (umol/L)]]-(Data[[#This Row],[TAG (umol/L)]]/2200)</f>
        <v>3.3131818181818184</v>
      </c>
      <c r="AE253" s="35">
        <v>988.16676749999999</v>
      </c>
      <c r="AF253" s="52">
        <f>[51]DNL!$H$5</f>
        <v>4.8423174135940137E-3</v>
      </c>
      <c r="AG253" s="35">
        <f>[51]DNL!$H$49</f>
        <v>4.0537304310686855</v>
      </c>
      <c r="AH253" s="23">
        <f>(Data[[#This Row],[DNL (%)]]/100)*Data[[#This Row],[VLDL (umol/L)]]</f>
        <v>40.057616963855246</v>
      </c>
      <c r="AI253" s="66">
        <f>[4]SAMPLES!$L$167</f>
        <v>41.758048946792989</v>
      </c>
      <c r="AJ253" s="58">
        <f>(Data[[#This Row],[Gluconeogensis (%)]]/100)*Data[[#This Row],[Glucose (umol/L)]]</f>
        <v>2.5610211419068141</v>
      </c>
      <c r="AK253" s="27"/>
    </row>
    <row r="254" spans="1:37" s="19" customFormat="1" x14ac:dyDescent="0.25">
      <c r="A254" s="33">
        <v>273</v>
      </c>
      <c r="B254" s="33" t="s">
        <v>217</v>
      </c>
      <c r="C254" s="33" t="s">
        <v>226</v>
      </c>
      <c r="D254" s="33" t="s">
        <v>387</v>
      </c>
      <c r="E254" s="33" t="s">
        <v>23</v>
      </c>
      <c r="F254" s="33" t="s">
        <v>228</v>
      </c>
      <c r="G254" s="33">
        <v>38</v>
      </c>
      <c r="H254" s="33">
        <v>174</v>
      </c>
      <c r="I254" s="34">
        <v>80.900000000000006</v>
      </c>
      <c r="J254" s="34">
        <f t="shared" si="10"/>
        <v>26.720834984806448</v>
      </c>
      <c r="K254" s="33">
        <v>87</v>
      </c>
      <c r="L254" s="33">
        <v>100</v>
      </c>
      <c r="M254" s="35">
        <f>Data[[#This Row],[Waist_Circumference]]/Data[[#This Row],[Hip_circumference]]</f>
        <v>0.87</v>
      </c>
      <c r="N254" s="45"/>
      <c r="O254" s="45"/>
      <c r="P254" s="45"/>
      <c r="Q254" s="67"/>
      <c r="R254" s="67"/>
      <c r="S254" s="67"/>
      <c r="T254" s="67"/>
      <c r="U254" s="35">
        <f>[51]Glucose!$I$7</f>
        <v>6.4429999999999996</v>
      </c>
      <c r="V254" s="35">
        <f>[51]Insulin!$I$7</f>
        <v>12.301449999999999</v>
      </c>
      <c r="W254" s="35">
        <f>(Data[[#This Row],[Glucose (umol/L)]]*Data[[#This Row],[Insulin (umol/L)]])/22.5</f>
        <v>3.5225885488888884</v>
      </c>
      <c r="X254" s="35">
        <f>[51]NEFA!$I$7</f>
        <v>286.89999999999998</v>
      </c>
      <c r="Y254" s="35">
        <f>[51]TAG!$I$7</f>
        <v>2430.6999999999998</v>
      </c>
      <c r="Z254" s="35">
        <f>'[51]3OHB'!$I$7</f>
        <v>20.7</v>
      </c>
      <c r="AA254" s="35">
        <f>'[51]Chol, HDL'!$I$7</f>
        <v>4.4000000000000004</v>
      </c>
      <c r="AB254" s="35">
        <f>'[51]Chol, HDL'!$I$24</f>
        <v>1.51</v>
      </c>
      <c r="AC254" s="35">
        <f>Data[[#This Row],[total_chol (umol/L)]]-Data[[#This Row],[HDL_chol (umol/L)]]</f>
        <v>2.8900000000000006</v>
      </c>
      <c r="AD254" s="35">
        <f>Data[[#This Row],[Non_HDL (umol/L)]]-(Data[[#This Row],[TAG (umol/L)]]/2200)</f>
        <v>1.7851363636363642</v>
      </c>
      <c r="AE254" s="35">
        <v>563.74056000000019</v>
      </c>
      <c r="AF254" s="52">
        <f>[51]DNL!$I$5</f>
        <v>2.8252012905524804E-3</v>
      </c>
      <c r="AG254" s="35">
        <f>[51]DNL!$I$49</f>
        <v>9.4744925314641577</v>
      </c>
      <c r="AH254" s="23">
        <f>(Data[[#This Row],[DNL (%)]]/100)*Data[[#This Row],[VLDL (umol/L)]]</f>
        <v>53.411557254034236</v>
      </c>
      <c r="AI254" s="66">
        <f>[4]SAMPLES!$L$168</f>
        <v>10.930152720975839</v>
      </c>
      <c r="AJ254" s="58">
        <f>(Data[[#This Row],[Gluconeogensis (%)]]/100)*Data[[#This Row],[Glucose (umol/L)]]</f>
        <v>0.70422973981247328</v>
      </c>
      <c r="AK254" s="27"/>
    </row>
    <row r="255" spans="1:37" s="19" customFormat="1" x14ac:dyDescent="0.25">
      <c r="A255" s="33">
        <v>274</v>
      </c>
      <c r="B255" s="33" t="s">
        <v>218</v>
      </c>
      <c r="C255" s="33" t="s">
        <v>226</v>
      </c>
      <c r="D255" s="33" t="s">
        <v>387</v>
      </c>
      <c r="E255" s="33" t="s">
        <v>407</v>
      </c>
      <c r="F255" s="33" t="s">
        <v>228</v>
      </c>
      <c r="G255" s="33">
        <v>46</v>
      </c>
      <c r="H255" s="33">
        <v>168</v>
      </c>
      <c r="I255" s="34">
        <v>85.5</v>
      </c>
      <c r="J255" s="34">
        <f t="shared" si="10"/>
        <v>30.29336734693878</v>
      </c>
      <c r="K255" s="33">
        <v>98</v>
      </c>
      <c r="L255" s="33">
        <v>104</v>
      </c>
      <c r="M255" s="35">
        <f>Data[[#This Row],[Waist_Circumference]]/Data[[#This Row],[Hip_circumference]]</f>
        <v>0.94230769230769229</v>
      </c>
      <c r="N255" s="45"/>
      <c r="O255" s="45"/>
      <c r="P255" s="45"/>
      <c r="Q255" s="67"/>
      <c r="R255" s="67"/>
      <c r="S255" s="67"/>
      <c r="T255" s="67"/>
      <c r="U255" s="35">
        <f>[51]Glucose!$J$24</f>
        <v>5.3410000000000002</v>
      </c>
      <c r="V255" s="35">
        <f>[51]Insulin!$J$24</f>
        <v>11.93</v>
      </c>
      <c r="W255" s="35">
        <f>(Data[[#This Row],[Glucose (umol/L)]]*Data[[#This Row],[Insulin (umol/L)]])/22.5</f>
        <v>2.8319168888888888</v>
      </c>
      <c r="X255" s="35">
        <f>[51]NEFA!$J$24</f>
        <v>516.29999999999995</v>
      </c>
      <c r="Y255" s="35">
        <f>[51]TAG!$J$24</f>
        <v>1075.1999999999998</v>
      </c>
      <c r="Z255" s="35">
        <f>'[51]3OHB'!$J$24</f>
        <v>89.1</v>
      </c>
      <c r="AA255" s="35">
        <f>'[51]Chol, HDL'!$J$14</f>
        <v>4.76</v>
      </c>
      <c r="AB255" s="35">
        <f>'[51]Chol, HDL'!$J$31</f>
        <v>1.67</v>
      </c>
      <c r="AC255" s="35">
        <f>Data[[#This Row],[total_chol (umol/L)]]-Data[[#This Row],[HDL_chol (umol/L)]]</f>
        <v>3.09</v>
      </c>
      <c r="AD255" s="35">
        <f>Data[[#This Row],[Non_HDL (umol/L)]]-(Data[[#This Row],[TAG (umol/L)]]/2200)</f>
        <v>2.6012727272727272</v>
      </c>
      <c r="AE255" s="35">
        <v>602.45135999999991</v>
      </c>
      <c r="AF255" s="52">
        <f>[51]DNL!$J$15</f>
        <v>3.3267505621265309E-3</v>
      </c>
      <c r="AG255" s="35">
        <f>[51]DNL!$J$61</f>
        <v>1.9982679696571963</v>
      </c>
      <c r="AH255" s="23">
        <f>(Data[[#This Row],[DNL (%)]]/100)*Data[[#This Row],[VLDL (umol/L)]]</f>
        <v>12.038592559644165</v>
      </c>
      <c r="AI255" s="66">
        <f>[4]SAMPLES!$L$169</f>
        <v>29.027374867948247</v>
      </c>
      <c r="AJ255" s="58">
        <f>(Data[[#This Row],[Gluconeogensis (%)]]/100)*Data[[#This Row],[Glucose (umol/L)]]</f>
        <v>1.5503520916971159</v>
      </c>
      <c r="AK255" s="27"/>
    </row>
    <row r="256" spans="1:37" s="19" customFormat="1" x14ac:dyDescent="0.25">
      <c r="A256" s="33">
        <v>275</v>
      </c>
      <c r="B256" s="33" t="s">
        <v>219</v>
      </c>
      <c r="C256" s="33" t="s">
        <v>226</v>
      </c>
      <c r="D256" s="33" t="s">
        <v>387</v>
      </c>
      <c r="E256" s="33" t="s">
        <v>23</v>
      </c>
      <c r="F256" s="33" t="s">
        <v>227</v>
      </c>
      <c r="G256" s="33">
        <v>42</v>
      </c>
      <c r="H256" s="33">
        <v>169</v>
      </c>
      <c r="I256" s="34">
        <v>84.2</v>
      </c>
      <c r="J256" s="34">
        <f t="shared" si="10"/>
        <v>29.480760477574318</v>
      </c>
      <c r="K256" s="33">
        <v>111</v>
      </c>
      <c r="L256" s="33">
        <v>109</v>
      </c>
      <c r="M256" s="35">
        <f>Data[[#This Row],[Waist_Circumference]]/Data[[#This Row],[Hip_circumference]]</f>
        <v>1.0183486238532109</v>
      </c>
      <c r="N256" s="45"/>
      <c r="O256" s="45"/>
      <c r="P256" s="45"/>
      <c r="Q256" s="67"/>
      <c r="R256" s="67"/>
      <c r="S256" s="67"/>
      <c r="T256" s="67"/>
      <c r="U256" s="35">
        <f>[51]Glucose!$K$7</f>
        <v>5.0940000000000003</v>
      </c>
      <c r="V256" s="35">
        <f>[51]Insulin!$K$7</f>
        <v>6.0645000000000007</v>
      </c>
      <c r="W256" s="35">
        <f>(Data[[#This Row],[Glucose (umol/L)]]*Data[[#This Row],[Insulin (umol/L)]])/22.5</f>
        <v>1.3730028000000003</v>
      </c>
      <c r="X256" s="35">
        <f>[51]NEFA!$K$7</f>
        <v>389.4</v>
      </c>
      <c r="Y256" s="35">
        <f>[51]TAG!$K$7</f>
        <v>803.30000000000007</v>
      </c>
      <c r="Z256" s="35">
        <f>'[51]3OHB'!$K$7</f>
        <v>85.4</v>
      </c>
      <c r="AA256" s="35">
        <f>'[51]Chol, HDL'!$K$7</f>
        <v>4.4800000000000004</v>
      </c>
      <c r="AB256" s="35">
        <f>'[51]Chol, HDL'!$K$24</f>
        <v>1.38</v>
      </c>
      <c r="AC256" s="35">
        <f>Data[[#This Row],[total_chol (umol/L)]]-Data[[#This Row],[HDL_chol (umol/L)]]</f>
        <v>3.1000000000000005</v>
      </c>
      <c r="AD256" s="35">
        <f>Data[[#This Row],[Non_HDL (umol/L)]]-(Data[[#This Row],[TAG (umol/L)]]/2200)</f>
        <v>2.7348636363636367</v>
      </c>
      <c r="AE256" s="35">
        <v>722.21160374999999</v>
      </c>
      <c r="AF256" s="52">
        <f>[51]DNL!$K$5</f>
        <v>3.8661780808910478E-3</v>
      </c>
      <c r="AG256" s="35">
        <f>[51]DNL!$K$49</f>
        <v>6.037962938000744</v>
      </c>
      <c r="AH256" s="23">
        <f>(Data[[#This Row],[DNL (%)]]/100)*Data[[#This Row],[VLDL (umol/L)]]</f>
        <v>43.606868968365788</v>
      </c>
      <c r="AI256" s="66">
        <f>[4]SAMPLES!$L$170</f>
        <v>30.083570755873868</v>
      </c>
      <c r="AJ256" s="58">
        <f>(Data[[#This Row],[Gluconeogensis (%)]]/100)*Data[[#This Row],[Glucose (umol/L)]]</f>
        <v>1.5324570943042148</v>
      </c>
      <c r="AK256" s="27"/>
    </row>
    <row r="257" spans="1:37" s="19" customFormat="1" x14ac:dyDescent="0.25">
      <c r="A257" s="33">
        <v>276</v>
      </c>
      <c r="B257" s="33" t="s">
        <v>220</v>
      </c>
      <c r="C257" s="33" t="s">
        <v>226</v>
      </c>
      <c r="D257" s="33" t="s">
        <v>387</v>
      </c>
      <c r="E257" s="33" t="s">
        <v>407</v>
      </c>
      <c r="F257" s="33" t="s">
        <v>228</v>
      </c>
      <c r="G257" s="33">
        <v>39</v>
      </c>
      <c r="H257" s="33">
        <v>185</v>
      </c>
      <c r="I257" s="34">
        <v>94.1</v>
      </c>
      <c r="J257" s="34">
        <f t="shared" si="10"/>
        <v>27.494521548575598</v>
      </c>
      <c r="K257" s="33">
        <v>96</v>
      </c>
      <c r="L257" s="33">
        <v>105</v>
      </c>
      <c r="M257" s="35">
        <f>Data[[#This Row],[Waist_Circumference]]/Data[[#This Row],[Hip_circumference]]</f>
        <v>0.91428571428571426</v>
      </c>
      <c r="N257" s="45"/>
      <c r="O257" s="45"/>
      <c r="P257" s="45"/>
      <c r="Q257" s="67"/>
      <c r="R257" s="67"/>
      <c r="S257" s="67"/>
      <c r="T257" s="67"/>
      <c r="U257" s="35">
        <f>[51]Glucose!$L$24</f>
        <v>5.0220000000000002</v>
      </c>
      <c r="V257" s="35">
        <f>[51]Insulin!$L$24</f>
        <v>7.3740000000000006</v>
      </c>
      <c r="W257" s="35">
        <f>(Data[[#This Row],[Glucose (umol/L)]]*Data[[#This Row],[Insulin (umol/L)]])/22.5</f>
        <v>1.6458768000000001</v>
      </c>
      <c r="X257" s="35">
        <f>[51]NEFA!$L$24</f>
        <v>485.6</v>
      </c>
      <c r="Y257" s="35">
        <f>[51]TAG!$L$24</f>
        <v>611.80000000000007</v>
      </c>
      <c r="Z257" s="35">
        <f>'[51]3OHB'!$L$24</f>
        <v>323.2</v>
      </c>
      <c r="AA257" s="35">
        <f>'[51]Chol, HDL'!$L$14</f>
        <v>3.9</v>
      </c>
      <c r="AB257" s="35">
        <f>'[51]Chol, HDL'!$L$31</f>
        <v>1.47</v>
      </c>
      <c r="AC257" s="35">
        <f>Data[[#This Row],[total_chol (umol/L)]]-Data[[#This Row],[HDL_chol (umol/L)]]</f>
        <v>2.4299999999999997</v>
      </c>
      <c r="AD257" s="35">
        <f>Data[[#This Row],[Non_HDL (umol/L)]]-(Data[[#This Row],[TAG (umol/L)]]/2200)</f>
        <v>2.1519090909090908</v>
      </c>
      <c r="AE257" s="35">
        <v>326.42020875000009</v>
      </c>
      <c r="AF257" s="52">
        <f>[51]DNL!$L$15</f>
        <v>3.1477397821848326E-3</v>
      </c>
      <c r="AG257" s="35">
        <f>[51]DNL!$L$61</f>
        <v>2.1819004383647793</v>
      </c>
      <c r="AH257" s="23">
        <f>(Data[[#This Row],[DNL (%)]]/100)*Data[[#This Row],[VLDL (umol/L)]]</f>
        <v>7.1221639656274798</v>
      </c>
      <c r="AI257" s="66">
        <f>[4]SAMPLES!$L$171</f>
        <v>36.861948566093766</v>
      </c>
      <c r="AJ257" s="58">
        <f>(Data[[#This Row],[Gluconeogensis (%)]]/100)*Data[[#This Row],[Glucose (umol/L)]]</f>
        <v>1.8512070569892289</v>
      </c>
      <c r="AK257" s="27"/>
    </row>
    <row r="258" spans="1:37" s="19" customFormat="1" x14ac:dyDescent="0.25">
      <c r="A258" s="33">
        <v>277</v>
      </c>
      <c r="B258" s="33" t="s">
        <v>221</v>
      </c>
      <c r="C258" s="33" t="s">
        <v>226</v>
      </c>
      <c r="D258" s="33" t="s">
        <v>387</v>
      </c>
      <c r="E258" s="33" t="s">
        <v>23</v>
      </c>
      <c r="F258" s="33" t="s">
        <v>228</v>
      </c>
      <c r="G258" s="33">
        <v>47</v>
      </c>
      <c r="H258" s="33">
        <v>180</v>
      </c>
      <c r="I258" s="34">
        <v>109.4</v>
      </c>
      <c r="J258" s="34">
        <f t="shared" ref="J258:J262" si="12">I258/((H258/100)*(H258/100))</f>
        <v>33.76543209876543</v>
      </c>
      <c r="K258" s="33">
        <v>115</v>
      </c>
      <c r="L258" s="33">
        <v>108</v>
      </c>
      <c r="M258" s="35">
        <f>Data[[#This Row],[Waist_Circumference]]/Data[[#This Row],[Hip_circumference]]</f>
        <v>1.0648148148148149</v>
      </c>
      <c r="N258" s="45"/>
      <c r="O258" s="45"/>
      <c r="P258" s="45"/>
      <c r="Q258" s="67"/>
      <c r="R258" s="67"/>
      <c r="S258" s="67"/>
      <c r="T258" s="67"/>
      <c r="U258" s="35">
        <f>[51]Glucose!$M$7</f>
        <v>5.9420000000000002</v>
      </c>
      <c r="V258" s="35">
        <f>[51]Insulin!$M$7</f>
        <v>17.535499999999999</v>
      </c>
      <c r="W258" s="35">
        <f>(Data[[#This Row],[Glucose (umol/L)]]*Data[[#This Row],[Insulin (umol/L)]])/22.5</f>
        <v>4.6309307111111107</v>
      </c>
      <c r="X258" s="35">
        <f>[51]NEFA!$M$7</f>
        <v>349.6</v>
      </c>
      <c r="Y258" s="35">
        <f>[51]TAG!$M$7</f>
        <v>1719.3</v>
      </c>
      <c r="Z258" s="35">
        <f>'[51]3OHB'!$M$7</f>
        <v>61.8</v>
      </c>
      <c r="AA258" s="35">
        <f>'[51]Chol, HDL'!$M$7</f>
        <v>4.68</v>
      </c>
      <c r="AB258" s="35">
        <f>'[51]Chol, HDL'!$M$24</f>
        <v>0.79</v>
      </c>
      <c r="AC258" s="35">
        <f>Data[[#This Row],[total_chol (umol/L)]]-Data[[#This Row],[HDL_chol (umol/L)]]</f>
        <v>3.8899999999999997</v>
      </c>
      <c r="AD258" s="35">
        <f>Data[[#This Row],[Non_HDL (umol/L)]]-(Data[[#This Row],[TAG (umol/L)]]/2200)</f>
        <v>3.1084999999999998</v>
      </c>
      <c r="AE258" s="35">
        <v>1152.6038099999998</v>
      </c>
      <c r="AF258" s="52">
        <f>[51]DNL!$M$5</f>
        <v>4.1591927021674777E-3</v>
      </c>
      <c r="AG258" s="35">
        <f>[51]DNL!$M$49</f>
        <v>4.2250197275868837</v>
      </c>
      <c r="AH258" s="23">
        <f>(Data[[#This Row],[DNL (%)]]/100)*Data[[#This Row],[VLDL (umol/L)]]</f>
        <v>48.697738353418039</v>
      </c>
      <c r="AI258" s="66">
        <f>[4]SAMPLES!$L$172</f>
        <v>23.101111002962487</v>
      </c>
      <c r="AJ258" s="58">
        <f>(Data[[#This Row],[Gluconeogensis (%)]]/100)*Data[[#This Row],[Glucose (umol/L)]]</f>
        <v>1.3726680157960311</v>
      </c>
      <c r="AK258" s="27"/>
    </row>
    <row r="259" spans="1:37" x14ac:dyDescent="0.25">
      <c r="A259" s="33">
        <v>278</v>
      </c>
      <c r="B259" s="33" t="s">
        <v>222</v>
      </c>
      <c r="C259" s="33" t="s">
        <v>226</v>
      </c>
      <c r="D259" s="33" t="s">
        <v>387</v>
      </c>
      <c r="E259" s="33" t="s">
        <v>23</v>
      </c>
      <c r="F259" s="33" t="s">
        <v>228</v>
      </c>
      <c r="G259" s="33">
        <v>35</v>
      </c>
      <c r="H259" s="33">
        <v>186</v>
      </c>
      <c r="I259" s="34">
        <v>97.7</v>
      </c>
      <c r="J259" s="34">
        <f t="shared" si="12"/>
        <v>28.240258989478548</v>
      </c>
      <c r="K259" s="33">
        <v>186</v>
      </c>
      <c r="L259" s="33">
        <v>112</v>
      </c>
      <c r="M259" s="35">
        <f>Data[[#This Row],[Waist_Circumference]]/Data[[#This Row],[Hip_circumference]]</f>
        <v>1.6607142857142858</v>
      </c>
      <c r="N259" s="45"/>
      <c r="O259" s="45"/>
      <c r="P259" s="45"/>
      <c r="Q259" s="67"/>
      <c r="R259" s="67"/>
      <c r="S259" s="67"/>
      <c r="T259" s="67"/>
      <c r="U259" s="35">
        <f>[51]Glucose!$N$7</f>
        <v>5.0110000000000001</v>
      </c>
      <c r="V259" s="35">
        <f>[51]Insulin!$N$7</f>
        <v>11.103999999999999</v>
      </c>
      <c r="W259" s="35">
        <f>(Data[[#This Row],[Glucose (umol/L)]]*Data[[#This Row],[Insulin (umol/L)]])/22.5</f>
        <v>2.4729841777777777</v>
      </c>
      <c r="X259" s="35">
        <f>[51]NEFA!$N$7</f>
        <v>413.65</v>
      </c>
      <c r="Y259" s="35">
        <f>[51]TAG!$N$7</f>
        <v>457.40000000000003</v>
      </c>
      <c r="Z259" s="35">
        <f>'[51]3OHB'!$N$7</f>
        <v>104.7</v>
      </c>
      <c r="AA259" s="35">
        <f>'[51]Chol, HDL'!$N$7</f>
        <v>3.47</v>
      </c>
      <c r="AB259" s="35">
        <f>'[51]Chol, HDL'!$N$24</f>
        <v>1.42</v>
      </c>
      <c r="AC259" s="35">
        <f>Data[[#This Row],[total_chol (umol/L)]]-Data[[#This Row],[HDL_chol (umol/L)]]</f>
        <v>2.0500000000000003</v>
      </c>
      <c r="AD259" s="35">
        <f>Data[[#This Row],[Non_HDL (umol/L)]]-(Data[[#This Row],[TAG (umol/L)]]/2200)</f>
        <v>1.8420909090909094</v>
      </c>
      <c r="AE259" s="35">
        <v>130.85787000000002</v>
      </c>
      <c r="AF259" s="52">
        <f>[51]DNL!$N$5</f>
        <v>3.6092110245629066E-3</v>
      </c>
      <c r="AG259" s="35">
        <f>[51]DNL!$N$49</f>
        <v>6.091725567836086</v>
      </c>
      <c r="AH259" s="23">
        <f>(Data[[#This Row],[DNL (%)]]/100)*Data[[#This Row],[VLDL (umol/L)]]</f>
        <v>7.9715023243157077</v>
      </c>
      <c r="AI259" s="66">
        <f>[4]SAMPLES!$L$173</f>
        <v>19.764717014830165</v>
      </c>
      <c r="AJ259" s="58">
        <f>(Data[[#This Row],[Gluconeogensis (%)]]/100)*Data[[#This Row],[Glucose (umol/L)]]</f>
        <v>0.99040996961313965</v>
      </c>
      <c r="AK259" s="27"/>
    </row>
    <row r="260" spans="1:37" x14ac:dyDescent="0.25">
      <c r="A260" s="33">
        <v>279</v>
      </c>
      <c r="B260" s="33" t="s">
        <v>223</v>
      </c>
      <c r="C260" s="33" t="s">
        <v>226</v>
      </c>
      <c r="D260" s="33" t="s">
        <v>387</v>
      </c>
      <c r="E260" s="33" t="s">
        <v>407</v>
      </c>
      <c r="F260" s="33" t="s">
        <v>228</v>
      </c>
      <c r="G260" s="33">
        <v>47</v>
      </c>
      <c r="H260" s="33">
        <v>178</v>
      </c>
      <c r="I260" s="34">
        <v>101.5</v>
      </c>
      <c r="J260" s="34">
        <f t="shared" si="12"/>
        <v>32.035096578714807</v>
      </c>
      <c r="K260" s="33">
        <v>120</v>
      </c>
      <c r="L260" s="33">
        <v>110</v>
      </c>
      <c r="M260" s="35">
        <f>Data[[#This Row],[Waist_Circumference]]/Data[[#This Row],[Hip_circumference]]</f>
        <v>1.0909090909090908</v>
      </c>
      <c r="N260" s="45"/>
      <c r="O260" s="45"/>
      <c r="P260" s="45"/>
      <c r="Q260" s="67"/>
      <c r="R260" s="67"/>
      <c r="S260" s="67"/>
      <c r="T260" s="67"/>
      <c r="U260" s="35">
        <f>[51]Glucose!$O$24</f>
        <v>5.0789999999999997</v>
      </c>
      <c r="V260" s="35">
        <f>[51]Insulin!$O$24</f>
        <v>17.885999999999999</v>
      </c>
      <c r="W260" s="35">
        <f>(Data[[#This Row],[Glucose (umol/L)]]*Data[[#This Row],[Insulin (umol/L)]])/22.5</f>
        <v>4.0374663999999996</v>
      </c>
      <c r="X260" s="35">
        <f>[51]NEFA!$O$24</f>
        <v>303</v>
      </c>
      <c r="Y260" s="35">
        <f>[51]TAG!$O$24</f>
        <v>1721.6</v>
      </c>
      <c r="Z260" s="35">
        <f>'[51]3OHB'!$O$24</f>
        <v>35.9</v>
      </c>
      <c r="AA260" s="35">
        <f>'[51]Chol, HDL'!$O$14</f>
        <v>5.54</v>
      </c>
      <c r="AB260" s="35">
        <f>'[51]Chol, HDL'!$O$31</f>
        <v>0.95</v>
      </c>
      <c r="AC260" s="35">
        <f>Data[[#This Row],[total_chol (umol/L)]]-Data[[#This Row],[HDL_chol (umol/L)]]</f>
        <v>4.59</v>
      </c>
      <c r="AD260" s="35">
        <f>Data[[#This Row],[Non_HDL (umol/L)]]-(Data[[#This Row],[TAG (umol/L)]]/2200)</f>
        <v>3.8074545454545454</v>
      </c>
      <c r="AE260" s="35">
        <v>1223.1611474999997</v>
      </c>
      <c r="AF260" s="52">
        <f>[51]DNL!$O$15</f>
        <v>3.5890662645323484E-3</v>
      </c>
      <c r="AG260" s="35">
        <f>[51]DNL!$O$61</f>
        <v>12.013570439313739</v>
      </c>
      <c r="AH260" s="23">
        <f>(Data[[#This Row],[DNL (%)]]/100)*Data[[#This Row],[VLDL (umol/L)]]</f>
        <v>146.94532604123069</v>
      </c>
      <c r="AI260" s="66">
        <f>[4]SAMPLES!$L$174</f>
        <v>18.352016614072884</v>
      </c>
      <c r="AJ260" s="58">
        <f>(Data[[#This Row],[Gluconeogensis (%)]]/100)*Data[[#This Row],[Glucose (umol/L)]]</f>
        <v>0.93209892382876169</v>
      </c>
      <c r="AK260" s="27"/>
    </row>
    <row r="261" spans="1:37" x14ac:dyDescent="0.25">
      <c r="A261" s="33">
        <v>280</v>
      </c>
      <c r="B261" s="33" t="s">
        <v>224</v>
      </c>
      <c r="C261" s="33" t="s">
        <v>226</v>
      </c>
      <c r="D261" s="33" t="s">
        <v>387</v>
      </c>
      <c r="E261" s="33" t="s">
        <v>407</v>
      </c>
      <c r="F261" s="33" t="s">
        <v>227</v>
      </c>
      <c r="G261" s="33">
        <v>50</v>
      </c>
      <c r="H261" s="33">
        <v>175</v>
      </c>
      <c r="I261" s="34">
        <v>93.5</v>
      </c>
      <c r="J261" s="34">
        <f t="shared" si="12"/>
        <v>30.530612244897959</v>
      </c>
      <c r="K261" s="33">
        <v>100</v>
      </c>
      <c r="L261" s="33">
        <v>118</v>
      </c>
      <c r="M261" s="35">
        <f>Data[[#This Row],[Waist_Circumference]]/Data[[#This Row],[Hip_circumference]]</f>
        <v>0.84745762711864403</v>
      </c>
      <c r="N261" s="45"/>
      <c r="O261" s="45"/>
      <c r="P261" s="45"/>
      <c r="Q261" s="67"/>
      <c r="R261" s="67"/>
      <c r="S261" s="67"/>
      <c r="T261" s="67"/>
      <c r="U261" s="35">
        <f>[51]Glucose!$P$24</f>
        <v>4.6310000000000002</v>
      </c>
      <c r="V261" s="35">
        <f>[51]Insulin!$P$24</f>
        <v>4.1260000000000003</v>
      </c>
      <c r="W261" s="35">
        <f>(Data[[#This Row],[Glucose (umol/L)]]*Data[[#This Row],[Insulin (umol/L)]])/22.5</f>
        <v>0.84922248888888896</v>
      </c>
      <c r="X261" s="35">
        <f>[51]NEFA!$P$24</f>
        <v>256.45000000000005</v>
      </c>
      <c r="Y261" s="35">
        <f>[51]TAG!$P$24</f>
        <v>809.3</v>
      </c>
      <c r="Z261" s="35">
        <f>'[51]3OHB'!$P$24</f>
        <v>28.2</v>
      </c>
      <c r="AA261" s="35">
        <f>'[51]Chol, HDL'!$P$14</f>
        <v>5.22</v>
      </c>
      <c r="AB261" s="35">
        <f>'[51]Chol, HDL'!$P$31</f>
        <v>1.9</v>
      </c>
      <c r="AC261" s="35">
        <f>Data[[#This Row],[total_chol (umol/L)]]-Data[[#This Row],[HDL_chol (umol/L)]]</f>
        <v>3.32</v>
      </c>
      <c r="AD261" s="35">
        <f>Data[[#This Row],[Non_HDL (umol/L)]]-(Data[[#This Row],[TAG (umol/L)]]/2200)</f>
        <v>2.9521363636363636</v>
      </c>
      <c r="AE261" s="35">
        <v>441.83424375000004</v>
      </c>
      <c r="AF261" s="52">
        <f>[51]DNL!$P$15</f>
        <v>4.0434672806234596E-3</v>
      </c>
      <c r="AG261" s="35">
        <f>[51]DNL!$P$61</f>
        <v>3.6357709506040696</v>
      </c>
      <c r="AH261" s="23">
        <f>(Data[[#This Row],[DNL (%)]]/100)*Data[[#This Row],[VLDL (umol/L)]]</f>
        <v>16.064081084083679</v>
      </c>
      <c r="AI261" s="66">
        <f>[4]SAMPLES!$L$175</f>
        <v>25.421238350426762</v>
      </c>
      <c r="AJ261" s="58">
        <f>(Data[[#This Row],[Gluconeogensis (%)]]/100)*Data[[#This Row],[Glucose (umol/L)]]</f>
        <v>1.1772575480082634</v>
      </c>
      <c r="AK261" s="27"/>
    </row>
    <row r="262" spans="1:37" x14ac:dyDescent="0.25">
      <c r="A262" s="33">
        <v>281</v>
      </c>
      <c r="B262" s="33" t="s">
        <v>225</v>
      </c>
      <c r="C262" s="33" t="s">
        <v>226</v>
      </c>
      <c r="D262" s="33" t="s">
        <v>387</v>
      </c>
      <c r="E262" s="33" t="s">
        <v>23</v>
      </c>
      <c r="F262" s="33" t="s">
        <v>227</v>
      </c>
      <c r="G262" s="33">
        <v>46</v>
      </c>
      <c r="H262" s="33">
        <v>178</v>
      </c>
      <c r="I262" s="34">
        <v>89.5</v>
      </c>
      <c r="J262" s="34">
        <f t="shared" si="12"/>
        <v>28.247695997980053</v>
      </c>
      <c r="K262" s="33">
        <v>95</v>
      </c>
      <c r="L262" s="33">
        <v>112</v>
      </c>
      <c r="M262" s="35">
        <f>Data[[#This Row],[Waist_Circumference]]/Data[[#This Row],[Hip_circumference]]</f>
        <v>0.8482142857142857</v>
      </c>
      <c r="N262" s="45"/>
      <c r="O262" s="45"/>
      <c r="P262" s="45"/>
      <c r="Q262" s="67"/>
      <c r="R262" s="67"/>
      <c r="S262" s="67"/>
      <c r="T262" s="67"/>
      <c r="U262" s="35">
        <f>[51]Glucose!$Q$7</f>
        <v>5.2759999999999998</v>
      </c>
      <c r="V262" s="35">
        <f>[51]Insulin!$Q$7</f>
        <v>9.129999999999999</v>
      </c>
      <c r="W262" s="35">
        <f>(Data[[#This Row],[Glucose (umol/L)]]*Data[[#This Row],[Insulin (umol/L)]])/22.5</f>
        <v>2.140883555555555</v>
      </c>
      <c r="X262" s="35">
        <f>[51]NEFA!$Q$7</f>
        <v>253.3</v>
      </c>
      <c r="Y262" s="35">
        <f>[51]TAG!$Q$7</f>
        <v>509.69999999999993</v>
      </c>
      <c r="Z262" s="35">
        <f>'[51]3OHB'!$Q$7</f>
        <v>49.2</v>
      </c>
      <c r="AA262" s="35">
        <f>'[51]Chol, HDL'!$Q$7</f>
        <v>3.73</v>
      </c>
      <c r="AB262" s="35">
        <f>'[51]Chol, HDL'!$Q$24</f>
        <v>1.1399999999999999</v>
      </c>
      <c r="AC262" s="35">
        <f>Data[[#This Row],[total_chol (umol/L)]]-Data[[#This Row],[HDL_chol (umol/L)]]</f>
        <v>2.59</v>
      </c>
      <c r="AD262" s="35">
        <f>Data[[#This Row],[Non_HDL (umol/L)]]-(Data[[#This Row],[TAG (umol/L)]]/2200)</f>
        <v>2.3583181818181815</v>
      </c>
      <c r="AE262" s="35">
        <v>122.56221375</v>
      </c>
      <c r="AF262" s="52">
        <f>[51]DNL!$Q$5</f>
        <v>4.1343521598448101E-3</v>
      </c>
      <c r="AG262" s="35">
        <f>[51]DNL!$Q$49</f>
        <v>4.038360353064169</v>
      </c>
      <c r="AH262" s="23">
        <f>(Data[[#This Row],[DNL (%)]]/100)*Data[[#This Row],[VLDL (umol/L)]]</f>
        <v>4.9495038479177609</v>
      </c>
      <c r="AI262" s="66">
        <f>[4]SAMPLES!$L$176</f>
        <v>30.372525199466278</v>
      </c>
      <c r="AJ262" s="58">
        <f>(Data[[#This Row],[Gluconeogensis (%)]]/100)*Data[[#This Row],[Glucose (umol/L)]]</f>
        <v>1.6024544295238408</v>
      </c>
      <c r="AK262" s="27"/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CA155-E1E2-6143-972C-7637A1814146}">
  <dimension ref="A1:AZ158"/>
  <sheetViews>
    <sheetView tabSelected="1" topLeftCell="AN1" zoomScale="120" zoomScaleNormal="120" workbookViewId="0">
      <selection activeCell="AZ10" sqref="AZ10"/>
    </sheetView>
  </sheetViews>
  <sheetFormatPr defaultColWidth="8.85546875" defaultRowHeight="15" x14ac:dyDescent="0.25"/>
  <cols>
    <col min="2" max="2" width="11.140625" bestFit="1" customWidth="1"/>
    <col min="3" max="3" width="20.85546875" customWidth="1"/>
    <col min="4" max="4" width="14.28515625" customWidth="1"/>
    <col min="8" max="8" width="10" customWidth="1"/>
    <col min="11" max="11" width="9.7109375" customWidth="1"/>
    <col min="13" max="13" width="22.28515625" customWidth="1"/>
    <col min="14" max="15" width="20.28515625" customWidth="1"/>
    <col min="16" max="16" width="13" customWidth="1"/>
    <col min="17" max="17" width="14.7109375" style="2" customWidth="1"/>
    <col min="18" max="18" width="15" style="2" customWidth="1"/>
    <col min="19" max="19" width="22.85546875" style="4" customWidth="1"/>
    <col min="20" max="20" width="15.28515625" style="4" customWidth="1"/>
    <col min="21" max="22" width="15.42578125" customWidth="1"/>
    <col min="23" max="23" width="10.28515625" style="3" customWidth="1"/>
    <col min="24" max="24" width="13.140625" style="3" customWidth="1"/>
    <col min="25" max="25" width="14.28515625" style="3" customWidth="1"/>
    <col min="26" max="26" width="10.42578125" style="3" bestFit="1" customWidth="1"/>
    <col min="29" max="29" width="12" customWidth="1"/>
    <col min="30" max="31" width="11.28515625" customWidth="1"/>
    <col min="32" max="32" width="17.140625" style="3" customWidth="1"/>
    <col min="34" max="34" width="15.140625" customWidth="1"/>
    <col min="35" max="35" width="20.28515625" customWidth="1"/>
    <col min="36" max="36" width="22.7109375" customWidth="1"/>
    <col min="37" max="38" width="20.42578125" customWidth="1"/>
    <col min="39" max="41" width="23.7109375" customWidth="1"/>
    <col min="42" max="42" width="35.85546875" customWidth="1"/>
    <col min="50" max="50" width="20.85546875" customWidth="1"/>
  </cols>
  <sheetData>
    <row r="1" spans="1:52" x14ac:dyDescent="0.25">
      <c r="A1" t="s">
        <v>322</v>
      </c>
      <c r="B1" t="s">
        <v>0</v>
      </c>
      <c r="C1" t="s">
        <v>1</v>
      </c>
      <c r="D1" t="s">
        <v>10</v>
      </c>
      <c r="E1" t="s">
        <v>11</v>
      </c>
      <c r="F1" t="s">
        <v>390</v>
      </c>
      <c r="G1" t="s">
        <v>2</v>
      </c>
      <c r="H1" t="s">
        <v>6</v>
      </c>
      <c r="I1" t="s">
        <v>28</v>
      </c>
      <c r="J1" t="s">
        <v>29</v>
      </c>
      <c r="K1" t="s">
        <v>3</v>
      </c>
      <c r="L1" t="s">
        <v>4</v>
      </c>
      <c r="M1" t="s">
        <v>5</v>
      </c>
      <c r="N1" s="1" t="s">
        <v>7</v>
      </c>
      <c r="O1" s="1" t="s">
        <v>30</v>
      </c>
      <c r="P1" s="1" t="s">
        <v>286</v>
      </c>
      <c r="Q1" t="s">
        <v>12</v>
      </c>
      <c r="R1" s="2" t="s">
        <v>13</v>
      </c>
      <c r="S1" s="2" t="s">
        <v>14</v>
      </c>
      <c r="T1" s="4" t="s">
        <v>15</v>
      </c>
      <c r="U1" s="4" t="s">
        <v>16</v>
      </c>
      <c r="V1" t="s">
        <v>8</v>
      </c>
      <c r="W1" t="s">
        <v>9</v>
      </c>
      <c r="X1" s="3" t="s">
        <v>452</v>
      </c>
      <c r="Y1" s="3" t="s">
        <v>422</v>
      </c>
      <c r="Z1" s="3" t="s">
        <v>17</v>
      </c>
      <c r="AA1" s="3" t="s">
        <v>421</v>
      </c>
      <c r="AB1" t="s">
        <v>420</v>
      </c>
      <c r="AC1" t="s">
        <v>419</v>
      </c>
      <c r="AD1" t="s">
        <v>418</v>
      </c>
      <c r="AE1" t="s">
        <v>417</v>
      </c>
      <c r="AF1" t="s">
        <v>416</v>
      </c>
      <c r="AG1" s="3" t="s">
        <v>21</v>
      </c>
      <c r="AH1" t="s">
        <v>415</v>
      </c>
      <c r="AI1" t="s">
        <v>414</v>
      </c>
      <c r="AJ1" t="s">
        <v>320</v>
      </c>
      <c r="AK1" t="s">
        <v>388</v>
      </c>
      <c r="AL1" t="s">
        <v>319</v>
      </c>
      <c r="AM1" t="s">
        <v>389</v>
      </c>
      <c r="AN1" t="s">
        <v>534</v>
      </c>
      <c r="AO1" t="s">
        <v>533</v>
      </c>
      <c r="AP1" t="s">
        <v>379</v>
      </c>
      <c r="AQ1" t="s">
        <v>537</v>
      </c>
      <c r="AR1" t="s">
        <v>538</v>
      </c>
    </row>
    <row r="2" spans="1:52" s="23" customFormat="1" x14ac:dyDescent="0.25">
      <c r="A2" s="11">
        <v>198</v>
      </c>
      <c r="B2" s="11" t="s">
        <v>301</v>
      </c>
      <c r="C2" s="11" t="s">
        <v>233</v>
      </c>
      <c r="D2" s="11">
        <v>1</v>
      </c>
      <c r="E2" s="11"/>
      <c r="F2" s="11" t="s">
        <v>405</v>
      </c>
      <c r="G2" s="11" t="s">
        <v>227</v>
      </c>
      <c r="H2" s="11">
        <f>[63]Characteristics!$Q$8</f>
        <v>45</v>
      </c>
      <c r="I2" s="11"/>
      <c r="J2" s="11"/>
      <c r="K2" s="11">
        <f>'[63]Anthro, DXA, Liver fat'!$Q$6</f>
        <v>170</v>
      </c>
      <c r="L2" s="11">
        <f>'[63]Anthro, DXA, Liver fat'!$Q$5</f>
        <v>90.4</v>
      </c>
      <c r="M2" s="12">
        <f>L2/((K2/100)*(K2/100))</f>
        <v>31.280276816609003</v>
      </c>
      <c r="N2" s="11">
        <f>'[63]Anthro, DXA, Liver fat'!$Q$8</f>
        <v>100</v>
      </c>
      <c r="O2" s="11"/>
      <c r="P2" s="13" t="e">
        <f>Data6[[#This Row],[Waist_Circumference]]/Data6[[#This Row],[Hip_circumference]]</f>
        <v>#DIV/0!</v>
      </c>
      <c r="Q2" s="14">
        <f>[66]Data!$T$302</f>
        <v>37266.947008203002</v>
      </c>
      <c r="R2" s="14">
        <f>[66]Data!$U$302</f>
        <v>49762.837621191997</v>
      </c>
      <c r="S2" s="14">
        <f>Q2+R2</f>
        <v>87029.784629394999</v>
      </c>
      <c r="T2" s="13">
        <f>(Data6[[#This Row],[Total_fat_g]]/Data6[[#This Row],[Total_mass_g]])*100</f>
        <v>42.820911446465651</v>
      </c>
      <c r="U2" s="13">
        <f>(Data6[[#This Row],[Lean_mass_g]]/Data6[[#This Row],[Total_mass_g]])*100</f>
        <v>57.179088553534349</v>
      </c>
      <c r="V2" s="13">
        <f>[66]Data!$Y$302</f>
        <v>630</v>
      </c>
      <c r="W2" s="13">
        <f>'[64]IHTG Corrected'!$D$34</f>
        <v>0</v>
      </c>
      <c r="X2" s="13">
        <f>[63]Glucose!$Q$7</f>
        <v>5.0739999999999998</v>
      </c>
      <c r="Y2" s="13">
        <f>[80]Insulin!$I$3</f>
        <v>1.202</v>
      </c>
      <c r="Z2" s="21">
        <f>(Data6[[#This Row],[Glucose (mmol/L)]]*Data6[[#This Row],[Insulin (umol/L)]])/22.5</f>
        <v>0.27106435555555558</v>
      </c>
      <c r="AA2" s="13">
        <f>[63]NEFA!$Q$7</f>
        <v>472.7</v>
      </c>
      <c r="AB2" s="13">
        <f>[63]TAG!$Q$7</f>
        <v>548.70000000000005</v>
      </c>
      <c r="AC2" s="13">
        <f>'[63]3-OHB'!$Q$7</f>
        <v>69.099999999999994</v>
      </c>
      <c r="AD2" s="13">
        <f>'[63]Apo B, Cholesterol, HDL, ALT'!$Q$17</f>
        <v>3.64</v>
      </c>
      <c r="AE2" s="13">
        <f>'[63]Apo B, Cholesterol, HDL, ALT'!$Q$27</f>
        <v>0.98</v>
      </c>
      <c r="AF2" s="13">
        <f>Data6[[#This Row],[total_chol (umol/L)]]-Data6[[#This Row],[HDL_chol (umol/L)]]</f>
        <v>2.66</v>
      </c>
      <c r="AG2" s="13">
        <f>Data6[[#This Row],[Non_HDL (umol/L)]]-(Data6[[#This Row],[TAG (umol/L)]]/2200)</f>
        <v>2.4105909090909092</v>
      </c>
      <c r="AH2" s="13">
        <f>[66]Data!$AQ$303</f>
        <v>102.69520325992178</v>
      </c>
      <c r="AI2" s="53">
        <f>'[63]DNL_Bounds Visit A'!$Q$16</f>
        <v>3.9687963032977152E-3</v>
      </c>
      <c r="AJ2" s="13">
        <f>'[63]DNL_Bounds Visit A'!$Q$24</f>
        <v>3.6656896450923617</v>
      </c>
      <c r="AK2" s="23">
        <f>(Data6[[#This Row],[DNL (%)]]/100)*Data6[[#This Row],[VLDL (umol/L)]]</f>
        <v>3.7644874319055064</v>
      </c>
      <c r="AL2" s="13">
        <f>[4]SAMPLES!$L$194</f>
        <v>29.821796022571199</v>
      </c>
      <c r="AM2" s="60">
        <f>(Data6[[#This Row],[Gluconeogensis (%)]]/100)*Data6[[#This Row],[Glucose (mmol/L)]]</f>
        <v>1.5131579301852627</v>
      </c>
      <c r="AN2" s="61">
        <f>Data6[[#This Row],[Glucose (mmol/L)]]-Data6[[#This Row],[Gluconeogenesis (mmol/L)]]</f>
        <v>3.5608420698147372</v>
      </c>
      <c r="AO2" s="61" t="s">
        <v>535</v>
      </c>
      <c r="AP2" s="11"/>
    </row>
    <row r="3" spans="1:52" s="23" customFormat="1" x14ac:dyDescent="0.25">
      <c r="A3" s="11">
        <v>176</v>
      </c>
      <c r="B3" s="11" t="s">
        <v>290</v>
      </c>
      <c r="C3" s="11" t="s">
        <v>233</v>
      </c>
      <c r="D3" s="11">
        <v>1</v>
      </c>
      <c r="E3" s="11"/>
      <c r="F3" s="11" t="s">
        <v>394</v>
      </c>
      <c r="G3" s="11" t="s">
        <v>227</v>
      </c>
      <c r="H3" s="11">
        <f>[63]Characteristics!$E$8</f>
        <v>48</v>
      </c>
      <c r="I3" s="11"/>
      <c r="J3" s="11"/>
      <c r="K3" s="11">
        <f>'[63]Anthro, DXA, Liver fat'!$E$6</f>
        <v>155</v>
      </c>
      <c r="L3" s="11">
        <f>'[63]Anthro, DXA, Liver fat'!$E$5</f>
        <v>52.9</v>
      </c>
      <c r="M3" s="12">
        <f>L3/((K3/100)*(K3/100))</f>
        <v>22.018730489073878</v>
      </c>
      <c r="N3" s="11">
        <f>'[63]Anthro, DXA, Liver fat'!$E$8</f>
        <v>71</v>
      </c>
      <c r="O3" s="11"/>
      <c r="P3" s="13" t="e">
        <f>Data6[[#This Row],[Waist_Circumference]]/Data6[[#This Row],[Hip_circumference]]</f>
        <v>#DIV/0!</v>
      </c>
      <c r="Q3" s="14">
        <f>'[63]Anthro, DXA, Liver fat'!$E$19</f>
        <v>14716.867839397</v>
      </c>
      <c r="R3" s="14">
        <f>'[63]Anthro, DXA, Liver fat'!$E$20</f>
        <v>36187.919547156998</v>
      </c>
      <c r="S3" s="14">
        <f>Q3+R3</f>
        <v>50904.787386554002</v>
      </c>
      <c r="T3" s="13">
        <f>(Data6[[#This Row],[Total_fat_g]]/Data6[[#This Row],[Total_mass_g]])*100</f>
        <v>28.910577167609024</v>
      </c>
      <c r="U3" s="13">
        <f>(Data6[[#This Row],[Lean_mass_g]]/Data6[[#This Row],[Total_mass_g]])*100</f>
        <v>71.089422832390966</v>
      </c>
      <c r="V3" s="38">
        <f>'[63]Anthro, DXA, Liver fat'!$E$27</f>
        <v>0.152158584253</v>
      </c>
      <c r="W3" s="13">
        <f>'[64]IHTG Corrected'!$D$8</f>
        <v>0.88460371196806031</v>
      </c>
      <c r="X3" s="13">
        <f>[63]Glucose!$E$7</f>
        <v>4.6120000000000001</v>
      </c>
      <c r="Y3" s="13">
        <f>[69]Insulin!$K$4</f>
        <v>1.7887500000000001</v>
      </c>
      <c r="Z3" s="21">
        <f>(Data6[[#This Row],[Glucose (mmol/L)]]*Data6[[#This Row],[Insulin (umol/L)]])/22.5</f>
        <v>0.36665399999999998</v>
      </c>
      <c r="AA3" s="13">
        <f>[63]NEFA!$E$7</f>
        <v>662.00300000000004</v>
      </c>
      <c r="AB3" s="13">
        <f>[63]TAG!$E$7</f>
        <v>361.71999999999997</v>
      </c>
      <c r="AC3" s="13">
        <f>'[63]3-OHB'!$E$7</f>
        <v>280.2</v>
      </c>
      <c r="AD3" s="13">
        <f>'[63]Apo B, Cholesterol, HDL, ALT'!$E$17</f>
        <v>4.53</v>
      </c>
      <c r="AE3" s="13">
        <f>'[63]Apo B, Cholesterol, HDL, ALT'!$E$27</f>
        <v>2.2400000000000002</v>
      </c>
      <c r="AF3" s="13">
        <f>Data6[[#This Row],[total_chol (umol/L)]]-Data6[[#This Row],[HDL_chol (umol/L)]]</f>
        <v>2.29</v>
      </c>
      <c r="AG3" s="13">
        <f>Data6[[#This Row],[Non_HDL (umol/L)]]-(Data6[[#This Row],[TAG (umol/L)]]/2200)</f>
        <v>2.1255818181818182</v>
      </c>
      <c r="AH3" s="48"/>
      <c r="AI3" s="53">
        <f>'[63]DNL_Bounds Visit A'!$E$16</f>
        <v>4.5286009601113661E-3</v>
      </c>
      <c r="AJ3" s="13">
        <f>'[63]DNL_Bounds Visit A'!$E$24</f>
        <v>1.0576987156113189</v>
      </c>
      <c r="AL3" s="13">
        <f>[4]SAMPLES!$L$110</f>
        <v>23.427910260990448</v>
      </c>
      <c r="AM3" s="60">
        <f>(Data6[[#This Row],[Gluconeogensis (%)]]/100)*Data6[[#This Row],[Glucose (mmol/L)]]</f>
        <v>1.0804952212368795</v>
      </c>
      <c r="AN3" s="61">
        <f>Data6[[#This Row],[Glucose (mmol/L)]]-Data6[[#This Row],[Gluconeogenesis (mmol/L)]]</f>
        <v>3.5315047787631206</v>
      </c>
      <c r="AO3" s="61" t="s">
        <v>535</v>
      </c>
      <c r="AP3" s="11"/>
    </row>
    <row r="4" spans="1:52" s="23" customFormat="1" x14ac:dyDescent="0.25">
      <c r="A4" s="7">
        <v>95</v>
      </c>
      <c r="B4" s="7" t="s">
        <v>162</v>
      </c>
      <c r="C4" s="7" t="s">
        <v>163</v>
      </c>
      <c r="D4" s="7"/>
      <c r="E4" s="7"/>
      <c r="F4" s="7"/>
      <c r="G4" s="7" t="s">
        <v>227</v>
      </c>
      <c r="H4" s="7">
        <v>40</v>
      </c>
      <c r="I4" s="7" t="s">
        <v>146</v>
      </c>
      <c r="J4" s="7"/>
      <c r="K4" s="7">
        <v>155</v>
      </c>
      <c r="L4" s="7">
        <v>53.75</v>
      </c>
      <c r="M4" s="8">
        <f>L4/((K4/100)*(K4/100))</f>
        <v>22.372528616024972</v>
      </c>
      <c r="N4" s="7">
        <v>75</v>
      </c>
      <c r="O4" s="7">
        <v>90</v>
      </c>
      <c r="P4" s="9">
        <f>Data6[[#This Row],[Waist_Circumference]]/Data6[[#This Row],[Hip_circumference]]</f>
        <v>0.83333333333333337</v>
      </c>
      <c r="Q4" s="10">
        <v>15020</v>
      </c>
      <c r="R4" s="10">
        <v>33610</v>
      </c>
      <c r="S4" s="10">
        <f>Q4+R4</f>
        <v>48630</v>
      </c>
      <c r="T4" s="9">
        <f>(Data6[[#This Row],[Total_fat_g]]/Data6[[#This Row],[Total_mass_g]])*100</f>
        <v>30.886284186716018</v>
      </c>
      <c r="U4" s="9">
        <f>(Data6[[#This Row],[Lean_mass_g]]/Data6[[#This Row],[Total_mass_g]])*100</f>
        <v>69.113715813283989</v>
      </c>
      <c r="V4" s="9">
        <v>166</v>
      </c>
      <c r="W4" s="9">
        <v>0.44</v>
      </c>
      <c r="X4" s="9">
        <v>4.59</v>
      </c>
      <c r="Y4" s="9">
        <v>3.13</v>
      </c>
      <c r="Z4" s="21">
        <f>(Data6[[#This Row],[Glucose (mmol/L)]]*Data6[[#This Row],[Insulin (umol/L)]])/22.5</f>
        <v>0.63851999999999998</v>
      </c>
      <c r="AA4" s="9">
        <v>496.89</v>
      </c>
      <c r="AB4" s="9">
        <v>493.35</v>
      </c>
      <c r="AC4" s="9">
        <v>56.5</v>
      </c>
      <c r="AD4" s="9">
        <v>4.5</v>
      </c>
      <c r="AE4" s="9">
        <v>1.43</v>
      </c>
      <c r="AF4" s="9">
        <f>Data6[[#This Row],[total_chol (umol/L)]]-Data6[[#This Row],[HDL_chol (umol/L)]]</f>
        <v>3.0700000000000003</v>
      </c>
      <c r="AG4" s="9">
        <f>Data6[[#This Row],[Non_HDL (umol/L)]]-(Data6[[#This Row],[TAG (umol/L)]]/2200)</f>
        <v>2.8457500000000002</v>
      </c>
      <c r="AH4" s="9">
        <v>70.28</v>
      </c>
      <c r="AI4" s="51">
        <v>4.9526745261198272E-3</v>
      </c>
      <c r="AJ4" s="9">
        <v>8.8794998531281877</v>
      </c>
      <c r="AK4" s="23">
        <f>(Data6[[#This Row],[DNL (%)]]/100)*Data6[[#This Row],[VLDL (umol/L)]]</f>
        <v>6.2405124967784902</v>
      </c>
      <c r="AL4" s="9">
        <f>[4]SAMPLES!$L$244</f>
        <v>25.654003967705062</v>
      </c>
      <c r="AM4" s="57">
        <f>(Data6[[#This Row],[Gluconeogensis (%)]]/100)*Data6[[#This Row],[Glucose (mmol/L)]]</f>
        <v>1.1775187821176625</v>
      </c>
      <c r="AN4" s="61">
        <f>Data6[[#This Row],[Glucose (mmol/L)]]-Data6[[#This Row],[Gluconeogenesis (mmol/L)]]</f>
        <v>3.4124812178823376</v>
      </c>
      <c r="AO4" s="61" t="s">
        <v>535</v>
      </c>
      <c r="AP4" s="7"/>
    </row>
    <row r="5" spans="1:52" s="23" customFormat="1" x14ac:dyDescent="0.25">
      <c r="A5" s="33">
        <v>136</v>
      </c>
      <c r="B5" s="33" t="s">
        <v>224</v>
      </c>
      <c r="C5" s="33" t="s">
        <v>226</v>
      </c>
      <c r="D5" s="33" t="s">
        <v>386</v>
      </c>
      <c r="E5" s="33" t="s">
        <v>23</v>
      </c>
      <c r="F5" s="33"/>
      <c r="G5" s="33" t="s">
        <v>227</v>
      </c>
      <c r="H5" s="33">
        <v>50</v>
      </c>
      <c r="I5" s="33" t="s">
        <v>229</v>
      </c>
      <c r="J5" s="33"/>
      <c r="K5" s="33">
        <v>175</v>
      </c>
      <c r="L5" s="33">
        <v>91.8</v>
      </c>
      <c r="M5" s="34">
        <f>L5/((K5/100)*(K5/100))</f>
        <v>29.975510204081633</v>
      </c>
      <c r="N5" s="33">
        <v>99</v>
      </c>
      <c r="O5" s="33">
        <v>118</v>
      </c>
      <c r="P5" s="35">
        <f>Data6[[#This Row],[Waist_Circumference]]/Data6[[#This Row],[Hip_circumference]]</f>
        <v>0.83898305084745761</v>
      </c>
      <c r="Q5" s="36">
        <f>[50]Antropometrics!$P$16</f>
        <v>37166</v>
      </c>
      <c r="R5" s="36">
        <f>[50]Antropometrics!$P$17</f>
        <v>51202</v>
      </c>
      <c r="S5" s="36">
        <f>Q5+R5</f>
        <v>88368</v>
      </c>
      <c r="T5" s="35">
        <f>(Data6[[#This Row],[Total_fat_g]]/Data6[[#This Row],[Total_mass_g]])*100</f>
        <v>42.058211117146477</v>
      </c>
      <c r="U5" s="35">
        <f>(Data6[[#This Row],[Lean_mass_g]]/Data6[[#This Row],[Total_mass_g]])*100</f>
        <v>57.941788882853515</v>
      </c>
      <c r="V5" s="35">
        <v>742</v>
      </c>
      <c r="W5" s="35">
        <v>2.02</v>
      </c>
      <c r="X5" s="35">
        <f>[51]Glucose!$P$7</f>
        <v>4.7080000000000002</v>
      </c>
      <c r="Y5" s="35">
        <f>[51]Insulin!$P$7</f>
        <v>3.8155000000000001</v>
      </c>
      <c r="Z5" s="21">
        <f>(Data6[[#This Row],[Glucose (mmol/L)]]*Data6[[#This Row],[Insulin (umol/L)]])/22.5</f>
        <v>0.7983721777777778</v>
      </c>
      <c r="AA5" s="35">
        <f>[51]NEFA!$P$7</f>
        <v>246.3</v>
      </c>
      <c r="AB5" s="35">
        <f>[51]TAG!$P$7</f>
        <v>1043.3</v>
      </c>
      <c r="AC5" s="35">
        <f>'[51]3OHB'!$P$7</f>
        <v>25.5</v>
      </c>
      <c r="AD5" s="35">
        <f>'[51]Chol, HDL'!$P$7</f>
        <v>5.3</v>
      </c>
      <c r="AE5" s="35">
        <f>'[51]Chol, HDL'!$P$24</f>
        <v>1.74</v>
      </c>
      <c r="AF5" s="35">
        <f>Data6[[#This Row],[total_chol (umol/L)]]-Data6[[#This Row],[HDL_chol (umol/L)]]</f>
        <v>3.5599999999999996</v>
      </c>
      <c r="AG5" s="35">
        <f>Data6[[#This Row],[Non_HDL (umol/L)]]-(Data6[[#This Row],[TAG (umol/L)]]/2200)</f>
        <v>3.0857727272727269</v>
      </c>
      <c r="AH5" s="35">
        <v>519.36434250000002</v>
      </c>
      <c r="AI5" s="52">
        <f>[51]DNL!$P$5</f>
        <v>3.7540923216455866E-3</v>
      </c>
      <c r="AJ5" s="35">
        <f>[51]DNL!$P$49</f>
        <v>1.2587592224328135</v>
      </c>
      <c r="AK5" s="23">
        <f>(Data6[[#This Row],[DNL (%)]]/100)*Data6[[#This Row],[VLDL (umol/L)]]</f>
        <v>6.5375465592462945</v>
      </c>
      <c r="AL5" s="66">
        <f>[4]SAMPLES!$L$159</f>
        <v>29.630553602106076</v>
      </c>
      <c r="AM5" s="58">
        <f>(Data6[[#This Row],[Gluconeogensis (%)]]/100)*Data6[[#This Row],[Glucose (mmol/L)]]</f>
        <v>1.395006463587154</v>
      </c>
      <c r="AN5" s="61">
        <f>Data6[[#This Row],[Glucose (mmol/L)]]-Data6[[#This Row],[Gluconeogenesis (mmol/L)]]</f>
        <v>3.3129935364128462</v>
      </c>
      <c r="AO5" s="61" t="s">
        <v>535</v>
      </c>
      <c r="AP5" s="33"/>
    </row>
    <row r="6" spans="1:52" s="23" customFormat="1" x14ac:dyDescent="0.25">
      <c r="A6" s="11">
        <v>196</v>
      </c>
      <c r="B6" s="11" t="s">
        <v>300</v>
      </c>
      <c r="C6" s="11" t="s">
        <v>233</v>
      </c>
      <c r="D6" s="11">
        <v>1</v>
      </c>
      <c r="E6" s="11"/>
      <c r="F6" s="11" t="s">
        <v>403</v>
      </c>
      <c r="G6" s="11" t="s">
        <v>227</v>
      </c>
      <c r="H6" s="11">
        <f>[63]Characteristics!$P$8</f>
        <v>53</v>
      </c>
      <c r="I6" s="11"/>
      <c r="J6" s="11"/>
      <c r="K6" s="11">
        <f>'[63]Anthro, DXA, Liver fat'!$P$6</f>
        <v>179</v>
      </c>
      <c r="L6" s="11">
        <f>'[63]Anthro, DXA, Liver fat'!$P$5</f>
        <v>69.599999999999994</v>
      </c>
      <c r="M6" s="12">
        <f>L6/((K6/100)*(K6/100))</f>
        <v>21.722168471645702</v>
      </c>
      <c r="N6" s="11">
        <f>'[63]Anthro, DXA, Liver fat'!$P$8</f>
        <v>71</v>
      </c>
      <c r="O6" s="11"/>
      <c r="P6" s="13" t="e">
        <f>Data6[[#This Row],[Waist_Circumference]]/Data6[[#This Row],[Hip_circumference]]</f>
        <v>#DIV/0!</v>
      </c>
      <c r="Q6" s="14">
        <f>[66]Data!$T$282</f>
        <v>22378.823537112999</v>
      </c>
      <c r="R6" s="14">
        <f>[66]Data!$U$282</f>
        <v>44287.288047581002</v>
      </c>
      <c r="S6" s="14">
        <f>Q6+R6</f>
        <v>66666.111584694008</v>
      </c>
      <c r="T6" s="13">
        <f>(Data6[[#This Row],[Total_fat_g]]/Data6[[#This Row],[Total_mass_g]])*100</f>
        <v>33.568514804830755</v>
      </c>
      <c r="U6" s="13">
        <f>(Data6[[#This Row],[Lean_mass_g]]/Data6[[#This Row],[Total_mass_g]])*100</f>
        <v>66.431485195169245</v>
      </c>
      <c r="V6" s="13">
        <f>[66]Data!$Y$282</f>
        <v>357</v>
      </c>
      <c r="W6" s="13">
        <f>'[64]IHTG Corrected'!$D$32</f>
        <v>1.1039157831216204</v>
      </c>
      <c r="X6" s="13">
        <f>[63]Glucose!$P$7</f>
        <v>4.8959999999999999</v>
      </c>
      <c r="Y6" s="13">
        <f>[79]Insulin!$I$3</f>
        <v>3.8319999999999999</v>
      </c>
      <c r="Z6" s="21">
        <f>(Data6[[#This Row],[Glucose (mmol/L)]]*Data6[[#This Row],[Insulin (umol/L)]])/22.5</f>
        <v>0.8338431999999999</v>
      </c>
      <c r="AA6" s="13">
        <f>[63]NEFA!$P$7</f>
        <v>1072.9000000000001</v>
      </c>
      <c r="AB6" s="13">
        <f>[63]TAG!$P$7</f>
        <v>558</v>
      </c>
      <c r="AC6" s="13">
        <f>'[63]3-OHB'!$P$7</f>
        <v>159.9</v>
      </c>
      <c r="AD6" s="13">
        <f>'[63]Apo B, Cholesterol, HDL, ALT'!$P$17</f>
        <v>4.84</v>
      </c>
      <c r="AE6" s="13">
        <f>'[63]Apo B, Cholesterol, HDL, ALT'!$P$27</f>
        <v>1.57</v>
      </c>
      <c r="AF6" s="13">
        <f>Data6[[#This Row],[total_chol (umol/L)]]-Data6[[#This Row],[HDL_chol (umol/L)]]</f>
        <v>3.2699999999999996</v>
      </c>
      <c r="AG6" s="13">
        <f>Data6[[#This Row],[Non_HDL (umol/L)]]-(Data6[[#This Row],[TAG (umol/L)]]/2200)</f>
        <v>3.0163636363636357</v>
      </c>
      <c r="AH6" s="13">
        <f>[66]Data!$AQ$283</f>
        <v>74.084146115263749</v>
      </c>
      <c r="AI6" s="53">
        <f>'[63]DNL_Bounds Visit A'!$P$16</f>
        <v>2.9791065172619165E-3</v>
      </c>
      <c r="AJ6" s="13">
        <f>'[63]DNL_Bounds Visit A'!$P$24</f>
        <v>0.402655571591372</v>
      </c>
      <c r="AK6" s="23">
        <f>(Data6[[#This Row],[DNL (%)]]/100)*Data6[[#This Row],[VLDL (umol/L)]]</f>
        <v>0.29830394199900245</v>
      </c>
      <c r="AL6" s="13">
        <f>[4]SAMPLES!$L$192</f>
        <v>31.237413835772792</v>
      </c>
      <c r="AM6" s="60">
        <f>(Data6[[#This Row],[Gluconeogensis (%)]]/100)*Data6[[#This Row],[Glucose (mmol/L)]]</f>
        <v>1.529383781399436</v>
      </c>
      <c r="AN6" s="61">
        <f>Data6[[#This Row],[Glucose (mmol/L)]]-Data6[[#This Row],[Gluconeogenesis (mmol/L)]]</f>
        <v>3.3666162186005639</v>
      </c>
      <c r="AO6" s="61" t="s">
        <v>535</v>
      </c>
      <c r="AP6" s="11"/>
    </row>
    <row r="7" spans="1:52" s="23" customFormat="1" x14ac:dyDescent="0.25">
      <c r="A7" s="7">
        <v>89</v>
      </c>
      <c r="B7" s="7" t="s">
        <v>150</v>
      </c>
      <c r="C7" s="7" t="s">
        <v>151</v>
      </c>
      <c r="D7" s="7"/>
      <c r="E7" s="7"/>
      <c r="F7" s="7"/>
      <c r="G7" s="7" t="s">
        <v>227</v>
      </c>
      <c r="H7" s="7">
        <v>43</v>
      </c>
      <c r="I7" s="7" t="s">
        <v>146</v>
      </c>
      <c r="J7" s="7"/>
      <c r="K7" s="7">
        <v>169</v>
      </c>
      <c r="L7" s="7">
        <v>73</v>
      </c>
      <c r="M7" s="8">
        <f>L7/((K7/100)*(K7/100))</f>
        <v>25.559329155141629</v>
      </c>
      <c r="N7" s="7">
        <v>80</v>
      </c>
      <c r="O7" s="7">
        <v>96</v>
      </c>
      <c r="P7" s="9">
        <f>Data6[[#This Row],[Waist_Circumference]]/Data6[[#This Row],[Hip_circumference]]</f>
        <v>0.83333333333333337</v>
      </c>
      <c r="Q7" s="10">
        <v>18420</v>
      </c>
      <c r="R7" s="10">
        <v>51170</v>
      </c>
      <c r="S7" s="10">
        <f>Q7+R7</f>
        <v>69590</v>
      </c>
      <c r="T7" s="9">
        <f>(Data6[[#This Row],[Total_fat_g]]/Data6[[#This Row],[Total_mass_g]])*100</f>
        <v>26.469320304641471</v>
      </c>
      <c r="U7" s="9">
        <f>(Data6[[#This Row],[Lean_mass_g]]/Data6[[#This Row],[Total_mass_g]])*100</f>
        <v>73.530679695358529</v>
      </c>
      <c r="V7" s="9"/>
      <c r="W7" s="9">
        <v>0.46</v>
      </c>
      <c r="X7" s="9">
        <v>4.99</v>
      </c>
      <c r="Y7" s="9">
        <v>3.92</v>
      </c>
      <c r="Z7" s="21">
        <f>(Data6[[#This Row],[Glucose (mmol/L)]]*Data6[[#This Row],[Insulin (umol/L)]])/22.5</f>
        <v>0.86936888888888886</v>
      </c>
      <c r="AA7" s="9">
        <v>650.36</v>
      </c>
      <c r="AB7" s="9">
        <v>873.95</v>
      </c>
      <c r="AC7" s="9">
        <v>111.55</v>
      </c>
      <c r="AD7" s="9">
        <v>4.5</v>
      </c>
      <c r="AE7" s="9">
        <v>1.6</v>
      </c>
      <c r="AF7" s="9">
        <f>Data6[[#This Row],[total_chol (umol/L)]]-Data6[[#This Row],[HDL_chol (umol/L)]]</f>
        <v>2.9</v>
      </c>
      <c r="AG7" s="9">
        <f>Data6[[#This Row],[Non_HDL (umol/L)]]-(Data6[[#This Row],[TAG (umol/L)]]/2200)</f>
        <v>2.5027499999999998</v>
      </c>
      <c r="AH7" s="9">
        <v>276.01</v>
      </c>
      <c r="AI7" s="51">
        <v>4.6096165717890158E-3</v>
      </c>
      <c r="AJ7" s="9">
        <v>4.8860305237895494</v>
      </c>
      <c r="AK7" s="23">
        <f>(Data6[[#This Row],[DNL (%)]]/100)*Data6[[#This Row],[VLDL (umol/L)]]</f>
        <v>13.485932848711535</v>
      </c>
      <c r="AL7" s="9">
        <f>[4]SAMPLES!$L$238</f>
        <v>29.533094124647423</v>
      </c>
      <c r="AM7" s="57">
        <f>(Data6[[#This Row],[Gluconeogensis (%)]]/100)*Data6[[#This Row],[Glucose (mmol/L)]]</f>
        <v>1.4737013968199066</v>
      </c>
      <c r="AN7" s="61">
        <f>Data6[[#This Row],[Glucose (mmol/L)]]-Data6[[#This Row],[Gluconeogenesis (mmol/L)]]</f>
        <v>3.5162986031800934</v>
      </c>
      <c r="AO7" s="61" t="s">
        <v>535</v>
      </c>
      <c r="AP7" s="7"/>
      <c r="AX7" s="23" t="s">
        <v>540</v>
      </c>
      <c r="AY7" s="23" t="s">
        <v>539</v>
      </c>
    </row>
    <row r="8" spans="1:52" s="23" customFormat="1" x14ac:dyDescent="0.25">
      <c r="A8" s="11">
        <v>172</v>
      </c>
      <c r="B8" s="11" t="s">
        <v>288</v>
      </c>
      <c r="C8" s="11" t="s">
        <v>233</v>
      </c>
      <c r="D8" s="11">
        <v>1</v>
      </c>
      <c r="E8" s="11"/>
      <c r="F8" s="11" t="s">
        <v>392</v>
      </c>
      <c r="G8" s="11" t="s">
        <v>228</v>
      </c>
      <c r="H8" s="11">
        <f>[63]Characteristics!$C$8</f>
        <v>47</v>
      </c>
      <c r="I8" s="11"/>
      <c r="J8" s="11"/>
      <c r="K8" s="11">
        <f>'[63]Anthro, DXA, Liver fat'!$C$6</f>
        <v>180</v>
      </c>
      <c r="L8" s="11">
        <f>'[63]Anthro, DXA, Liver fat'!$C$5</f>
        <v>76.2</v>
      </c>
      <c r="M8" s="12">
        <f>L8/((K8/100)*(K8/100))</f>
        <v>23.518518518518519</v>
      </c>
      <c r="N8" s="11">
        <f>'[63]Anthro, DXA, Liver fat'!$C$8</f>
        <v>85</v>
      </c>
      <c r="O8" s="11"/>
      <c r="P8" s="13" t="e">
        <f>Data6[[#This Row],[Waist_Circumference]]/Data6[[#This Row],[Hip_circumference]]</f>
        <v>#DIV/0!</v>
      </c>
      <c r="Q8" s="14">
        <f>'[63]Anthro, DXA, Liver fat'!$C$19</f>
        <v>11903.336743541</v>
      </c>
      <c r="R8" s="14">
        <f>'[63]Anthro, DXA, Liver fat'!$C$20</f>
        <v>60716.528168696001</v>
      </c>
      <c r="S8" s="14">
        <f>Q8+R8</f>
        <v>72619.864912236997</v>
      </c>
      <c r="T8" s="13">
        <f>(Data6[[#This Row],[Total_fat_g]]/Data6[[#This Row],[Total_mass_g]])*100</f>
        <v>16.39129562954502</v>
      </c>
      <c r="U8" s="13">
        <f>(Data6[[#This Row],[Lean_mass_g]]/Data6[[#This Row],[Total_mass_g]])*100</f>
        <v>83.608704370454987</v>
      </c>
      <c r="V8" s="13">
        <f>'[63]Anthro, DXA, Liver fat'!$C$27</f>
        <v>660.67841184813005</v>
      </c>
      <c r="W8" s="13">
        <f>'[64]IHTG Corrected'!$D$4</f>
        <v>0.94905089054151737</v>
      </c>
      <c r="X8" s="13">
        <f>[63]Glucose!$C$7</f>
        <v>5.0540000000000003</v>
      </c>
      <c r="Y8" s="13">
        <f>[67]Insulin!$I$3</f>
        <v>4.4824999999999999</v>
      </c>
      <c r="Z8" s="21">
        <f>(Data6[[#This Row],[Glucose (mmol/L)]]*Data6[[#This Row],[Insulin (umol/L)]])/22.5</f>
        <v>1.0068691111111112</v>
      </c>
      <c r="AA8" s="13">
        <f>[63]NEFA!$C$7</f>
        <v>1054.307</v>
      </c>
      <c r="AB8" s="13">
        <f>[63]TAG!$C$7</f>
        <v>1057.212</v>
      </c>
      <c r="AC8" s="13">
        <f>'[63]3-OHB'!$C$7</f>
        <v>83.1</v>
      </c>
      <c r="AD8" s="13">
        <f>'[63]Apo B, Cholesterol, HDL, ALT'!$C$17</f>
        <v>3.82</v>
      </c>
      <c r="AE8" s="13">
        <f>'[63]Apo B, Cholesterol, HDL, ALT'!$C$27</f>
        <v>1.34</v>
      </c>
      <c r="AF8" s="13">
        <f>Data6[[#This Row],[total_chol (umol/L)]]-Data6[[#This Row],[HDL_chol (umol/L)]]</f>
        <v>2.4799999999999995</v>
      </c>
      <c r="AG8" s="13">
        <f>Data6[[#This Row],[Non_HDL (umol/L)]]-(Data6[[#This Row],[TAG (umol/L)]]/2200)</f>
        <v>1.9994490909090905</v>
      </c>
      <c r="AH8" s="13">
        <f>[66]Data!$AQ$23</f>
        <v>345.70378355209294</v>
      </c>
      <c r="AI8" s="53">
        <f>'[63]DNL_Bounds Visit A'!$C$16</f>
        <v>3.1536991666440755E-3</v>
      </c>
      <c r="AJ8" s="13">
        <f>'[63]DNL_Bounds Visit A'!$C$24</f>
        <v>3.0448128132182481</v>
      </c>
      <c r="AK8" s="23">
        <f>(Data6[[#This Row],[DNL (%)]]/100)*Data6[[#This Row],[VLDL (umol/L)]]</f>
        <v>10.526033097374405</v>
      </c>
      <c r="AL8" s="13">
        <f>[4]SAMPLES!$L$106</f>
        <v>28.527042801843994</v>
      </c>
      <c r="AM8" s="60">
        <f>(Data6[[#This Row],[Gluconeogensis (%)]]/100)*Data6[[#This Row],[Glucose (mmol/L)]]</f>
        <v>1.4417567432051954</v>
      </c>
      <c r="AN8" s="61">
        <f>Data6[[#This Row],[Glucose (mmol/L)]]-Data6[[#This Row],[Gluconeogenesis (mmol/L)]]</f>
        <v>3.6122432567948048</v>
      </c>
      <c r="AO8" s="61" t="s">
        <v>535</v>
      </c>
      <c r="AP8" s="11"/>
      <c r="AX8" s="78">
        <f>AVERAGE(AN2:AN85)</f>
        <v>3.5213551030448476</v>
      </c>
      <c r="AY8" s="79">
        <f>AVERAGE(AM2:AM85)</f>
        <v>1.4748918105353999</v>
      </c>
      <c r="AZ8" s="23" t="s">
        <v>541</v>
      </c>
    </row>
    <row r="9" spans="1:52" s="23" customFormat="1" x14ac:dyDescent="0.25">
      <c r="A9" s="23">
        <v>21</v>
      </c>
      <c r="B9" s="23" t="s">
        <v>52</v>
      </c>
      <c r="C9" s="23" t="s">
        <v>32</v>
      </c>
      <c r="F9" s="23">
        <v>5508</v>
      </c>
      <c r="G9" s="23" t="s">
        <v>228</v>
      </c>
      <c r="H9" s="26">
        <v>45.1</v>
      </c>
      <c r="I9" s="23" t="s">
        <v>146</v>
      </c>
      <c r="K9" s="23">
        <v>176</v>
      </c>
      <c r="L9" s="23">
        <v>85.05</v>
      </c>
      <c r="M9" s="24">
        <f>L9/((K9/100)*(K9/100))</f>
        <v>27.45674070247934</v>
      </c>
      <c r="N9" s="23">
        <v>100</v>
      </c>
      <c r="O9" s="23">
        <v>96</v>
      </c>
      <c r="P9" s="25">
        <f>Data6[[#This Row],[Waist_Circumference]]/Data6[[#This Row],[Hip_circumference]]</f>
        <v>1.0416666666666667</v>
      </c>
      <c r="Q9" s="26">
        <f>'[1]Anthro data'!$V$27</f>
        <v>25955</v>
      </c>
      <c r="R9" s="26">
        <f>'[1]Anthro data'!$V$28</f>
        <v>56851</v>
      </c>
      <c r="S9" s="26">
        <f>Q9+R9</f>
        <v>82806</v>
      </c>
      <c r="T9" s="25">
        <f>(Data6[[#This Row],[Total_fat_g]]/Data6[[#This Row],[Total_mass_g]])*100</f>
        <v>31.344347027993141</v>
      </c>
      <c r="U9" s="25">
        <f>(Data6[[#This Row],[Lean_mass_g]]/Data6[[#This Row],[Total_mass_g]])*100</f>
        <v>68.655652972006862</v>
      </c>
      <c r="V9" s="25">
        <v>1976</v>
      </c>
      <c r="W9" s="25">
        <v>3.5489886670000002</v>
      </c>
      <c r="X9" s="25">
        <f>[1]Glucose!$V$3</f>
        <v>5.3120000000000003</v>
      </c>
      <c r="Y9" s="25">
        <f>'[1]Insulin+HOMA'!$V$3</f>
        <v>5.1754999999999995</v>
      </c>
      <c r="Z9" s="21">
        <f>(Data6[[#This Row],[Glucose (mmol/L)]]*Data6[[#This Row],[Insulin (umol/L)]])/22.5</f>
        <v>1.2218780444444444</v>
      </c>
      <c r="AA9" s="25">
        <f>[1]NEFA!$V$3</f>
        <v>533.4</v>
      </c>
      <c r="AB9" s="25">
        <f>[1]TAG!$V$3</f>
        <v>881.80000000000007</v>
      </c>
      <c r="AC9" s="25">
        <f>'[1]3-OHB'!$V$3</f>
        <v>78.5</v>
      </c>
      <c r="AD9" s="25">
        <f>'[24]Basal ApoB,Chol,HDL,ALT'!$F$2</f>
        <v>5.4</v>
      </c>
      <c r="AE9" s="25">
        <f>'[24]Basal ApoB,Chol,HDL,ALT'!$J$2</f>
        <v>1.55</v>
      </c>
      <c r="AF9" s="25">
        <f>Data6[[#This Row],[total_chol (umol/L)]]-Data6[[#This Row],[HDL_chol (umol/L)]]</f>
        <v>3.8500000000000005</v>
      </c>
      <c r="AG9" s="25">
        <f>Data6[[#This Row],[Non_HDL (umol/L)]]-(Data6[[#This Row],[TAG (umol/L)]]/2200)</f>
        <v>3.4491818181818186</v>
      </c>
      <c r="AH9" s="25">
        <v>447.94201875000005</v>
      </c>
      <c r="AI9" s="49">
        <f>[3]PW21!$B$3</f>
        <v>3.1911728267612688E-3</v>
      </c>
      <c r="AJ9" s="25">
        <f>[1]DNL_160!$V$5</f>
        <v>3.0114456535073444</v>
      </c>
      <c r="AK9" s="23">
        <f>(Data6[[#This Row],[DNL (%)]]/100)*Data6[[#This Row],[VLDL (umol/L)]]</f>
        <v>13.489530453879931</v>
      </c>
      <c r="AL9" s="25">
        <f>[4]SAMPLES!$L$43</f>
        <v>25.462464244794482</v>
      </c>
      <c r="AM9" s="55">
        <f>(Data6[[#This Row],[Gluconeogensis (%)]]/100)*Data6[[#This Row],[Glucose (mmol/L)]]</f>
        <v>1.3525661006834828</v>
      </c>
      <c r="AN9" s="61">
        <f>Data6[[#This Row],[Glucose (mmol/L)]]-Data6[[#This Row],[Gluconeogenesis (mmol/L)]]</f>
        <v>3.9594338993165175</v>
      </c>
      <c r="AO9" s="61" t="s">
        <v>535</v>
      </c>
      <c r="AX9" s="79">
        <f>AVERAGE(AN86:AN158)</f>
        <v>3.9433506663248696</v>
      </c>
      <c r="AY9" s="79">
        <f>AVERAGE(AM86:AM158)</f>
        <v>1.664447944786241</v>
      </c>
      <c r="AZ9" s="23" t="s">
        <v>542</v>
      </c>
    </row>
    <row r="10" spans="1:52" s="23" customFormat="1" x14ac:dyDescent="0.25">
      <c r="A10" s="33">
        <v>122</v>
      </c>
      <c r="B10" s="33" t="s">
        <v>210</v>
      </c>
      <c r="C10" s="33" t="s">
        <v>226</v>
      </c>
      <c r="D10" s="33" t="s">
        <v>386</v>
      </c>
      <c r="E10" s="33" t="s">
        <v>407</v>
      </c>
      <c r="F10" s="33"/>
      <c r="G10" s="33" t="s">
        <v>227</v>
      </c>
      <c r="H10" s="33">
        <v>45</v>
      </c>
      <c r="I10" s="33" t="s">
        <v>146</v>
      </c>
      <c r="J10" s="33"/>
      <c r="K10" s="33">
        <v>164</v>
      </c>
      <c r="L10" s="33">
        <v>68</v>
      </c>
      <c r="M10" s="34">
        <f>L10/((K10/100)*(K10/100))</f>
        <v>25.282569898869724</v>
      </c>
      <c r="N10" s="33">
        <v>82</v>
      </c>
      <c r="O10" s="33">
        <v>102</v>
      </c>
      <c r="P10" s="35">
        <f>Data6[[#This Row],[Waist_Circumference]]/Data6[[#This Row],[Hip_circumference]]</f>
        <v>0.80392156862745101</v>
      </c>
      <c r="Q10" s="36">
        <f>[50]Antropometrics!$B$16</f>
        <v>22786</v>
      </c>
      <c r="R10" s="36">
        <f>[50]Antropometrics!$B$17</f>
        <v>43669</v>
      </c>
      <c r="S10" s="36">
        <f>Q10+R10</f>
        <v>66455</v>
      </c>
      <c r="T10" s="35">
        <f>(Data6[[#This Row],[Total_fat_g]]/Data6[[#This Row],[Total_mass_g]])*100</f>
        <v>34.287863968098712</v>
      </c>
      <c r="U10" s="35">
        <f>(Data6[[#This Row],[Lean_mass_g]]/Data6[[#This Row],[Total_mass_g]])*100</f>
        <v>65.712136031901295</v>
      </c>
      <c r="V10" s="35">
        <v>186</v>
      </c>
      <c r="W10" s="35">
        <v>1.752</v>
      </c>
      <c r="X10" s="35">
        <f>[51]Glucose!$B$24</f>
        <v>4.8230000000000004</v>
      </c>
      <c r="Y10" s="35">
        <f>[51]Insulin!$B$24</f>
        <v>5.9160000000000004</v>
      </c>
      <c r="Z10" s="21">
        <f>(Data6[[#This Row],[Glucose (mmol/L)]]*Data6[[#This Row],[Insulin (umol/L)]])/22.5</f>
        <v>1.2681274666666669</v>
      </c>
      <c r="AA10" s="35">
        <f>[51]NEFA!$B$24</f>
        <v>709.8</v>
      </c>
      <c r="AB10" s="35">
        <f>[51]TAG!$B$24</f>
        <v>427.4</v>
      </c>
      <c r="AC10" s="35">
        <f>'[51]3OHB'!$B$24</f>
        <v>190.6</v>
      </c>
      <c r="AD10" s="35">
        <f>'[51]Chol, HDL'!$B$14</f>
        <v>3.88</v>
      </c>
      <c r="AE10" s="35">
        <f>'[51]Chol, HDL'!$B$31</f>
        <v>1.33</v>
      </c>
      <c r="AF10" s="35">
        <f>Data6[[#This Row],[total_chol (umol/L)]]-Data6[[#This Row],[HDL_chol (umol/L)]]</f>
        <v>2.5499999999999998</v>
      </c>
      <c r="AG10" s="35">
        <f>Data6[[#This Row],[Non_HDL (umol/L)]]-(Data6[[#This Row],[TAG (umol/L)]]/2200)</f>
        <v>2.3557272727272727</v>
      </c>
      <c r="AH10" s="35">
        <v>185.71374</v>
      </c>
      <c r="AI10" s="52">
        <f>[51]DNL!$B$15</f>
        <v>3.6832350750748231E-3</v>
      </c>
      <c r="AJ10" s="35">
        <f>[51]DNL!$B$61</f>
        <v>3.3176892002971381</v>
      </c>
      <c r="AK10" s="23">
        <f>(Data6[[#This Row],[DNL (%)]]/100)*Data6[[#This Row],[VLDL (umol/L)]]</f>
        <v>6.1614046954479065</v>
      </c>
      <c r="AL10" s="35">
        <f>[4]SAMPLES!$L$145</f>
        <v>26.678638608087724</v>
      </c>
      <c r="AM10" s="58">
        <f>(Data6[[#This Row],[Gluconeogensis (%)]]/100)*Data6[[#This Row],[Glucose (mmol/L)]]</f>
        <v>1.2867107400680711</v>
      </c>
      <c r="AN10" s="61">
        <f>Data6[[#This Row],[Glucose (mmol/L)]]-Data6[[#This Row],[Gluconeogenesis (mmol/L)]]</f>
        <v>3.5362892599319293</v>
      </c>
      <c r="AO10" s="61" t="s">
        <v>535</v>
      </c>
      <c r="AP10" s="33"/>
    </row>
    <row r="11" spans="1:52" s="23" customFormat="1" x14ac:dyDescent="0.25">
      <c r="A11" s="7">
        <v>87</v>
      </c>
      <c r="B11" s="7" t="s">
        <v>146</v>
      </c>
      <c r="C11" s="7" t="s">
        <v>147</v>
      </c>
      <c r="D11" s="7"/>
      <c r="E11" s="7"/>
      <c r="F11" s="7"/>
      <c r="G11" s="7" t="s">
        <v>227</v>
      </c>
      <c r="H11" s="7">
        <v>40</v>
      </c>
      <c r="I11" s="7" t="s">
        <v>146</v>
      </c>
      <c r="J11" s="7"/>
      <c r="K11" s="7">
        <v>174</v>
      </c>
      <c r="L11" s="7">
        <v>63.3</v>
      </c>
      <c r="M11" s="8">
        <f>L11/((K11/100)*(K11/100))</f>
        <v>20.907649623464128</v>
      </c>
      <c r="N11" s="7">
        <v>72</v>
      </c>
      <c r="O11" s="7">
        <v>93</v>
      </c>
      <c r="P11" s="9">
        <f>Data6[[#This Row],[Waist_Circumference]]/Data6[[#This Row],[Hip_circumference]]</f>
        <v>0.77419354838709675</v>
      </c>
      <c r="Q11" s="10">
        <v>14970</v>
      </c>
      <c r="R11" s="10">
        <v>45330</v>
      </c>
      <c r="S11" s="10">
        <f>Q11+R11</f>
        <v>60300</v>
      </c>
      <c r="T11" s="9">
        <f>(Data6[[#This Row],[Total_fat_g]]/Data6[[#This Row],[Total_mass_g]])*100</f>
        <v>24.82587064676617</v>
      </c>
      <c r="U11" s="9">
        <f>(Data6[[#This Row],[Lean_mass_g]]/Data6[[#This Row],[Total_mass_g]])*100</f>
        <v>75.174129353233837</v>
      </c>
      <c r="V11" s="9"/>
      <c r="W11" s="9">
        <v>0.44</v>
      </c>
      <c r="X11" s="9">
        <v>5.18</v>
      </c>
      <c r="Y11" s="9">
        <v>6.33</v>
      </c>
      <c r="Z11" s="21">
        <f>(Data6[[#This Row],[Glucose (mmol/L)]]*Data6[[#This Row],[Insulin (umol/L)]])/22.5</f>
        <v>1.4573066666666668</v>
      </c>
      <c r="AA11" s="9">
        <v>697.59</v>
      </c>
      <c r="AB11" s="9">
        <v>421.85</v>
      </c>
      <c r="AC11" s="9">
        <v>60.55</v>
      </c>
      <c r="AD11" s="9">
        <v>4.2</v>
      </c>
      <c r="AE11" s="9">
        <v>1.82</v>
      </c>
      <c r="AF11" s="9">
        <f>Data6[[#This Row],[total_chol (umol/L)]]-Data6[[#This Row],[HDL_chol (umol/L)]]</f>
        <v>2.38</v>
      </c>
      <c r="AG11" s="9">
        <f>Data6[[#This Row],[Non_HDL (umol/L)]]-(Data6[[#This Row],[TAG (umol/L)]]/2200)</f>
        <v>2.18825</v>
      </c>
      <c r="AH11" s="9">
        <v>64.66</v>
      </c>
      <c r="AI11" s="51">
        <v>4.3485475075570575E-3</v>
      </c>
      <c r="AJ11" s="9">
        <v>0.26654668186942893</v>
      </c>
      <c r="AK11" s="23">
        <f>(Data6[[#This Row],[DNL (%)]]/100)*Data6[[#This Row],[VLDL (umol/L)]]</f>
        <v>0.17234908449677275</v>
      </c>
      <c r="AL11" s="9">
        <f>[4]SAMPLES!$L$70</f>
        <v>27.984098532348213</v>
      </c>
      <c r="AM11" s="57">
        <f>(Data6[[#This Row],[Gluconeogensis (%)]]/100)*Data6[[#This Row],[Glucose (mmol/L)]]</f>
        <v>1.4495763039756373</v>
      </c>
      <c r="AN11" s="61">
        <f>Data6[[#This Row],[Glucose (mmol/L)]]-Data6[[#This Row],[Gluconeogenesis (mmol/L)]]</f>
        <v>3.7304236960243626</v>
      </c>
      <c r="AO11" s="61" t="s">
        <v>535</v>
      </c>
      <c r="AP11" s="7"/>
    </row>
    <row r="12" spans="1:52" s="23" customFormat="1" x14ac:dyDescent="0.25">
      <c r="A12" s="11">
        <v>200</v>
      </c>
      <c r="B12" s="11" t="s">
        <v>302</v>
      </c>
      <c r="C12" s="11" t="s">
        <v>233</v>
      </c>
      <c r="D12" s="11">
        <v>1</v>
      </c>
      <c r="E12" s="11"/>
      <c r="F12" s="11" t="s">
        <v>406</v>
      </c>
      <c r="G12" s="11" t="s">
        <v>228</v>
      </c>
      <c r="H12" s="11">
        <f>[63]Characteristics!$R$8</f>
        <v>45</v>
      </c>
      <c r="I12" s="11"/>
      <c r="J12" s="11"/>
      <c r="K12" s="11">
        <f>'[63]Anthro, DXA, Liver fat'!$R$6</f>
        <v>181</v>
      </c>
      <c r="L12" s="11">
        <f>'[63]Anthro, DXA, Liver fat'!$R$5</f>
        <v>83.2</v>
      </c>
      <c r="M12" s="12">
        <f>L12/((K12/100)*(K12/100))</f>
        <v>25.396050181618389</v>
      </c>
      <c r="N12" s="11">
        <f>'[63]Anthro, DXA, Liver fat'!$R$8</f>
        <v>89</v>
      </c>
      <c r="O12" s="11"/>
      <c r="P12" s="13" t="e">
        <f>Data6[[#This Row],[Waist_Circumference]]/Data6[[#This Row],[Hip_circumference]]</f>
        <v>#DIV/0!</v>
      </c>
      <c r="Q12" s="14">
        <f>'[63]Anthro, DXA, Liver fat'!$R$19</f>
        <v>18049</v>
      </c>
      <c r="R12" s="14">
        <f>'[63]Anthro, DXA, Liver fat'!$R$20</f>
        <v>61237</v>
      </c>
      <c r="S12" s="14">
        <f>Q12+R12</f>
        <v>79286</v>
      </c>
      <c r="T12" s="13">
        <f>(Data6[[#This Row],[Total_fat_g]]/Data6[[#This Row],[Total_mass_g]])*100</f>
        <v>22.764422470549654</v>
      </c>
      <c r="U12" s="13">
        <f>(Data6[[#This Row],[Lean_mass_g]]/Data6[[#This Row],[Total_mass_g]])*100</f>
        <v>77.235577529450339</v>
      </c>
      <c r="V12" s="13">
        <f>'[63]Anthro, DXA, Liver fat'!$R$27</f>
        <v>906</v>
      </c>
      <c r="W12" s="13">
        <f>'[64]IHTG Corrected'!$D$36</f>
        <v>1.1491357557775612</v>
      </c>
      <c r="X12" s="13">
        <f>[63]Glucose!$R$7</f>
        <v>4.8109999999999999</v>
      </c>
      <c r="Y12" s="13">
        <f>[81]Insulin!$I$3</f>
        <v>6.3369999999999997</v>
      </c>
      <c r="Z12" s="21">
        <f>(Data6[[#This Row],[Glucose (mmol/L)]]*Data6[[#This Row],[Insulin (umol/L)]])/22.5</f>
        <v>1.3549914222222221</v>
      </c>
      <c r="AA12" s="13">
        <f>[63]NEFA!$R$7</f>
        <v>478.7</v>
      </c>
      <c r="AB12" s="13">
        <f>[63]TAG!$R$7</f>
        <v>978.9</v>
      </c>
      <c r="AC12" s="13">
        <f>'[63]3-OHB'!$R$7</f>
        <v>40</v>
      </c>
      <c r="AD12" s="13">
        <f>'[63]Apo B, Cholesterol, HDL, ALT'!$R$17</f>
        <v>4.4000000000000004</v>
      </c>
      <c r="AE12" s="13">
        <f>'[63]Apo B, Cholesterol, HDL, ALT'!$R$27</f>
        <v>1.01</v>
      </c>
      <c r="AF12" s="13">
        <f>Data6[[#This Row],[total_chol (umol/L)]]-Data6[[#This Row],[HDL_chol (umol/L)]]</f>
        <v>3.3900000000000006</v>
      </c>
      <c r="AG12" s="13">
        <f>Data6[[#This Row],[Non_HDL (umol/L)]]-(Data6[[#This Row],[TAG (umol/L)]]/2200)</f>
        <v>2.945045454545455</v>
      </c>
      <c r="AH12" s="13">
        <f>[66]Data!$AQ$323</f>
        <v>59.586991801668567</v>
      </c>
      <c r="AI12" s="53">
        <f>'[63]DNL_Bounds Visit A'!$R$16</f>
        <v>2.9791065172619165E-3</v>
      </c>
      <c r="AJ12" s="48"/>
      <c r="AL12" s="13">
        <f>[4]SAMPLES!$L$196</f>
        <v>28.402271478557061</v>
      </c>
      <c r="AM12" s="60">
        <f>(Data6[[#This Row],[Gluconeogensis (%)]]/100)*Data6[[#This Row],[Glucose (mmol/L)]]</f>
        <v>1.3664332808333803</v>
      </c>
      <c r="AN12" s="61">
        <f>Data6[[#This Row],[Glucose (mmol/L)]]-Data6[[#This Row],[Gluconeogenesis (mmol/L)]]</f>
        <v>3.4445667191666196</v>
      </c>
      <c r="AO12" s="61" t="s">
        <v>535</v>
      </c>
      <c r="AP12" s="11"/>
    </row>
    <row r="13" spans="1:52" s="23" customFormat="1" x14ac:dyDescent="0.25">
      <c r="A13" s="33">
        <v>125</v>
      </c>
      <c r="B13" s="33" t="s">
        <v>213</v>
      </c>
      <c r="C13" s="33" t="s">
        <v>226</v>
      </c>
      <c r="D13" s="33" t="s">
        <v>386</v>
      </c>
      <c r="E13" s="33" t="s">
        <v>407</v>
      </c>
      <c r="F13" s="19"/>
      <c r="G13" s="33" t="s">
        <v>227</v>
      </c>
      <c r="H13" s="33">
        <v>50</v>
      </c>
      <c r="I13" s="33"/>
      <c r="J13" s="46"/>
      <c r="K13" s="33">
        <v>169.5</v>
      </c>
      <c r="L13" s="33">
        <v>70.099999999999994</v>
      </c>
      <c r="M13" s="34">
        <f>L13/((K13/100)*(K13/100))</f>
        <v>24.399370002001373</v>
      </c>
      <c r="N13" s="33">
        <v>81</v>
      </c>
      <c r="O13" s="33">
        <v>102</v>
      </c>
      <c r="P13" s="35">
        <f>Data6[[#This Row],[Waist_Circumference]]/Data6[[#This Row],[Hip_circumference]]</f>
        <v>0.79411764705882348</v>
      </c>
      <c r="Q13" s="36">
        <f>[51]Antropometrics!$E$16</f>
        <v>20753</v>
      </c>
      <c r="R13" s="36">
        <f>[51]Antropometrics!$E$17</f>
        <v>46542</v>
      </c>
      <c r="S13" s="36">
        <f>Q13+R13</f>
        <v>67295</v>
      </c>
      <c r="T13" s="35">
        <f>(Data6[[#This Row],[Total_fat_g]]/Data6[[#This Row],[Total_mass_g]])*100</f>
        <v>30.838843896277584</v>
      </c>
      <c r="U13" s="35">
        <f>(Data6[[#This Row],[Lean_mass_g]]/Data6[[#This Row],[Total_mass_g]])*100</f>
        <v>69.161156103722419</v>
      </c>
      <c r="V13" s="35">
        <f>[51]Antropometrics!$E$27</f>
        <v>241</v>
      </c>
      <c r="W13" s="35"/>
      <c r="X13" s="35">
        <f>[51]Glucose!$E$24</f>
        <v>5.3540000000000001</v>
      </c>
      <c r="Y13" s="35">
        <f>[51]Insulin!$E$24</f>
        <v>6.4414999999999996</v>
      </c>
      <c r="Z13" s="21">
        <f>(Data6[[#This Row],[Glucose (mmol/L)]]*Data6[[#This Row],[Insulin (umol/L)]])/22.5</f>
        <v>1.5327907111111112</v>
      </c>
      <c r="AA13" s="35">
        <f>[51]NEFA!$E$24</f>
        <v>546.70000000000005</v>
      </c>
      <c r="AB13" s="35">
        <f>[51]TAG!$E$24</f>
        <v>926.5</v>
      </c>
      <c r="AC13" s="35">
        <f>'[51]3OHB'!$E$24</f>
        <v>162.6</v>
      </c>
      <c r="AD13" s="35">
        <f>'[51]Chol, HDL'!$E$14</f>
        <v>7.23</v>
      </c>
      <c r="AE13" s="35">
        <f>'[51]Chol, HDL'!$E$31</f>
        <v>2.59</v>
      </c>
      <c r="AF13" s="35">
        <f>Data6[[#This Row],[total_chol (umol/L)]]-Data6[[#This Row],[HDL_chol (umol/L)]]</f>
        <v>4.6400000000000006</v>
      </c>
      <c r="AG13" s="35">
        <f>Data6[[#This Row],[Non_HDL (umol/L)]]-(Data6[[#This Row],[TAG (umol/L)]]/2200)</f>
        <v>4.2188636363636371</v>
      </c>
      <c r="AH13" s="35">
        <v>343.61383499999994</v>
      </c>
      <c r="AI13" s="52">
        <f>[51]DNL!$E$15</f>
        <v>2.9256601710788738E-3</v>
      </c>
      <c r="AJ13" s="35">
        <f>[51]DNL!$E$61</f>
        <v>2.9048000362203967</v>
      </c>
      <c r="AK13" s="23">
        <f>(Data6[[#This Row],[DNL (%)]]/100)*Data6[[#This Row],[VLDL (umol/L)]]</f>
        <v>9.981294803538292</v>
      </c>
      <c r="AL13" s="35"/>
      <c r="AM13" s="58"/>
      <c r="AN13" s="61"/>
      <c r="AO13" s="61" t="s">
        <v>535</v>
      </c>
      <c r="AP13" s="33" t="s">
        <v>413</v>
      </c>
    </row>
    <row r="14" spans="1:52" s="23" customFormat="1" x14ac:dyDescent="0.25">
      <c r="A14" s="11">
        <v>174</v>
      </c>
      <c r="B14" s="11" t="s">
        <v>289</v>
      </c>
      <c r="C14" s="11" t="s">
        <v>233</v>
      </c>
      <c r="D14" s="11">
        <v>1</v>
      </c>
      <c r="E14" s="11"/>
      <c r="F14" s="11" t="s">
        <v>393</v>
      </c>
      <c r="G14" s="11" t="s">
        <v>228</v>
      </c>
      <c r="H14" s="11">
        <f>[63]Characteristics!$D$8</f>
        <v>51</v>
      </c>
      <c r="I14" s="11"/>
      <c r="J14" s="11"/>
      <c r="K14" s="11">
        <f>'[63]Anthro, DXA, Liver fat'!$D$6</f>
        <v>178</v>
      </c>
      <c r="L14" s="11">
        <f>'[63]Anthro, DXA, Liver fat'!$D$5</f>
        <v>94.2</v>
      </c>
      <c r="M14" s="12">
        <f>L14/((K14/100)*(K14/100))</f>
        <v>29.731094558767833</v>
      </c>
      <c r="N14" s="11">
        <f>'[63]Anthro, DXA, Liver fat'!$D$8</f>
        <v>104</v>
      </c>
      <c r="O14" s="11"/>
      <c r="P14" s="13" t="e">
        <f>Data6[[#This Row],[Waist_Circumference]]/Data6[[#This Row],[Hip_circumference]]</f>
        <v>#DIV/0!</v>
      </c>
      <c r="Q14" s="14">
        <f>'[63]Anthro, DXA, Liver fat'!$D$19</f>
        <v>32473.931995497001</v>
      </c>
      <c r="R14" s="14">
        <f>'[63]Anthro, DXA, Liver fat'!$D$20</f>
        <v>58930.257620119002</v>
      </c>
      <c r="S14" s="14">
        <f>Q14+R14</f>
        <v>91404.189615616007</v>
      </c>
      <c r="T14" s="13">
        <f>(Data6[[#This Row],[Total_fat_g]]/Data6[[#This Row],[Total_mass_g]])*100</f>
        <v>35.527837544493664</v>
      </c>
      <c r="U14" s="13">
        <f>(Data6[[#This Row],[Lean_mass_g]]/Data6[[#This Row],[Total_mass_g]])*100</f>
        <v>64.472162455506336</v>
      </c>
      <c r="V14" s="13">
        <f>'[63]Anthro, DXA, Liver fat'!$D$27</f>
        <v>2109.1224918564999</v>
      </c>
      <c r="W14" s="13">
        <f>'[64]IHTG Corrected'!$D$6</f>
        <v>5.8724242455643303</v>
      </c>
      <c r="X14" s="13">
        <f>[63]Glucose!$D$7</f>
        <v>5.1840000000000002</v>
      </c>
      <c r="Y14" s="13">
        <f>[68]Insulin!$K$4</f>
        <v>6.4525000000000006</v>
      </c>
      <c r="Z14" s="21">
        <f>(Data6[[#This Row],[Glucose (mmol/L)]]*Data6[[#This Row],[Insulin (umol/L)]])/22.5</f>
        <v>1.4866560000000002</v>
      </c>
      <c r="AA14" s="13">
        <f>[63]NEFA!$D$7</f>
        <v>325.45499999999998</v>
      </c>
      <c r="AB14" s="13">
        <f>[63]TAG!$D$7</f>
        <v>1689.855</v>
      </c>
      <c r="AC14" s="13">
        <f>'[63]3-OHB'!$D$7</f>
        <v>20.6</v>
      </c>
      <c r="AD14" s="13">
        <f>'[63]Apo B, Cholesterol, HDL, ALT'!$D$17</f>
        <v>5.03</v>
      </c>
      <c r="AE14" s="13">
        <f>'[63]Apo B, Cholesterol, HDL, ALT'!$D$27</f>
        <v>1.32</v>
      </c>
      <c r="AF14" s="13">
        <f>Data6[[#This Row],[total_chol (umol/L)]]-Data6[[#This Row],[HDL_chol (umol/L)]]</f>
        <v>3.71</v>
      </c>
      <c r="AG14" s="13">
        <f>Data6[[#This Row],[Non_HDL (umol/L)]]-(Data6[[#This Row],[TAG (umol/L)]]/2200)</f>
        <v>2.9418840909090909</v>
      </c>
      <c r="AH14" s="13">
        <f>[66]Data!$AQ$43</f>
        <v>511.45450058244364</v>
      </c>
      <c r="AI14" s="53">
        <f>'[63]DNL_Bounds Visit A'!$D$16</f>
        <v>4.0512145442337978E-3</v>
      </c>
      <c r="AJ14" s="13">
        <f>'[63]DNL_Bounds Visit A'!$D$24</f>
        <v>6.3895985519542373</v>
      </c>
      <c r="AK14" s="23">
        <f>(Data6[[#This Row],[DNL (%)]]/100)*Data6[[#This Row],[VLDL (umol/L)]]</f>
        <v>32.679889363120594</v>
      </c>
      <c r="AL14" s="13">
        <f>[4]SAMPLES!$L$108</f>
        <v>18.29235587562453</v>
      </c>
      <c r="AM14" s="60">
        <f>(Data6[[#This Row],[Gluconeogensis (%)]]/100)*Data6[[#This Row],[Glucose (mmol/L)]]</f>
        <v>0.94827572859237563</v>
      </c>
      <c r="AN14" s="61">
        <f>Data6[[#This Row],[Glucose (mmol/L)]]-Data6[[#This Row],[Gluconeogenesis (mmol/L)]]</f>
        <v>4.2357242714076246</v>
      </c>
      <c r="AO14" s="61" t="s">
        <v>535</v>
      </c>
      <c r="AP14" s="11"/>
    </row>
    <row r="15" spans="1:52" s="23" customFormat="1" x14ac:dyDescent="0.25">
      <c r="A15" s="23">
        <v>1</v>
      </c>
      <c r="B15" s="23" t="s">
        <v>31</v>
      </c>
      <c r="C15" s="23" t="s">
        <v>32</v>
      </c>
      <c r="F15" s="23">
        <v>3201</v>
      </c>
      <c r="G15" s="23" t="s">
        <v>227</v>
      </c>
      <c r="H15" s="26">
        <v>42.8</v>
      </c>
      <c r="I15" s="23" t="s">
        <v>146</v>
      </c>
      <c r="K15" s="23">
        <v>162</v>
      </c>
      <c r="L15" s="23">
        <v>66.2</v>
      </c>
      <c r="M15" s="24">
        <f>L15/((K15/100)*(K15/100))</f>
        <v>25.224813290656908</v>
      </c>
      <c r="N15" s="23">
        <v>81</v>
      </c>
      <c r="O15" s="23">
        <v>101</v>
      </c>
      <c r="P15" s="25">
        <f>Data6[[#This Row],[Waist_Circumference]]/Data6[[#This Row],[Hip_circumference]]</f>
        <v>0.80198019801980203</v>
      </c>
      <c r="Q15" s="26">
        <f>'[1]Anthro data'!$B$27</f>
        <v>22192</v>
      </c>
      <c r="R15" s="26">
        <f>'[1]Anthro data'!$B$28</f>
        <v>43616</v>
      </c>
      <c r="S15" s="26">
        <f>Q15+R15</f>
        <v>65808</v>
      </c>
      <c r="T15" s="25">
        <f>(Data6[[#This Row],[Total_fat_g]]/Data6[[#This Row],[Total_mass_g]])*100</f>
        <v>33.722343787989303</v>
      </c>
      <c r="U15" s="25">
        <f>(Data6[[#This Row],[Lean_mass_g]]/Data6[[#This Row],[Total_mass_g]])*100</f>
        <v>66.277656212010697</v>
      </c>
      <c r="V15" s="25">
        <v>50</v>
      </c>
      <c r="W15" s="25">
        <v>0.75233644899999996</v>
      </c>
      <c r="X15" s="25">
        <f>[1]Glucose!$B$3</f>
        <v>5.0250000000000004</v>
      </c>
      <c r="Y15" s="25">
        <f>'[1]Insulin+HOMA'!$B$3</f>
        <v>6.7835000000000001</v>
      </c>
      <c r="Z15" s="21">
        <f>(Data6[[#This Row],[Glucose (mmol/L)]]*Data6[[#This Row],[Insulin (umol/L)]])/22.5</f>
        <v>1.5149816666666669</v>
      </c>
      <c r="AA15" s="25">
        <f>[1]NEFA!$B$3</f>
        <v>501.85</v>
      </c>
      <c r="AB15" s="25">
        <f>[1]TAG!$B$3</f>
        <v>401.24999999999994</v>
      </c>
      <c r="AC15" s="25">
        <f>'[1]3-OHB'!$B$3</f>
        <v>82.3</v>
      </c>
      <c r="AD15" s="25">
        <f>'[2]Basal ApoB,Chol,HDL,ALT'!$H$3</f>
        <v>3.7549999999999999</v>
      </c>
      <c r="AE15" s="25">
        <f>'[2]Basal ApoB,Chol,HDL,ALT'!$L$3</f>
        <v>1.4249999999999998</v>
      </c>
      <c r="AF15" s="25">
        <f>Data6[[#This Row],[total_chol (umol/L)]]-Data6[[#This Row],[HDL_chol (umol/L)]]</f>
        <v>2.33</v>
      </c>
      <c r="AG15" s="25">
        <f>Data6[[#This Row],[Non_HDL (umol/L)]]-(Data6[[#This Row],[TAG (umol/L)]]/2200)</f>
        <v>2.1476136363636362</v>
      </c>
      <c r="AH15" s="25">
        <v>162.09022500000003</v>
      </c>
      <c r="AI15" s="49">
        <f>[3]LH1!$B$3</f>
        <v>3.5473636372196238E-3</v>
      </c>
      <c r="AJ15" s="25">
        <f>[1]DNL_160!$B$5</f>
        <v>4.5063964708496593</v>
      </c>
      <c r="AK15" s="23">
        <f>(Data6[[#This Row],[DNL (%)]]/100)*Data6[[#This Row],[VLDL (umol/L)]]</f>
        <v>7.3044281789922731</v>
      </c>
      <c r="AL15" s="25">
        <f>[4]SAMPLES!$L$3</f>
        <v>21.867846637950304</v>
      </c>
      <c r="AM15" s="55">
        <f>(Data6[[#This Row],[Gluconeogensis (%)]]/100)*Data6[[#This Row],[Glucose (mmol/L)]]</f>
        <v>1.098859293557003</v>
      </c>
      <c r="AN15" s="61">
        <f>Data6[[#This Row],[Glucose (mmol/L)]]-Data6[[#This Row],[Gluconeogenesis (mmol/L)]]</f>
        <v>3.9261407064429976</v>
      </c>
      <c r="AO15" s="61" t="s">
        <v>535</v>
      </c>
    </row>
    <row r="16" spans="1:52" s="23" customFormat="1" x14ac:dyDescent="0.25">
      <c r="A16" s="11">
        <v>192</v>
      </c>
      <c r="B16" s="11" t="s">
        <v>298</v>
      </c>
      <c r="C16" s="11" t="s">
        <v>233</v>
      </c>
      <c r="D16" s="11">
        <v>1</v>
      </c>
      <c r="E16" s="11"/>
      <c r="F16" s="11" t="s">
        <v>402</v>
      </c>
      <c r="G16" s="11" t="s">
        <v>227</v>
      </c>
      <c r="H16" s="11">
        <f>[63]Characteristics!$N$8</f>
        <v>50</v>
      </c>
      <c r="I16" s="11"/>
      <c r="J16" s="11"/>
      <c r="K16" s="11">
        <f>'[63]Anthro, DXA, Liver fat'!$N$6</f>
        <v>164</v>
      </c>
      <c r="L16" s="11">
        <f>'[63]Anthro, DXA, Liver fat'!$N$5</f>
        <v>67.8</v>
      </c>
      <c r="M16" s="12">
        <f>L16/((K16/100)*(K16/100))</f>
        <v>25.208209399167167</v>
      </c>
      <c r="N16" s="11">
        <f>'[63]Anthro, DXA, Liver fat'!$N$8</f>
        <v>82</v>
      </c>
      <c r="O16" s="11"/>
      <c r="P16" s="13" t="e">
        <f>Data6[[#This Row],[Waist_Circumference]]/Data6[[#This Row],[Hip_circumference]]</f>
        <v>#DIV/0!</v>
      </c>
      <c r="Q16" s="14">
        <f>[66]Data!$T$242</f>
        <v>40691.265298514001</v>
      </c>
      <c r="R16" s="14">
        <f>[66]Data!$U$242</f>
        <v>2915.8921932241001</v>
      </c>
      <c r="S16" s="14">
        <f>Q16+R16</f>
        <v>43607.1574917381</v>
      </c>
      <c r="T16" s="13">
        <f>(Data6[[#This Row],[Total_fat_g]]/Data6[[#This Row],[Total_mass_g]])*100</f>
        <v>93.313271579839736</v>
      </c>
      <c r="U16" s="13">
        <f>(Data6[[#This Row],[Lean_mass_g]]/Data6[[#This Row],[Total_mass_g]])*100</f>
        <v>6.6867284201602706</v>
      </c>
      <c r="V16" s="48"/>
      <c r="W16" s="48"/>
      <c r="X16" s="13">
        <f>[63]Glucose!$N$7</f>
        <v>5.2249999999999996</v>
      </c>
      <c r="Y16" s="13">
        <f>[77]Insulin!$I$3</f>
        <v>6.8419999999999996</v>
      </c>
      <c r="Z16" s="21">
        <f>(Data6[[#This Row],[Glucose (mmol/L)]]*Data6[[#This Row],[Insulin (umol/L)]])/22.5</f>
        <v>1.5888644444444442</v>
      </c>
      <c r="AA16" s="13">
        <f>[63]NEFA!$N$7</f>
        <v>369.5</v>
      </c>
      <c r="AB16" s="13">
        <f>[63]TAG!$N$7</f>
        <v>602.80000000000007</v>
      </c>
      <c r="AC16" s="13">
        <f>'[63]3-OHB'!$N$7</f>
        <v>28</v>
      </c>
      <c r="AD16" s="13">
        <f>'[63]Apo B, Cholesterol, HDL, ALT'!$N$17</f>
        <v>3.41</v>
      </c>
      <c r="AE16" s="13">
        <f>'[63]Apo B, Cholesterol, HDL, ALT'!$N$27</f>
        <v>0.95</v>
      </c>
      <c r="AF16" s="13">
        <f>Data6[[#This Row],[total_chol (umol/L)]]-Data6[[#This Row],[HDL_chol (umol/L)]]</f>
        <v>2.46</v>
      </c>
      <c r="AG16" s="13">
        <f>Data6[[#This Row],[Non_HDL (umol/L)]]-(Data6[[#This Row],[TAG (umol/L)]]/2200)</f>
        <v>2.1859999999999999</v>
      </c>
      <c r="AH16" s="13">
        <f>[66]Data!$AQ$243</f>
        <v>193.12737844785613</v>
      </c>
      <c r="AI16" s="53">
        <f>'[63]DNL_Bounds Visit A'!$N$16</f>
        <v>3.6856125558538313E-3</v>
      </c>
      <c r="AJ16" s="13">
        <f>'[63]DNL_Bounds Visit A'!$N$24</f>
        <v>0.8865191846686129</v>
      </c>
      <c r="AK16" s="23">
        <f>(Data6[[#This Row],[DNL (%)]]/100)*Data6[[#This Row],[VLDL (umol/L)]]</f>
        <v>1.7121112607878006</v>
      </c>
      <c r="AL16" s="13">
        <f>[4]SAMPLES!$L$188</f>
        <v>23.795564009124099</v>
      </c>
      <c r="AM16" s="60">
        <f>(Data6[[#This Row],[Gluconeogensis (%)]]/100)*Data6[[#This Row],[Glucose (mmol/L)]]</f>
        <v>1.243318219476734</v>
      </c>
      <c r="AN16" s="61">
        <f>Data6[[#This Row],[Glucose (mmol/L)]]-Data6[[#This Row],[Gluconeogenesis (mmol/L)]]</f>
        <v>3.9816817805232656</v>
      </c>
      <c r="AO16" s="61" t="s">
        <v>535</v>
      </c>
      <c r="AP16" s="11"/>
    </row>
    <row r="17" spans="1:42" s="23" customFormat="1" x14ac:dyDescent="0.25">
      <c r="A17" s="7">
        <v>79</v>
      </c>
      <c r="B17" s="7" t="s">
        <v>132</v>
      </c>
      <c r="C17" s="7" t="s">
        <v>133</v>
      </c>
      <c r="D17" s="7"/>
      <c r="E17" s="7"/>
      <c r="F17" s="7"/>
      <c r="G17" s="7" t="s">
        <v>227</v>
      </c>
      <c r="H17" s="7">
        <v>55</v>
      </c>
      <c r="I17" s="7" t="s">
        <v>229</v>
      </c>
      <c r="J17" s="7"/>
      <c r="K17" s="7">
        <v>172</v>
      </c>
      <c r="L17" s="7">
        <v>69</v>
      </c>
      <c r="M17" s="8">
        <f>L17/((K17/100)*(K17/100))</f>
        <v>23.323418063818284</v>
      </c>
      <c r="N17" s="7">
        <v>88</v>
      </c>
      <c r="O17" s="7">
        <v>102</v>
      </c>
      <c r="P17" s="9">
        <f>Data6[[#This Row],[Waist_Circumference]]/Data6[[#This Row],[Hip_circumference]]</f>
        <v>0.86274509803921573</v>
      </c>
      <c r="Q17" s="10">
        <v>21960</v>
      </c>
      <c r="R17" s="10">
        <v>45240</v>
      </c>
      <c r="S17" s="10">
        <f>Q17+R17</f>
        <v>67200</v>
      </c>
      <c r="T17" s="9">
        <f>(Data6[[#This Row],[Total_fat_g]]/Data6[[#This Row],[Total_mass_g]])*100</f>
        <v>32.678571428571431</v>
      </c>
      <c r="U17" s="9">
        <f>(Data6[[#This Row],[Lean_mass_g]]/Data6[[#This Row],[Total_mass_g]])*100</f>
        <v>67.321428571428584</v>
      </c>
      <c r="V17" s="9">
        <v>189</v>
      </c>
      <c r="W17" s="9">
        <v>0.71</v>
      </c>
      <c r="X17" s="9">
        <v>4.45</v>
      </c>
      <c r="Y17" s="9">
        <v>7.06</v>
      </c>
      <c r="Z17" s="21">
        <f>(Data6[[#This Row],[Glucose (mmol/L)]]*Data6[[#This Row],[Insulin (umol/L)]])/22.5</f>
        <v>1.3963111111111111</v>
      </c>
      <c r="AA17" s="9">
        <v>697.46</v>
      </c>
      <c r="AB17" s="9">
        <v>548.95000000000005</v>
      </c>
      <c r="AC17" s="9">
        <v>26.9</v>
      </c>
      <c r="AD17" s="9">
        <v>6.3</v>
      </c>
      <c r="AE17" s="9">
        <v>1.74</v>
      </c>
      <c r="AF17" s="9">
        <f>Data6[[#This Row],[total_chol (umol/L)]]-Data6[[#This Row],[HDL_chol (umol/L)]]</f>
        <v>4.5599999999999996</v>
      </c>
      <c r="AG17" s="9">
        <f>Data6[[#This Row],[Non_HDL (umol/L)]]-(Data6[[#This Row],[TAG (umol/L)]]/2200)</f>
        <v>4.3104772727272724</v>
      </c>
      <c r="AH17" s="9">
        <v>110.79</v>
      </c>
      <c r="AI17" s="51">
        <v>4.507389333968043E-3</v>
      </c>
      <c r="AJ17" s="9">
        <v>1.7764800718457481</v>
      </c>
      <c r="AK17" s="23">
        <f>(Data6[[#This Row],[DNL (%)]]/100)*Data6[[#This Row],[VLDL (umol/L)]]</f>
        <v>1.9681622715979046</v>
      </c>
      <c r="AL17" s="65">
        <f>[4]SAMPLES!$L$40</f>
        <v>5.1547763079577109</v>
      </c>
      <c r="AM17" s="57">
        <f>(Data6[[#This Row],[Gluconeogensis (%)]]/100)*Data6[[#This Row],[Glucose (mmol/L)]]</f>
        <v>0.22938754570411815</v>
      </c>
      <c r="AN17" s="61">
        <f>Data6[[#This Row],[Glucose (mmol/L)]]-Data6[[#This Row],[Gluconeogenesis (mmol/L)]]</f>
        <v>4.2206124542958818</v>
      </c>
      <c r="AO17" s="61" t="s">
        <v>535</v>
      </c>
      <c r="AP17" s="7"/>
    </row>
    <row r="18" spans="1:42" s="23" customFormat="1" x14ac:dyDescent="0.25">
      <c r="A18" s="7">
        <v>109</v>
      </c>
      <c r="B18" s="7" t="s">
        <v>187</v>
      </c>
      <c r="C18" s="7" t="s">
        <v>188</v>
      </c>
      <c r="D18" s="7"/>
      <c r="E18" s="7"/>
      <c r="F18" s="7"/>
      <c r="G18" s="7" t="s">
        <v>227</v>
      </c>
      <c r="H18" s="7">
        <v>61</v>
      </c>
      <c r="I18" s="7"/>
      <c r="J18" s="7"/>
      <c r="K18" s="7">
        <v>166</v>
      </c>
      <c r="L18" s="7">
        <v>60.3</v>
      </c>
      <c r="M18" s="8">
        <f>L18/((K18/100)*(K18/100))</f>
        <v>21.88271156916824</v>
      </c>
      <c r="N18" s="7">
        <v>76</v>
      </c>
      <c r="O18" s="7">
        <v>93</v>
      </c>
      <c r="P18" s="9">
        <f>Data6[[#This Row],[Waist_Circumference]]/Data6[[#This Row],[Hip_circumference]]</f>
        <v>0.81720430107526887</v>
      </c>
      <c r="Q18" s="10">
        <v>18580</v>
      </c>
      <c r="R18" s="10">
        <v>38490</v>
      </c>
      <c r="S18" s="10">
        <f>Q18+R18</f>
        <v>57070</v>
      </c>
      <c r="T18" s="9">
        <f>(Data6[[#This Row],[Total_fat_g]]/Data6[[#This Row],[Total_mass_g]])*100</f>
        <v>32.556509549675837</v>
      </c>
      <c r="U18" s="9">
        <f>(Data6[[#This Row],[Lean_mass_g]]/Data6[[#This Row],[Total_mass_g]])*100</f>
        <v>67.443490450324163</v>
      </c>
      <c r="V18" s="9"/>
      <c r="W18" s="9">
        <v>1.99</v>
      </c>
      <c r="X18" s="9">
        <v>4.3899999999999997</v>
      </c>
      <c r="Y18" s="9">
        <v>7.27</v>
      </c>
      <c r="Z18" s="21">
        <f>(Data6[[#This Row],[Glucose (mmol/L)]]*Data6[[#This Row],[Insulin (umol/L)]])/22.5</f>
        <v>1.4184577777777776</v>
      </c>
      <c r="AA18" s="9">
        <v>194.5</v>
      </c>
      <c r="AB18" s="9">
        <v>862.75</v>
      </c>
      <c r="AC18" s="9">
        <v>24.4</v>
      </c>
      <c r="AD18" s="9">
        <v>6.3</v>
      </c>
      <c r="AE18" s="9">
        <v>1.36</v>
      </c>
      <c r="AF18" s="9">
        <f>Data6[[#This Row],[total_chol (umol/L)]]-Data6[[#This Row],[HDL_chol (umol/L)]]</f>
        <v>4.9399999999999995</v>
      </c>
      <c r="AG18" s="9">
        <f>Data6[[#This Row],[Non_HDL (umol/L)]]-(Data6[[#This Row],[TAG (umol/L)]]/2200)</f>
        <v>4.5478409090909082</v>
      </c>
      <c r="AH18" s="9">
        <v>390.14</v>
      </c>
      <c r="AI18" s="51">
        <v>3.3772955943973627E-3</v>
      </c>
      <c r="AJ18" s="9">
        <v>19.211923343578473</v>
      </c>
      <c r="AK18" s="23">
        <f>(Data6[[#This Row],[DNL (%)]]/100)*Data6[[#This Row],[VLDL (umol/L)]]</f>
        <v>74.953397732637058</v>
      </c>
      <c r="AL18" s="9">
        <f>[4]SAMPLES!$L$258</f>
        <v>15.408334732480199</v>
      </c>
      <c r="AM18" s="57">
        <f>(Data6[[#This Row],[Gluconeogensis (%)]]/100)*Data6[[#This Row],[Glucose (mmol/L)]]</f>
        <v>0.67642589475588077</v>
      </c>
      <c r="AN18" s="61">
        <f>Data6[[#This Row],[Glucose (mmol/L)]]-Data6[[#This Row],[Gluconeogenesis (mmol/L)]]</f>
        <v>3.7135741052441187</v>
      </c>
      <c r="AO18" s="61" t="s">
        <v>535</v>
      </c>
      <c r="AP18" s="7"/>
    </row>
    <row r="19" spans="1:42" s="23" customFormat="1" x14ac:dyDescent="0.25">
      <c r="A19" s="7">
        <v>121</v>
      </c>
      <c r="B19" s="7" t="s">
        <v>100</v>
      </c>
      <c r="C19" s="7" t="s">
        <v>209</v>
      </c>
      <c r="D19" s="7"/>
      <c r="E19" s="7"/>
      <c r="F19" s="7"/>
      <c r="G19" s="7" t="s">
        <v>227</v>
      </c>
      <c r="H19" s="7">
        <v>55</v>
      </c>
      <c r="I19" s="7"/>
      <c r="J19" s="7"/>
      <c r="K19" s="7">
        <v>162.19999999999999</v>
      </c>
      <c r="L19" s="7">
        <v>59.55</v>
      </c>
      <c r="M19" s="8">
        <f>L19/((K19/100)*(K19/100))</f>
        <v>22.634977444843638</v>
      </c>
      <c r="N19" s="7">
        <v>75</v>
      </c>
      <c r="O19" s="7">
        <v>95</v>
      </c>
      <c r="P19" s="9">
        <f>Data6[[#This Row],[Waist_Circumference]]/Data6[[#This Row],[Hip_circumference]]</f>
        <v>0.78947368421052633</v>
      </c>
      <c r="Q19" s="10">
        <v>20010</v>
      </c>
      <c r="R19" s="10">
        <v>37750</v>
      </c>
      <c r="S19" s="10">
        <f>Q19+R19</f>
        <v>57760</v>
      </c>
      <c r="T19" s="9">
        <f>(Data6[[#This Row],[Total_fat_g]]/Data6[[#This Row],[Total_mass_g]])*100</f>
        <v>34.643351800554015</v>
      </c>
      <c r="U19" s="9">
        <f>(Data6[[#This Row],[Lean_mass_g]]/Data6[[#This Row],[Total_mass_g]])*100</f>
        <v>65.356648199445985</v>
      </c>
      <c r="V19" s="9"/>
      <c r="W19" s="9">
        <v>0.61</v>
      </c>
      <c r="X19" s="9">
        <v>5.25</v>
      </c>
      <c r="Y19" s="9">
        <v>7.38</v>
      </c>
      <c r="Z19" s="21">
        <f>(Data6[[#This Row],[Glucose (mmol/L)]]*Data6[[#This Row],[Insulin (umol/L)]])/22.5</f>
        <v>1.722</v>
      </c>
      <c r="AA19" s="9">
        <v>981.73</v>
      </c>
      <c r="AB19" s="9">
        <v>609.75</v>
      </c>
      <c r="AC19" s="9">
        <v>78.2</v>
      </c>
      <c r="AD19" s="9">
        <v>7.07</v>
      </c>
      <c r="AE19" s="9">
        <v>2.3199999999999998</v>
      </c>
      <c r="AF19" s="9">
        <f>Data6[[#This Row],[total_chol (umol/L)]]-Data6[[#This Row],[HDL_chol (umol/L)]]</f>
        <v>4.75</v>
      </c>
      <c r="AG19" s="9">
        <f>Data6[[#This Row],[Non_HDL (umol/L)]]-(Data6[[#This Row],[TAG (umol/L)]]/2200)</f>
        <v>4.4728409090909089</v>
      </c>
      <c r="AH19" s="9">
        <v>188.68</v>
      </c>
      <c r="AI19" s="51">
        <v>3.1188475742174844E-3</v>
      </c>
      <c r="AJ19" s="9">
        <v>2.7352403116885178</v>
      </c>
      <c r="AK19" s="23">
        <f>(Data6[[#This Row],[DNL (%)]]/100)*Data6[[#This Row],[VLDL (umol/L)]]</f>
        <v>5.1608514200938957</v>
      </c>
      <c r="AL19" s="9">
        <f>[4]SAMPLES!$L$269</f>
        <v>14.538813113519891</v>
      </c>
      <c r="AM19" s="57">
        <f>(Data6[[#This Row],[Gluconeogensis (%)]]/100)*Data6[[#This Row],[Glucose (mmol/L)]]</f>
        <v>0.76328768845979433</v>
      </c>
      <c r="AN19" s="61">
        <f>Data6[[#This Row],[Glucose (mmol/L)]]-Data6[[#This Row],[Gluconeogenesis (mmol/L)]]</f>
        <v>4.4867123115402059</v>
      </c>
      <c r="AO19" s="61" t="s">
        <v>535</v>
      </c>
      <c r="AP19" s="33"/>
    </row>
    <row r="20" spans="1:42" s="23" customFormat="1" x14ac:dyDescent="0.25">
      <c r="A20" s="33">
        <v>131</v>
      </c>
      <c r="B20" s="33" t="s">
        <v>219</v>
      </c>
      <c r="C20" s="33" t="s">
        <v>226</v>
      </c>
      <c r="D20" s="33" t="s">
        <v>386</v>
      </c>
      <c r="E20" s="33" t="s">
        <v>407</v>
      </c>
      <c r="F20" s="33"/>
      <c r="G20" s="33" t="s">
        <v>227</v>
      </c>
      <c r="H20" s="33">
        <v>42</v>
      </c>
      <c r="I20" s="33" t="s">
        <v>146</v>
      </c>
      <c r="J20" s="33"/>
      <c r="K20" s="33">
        <v>169</v>
      </c>
      <c r="L20" s="33">
        <v>84.3</v>
      </c>
      <c r="M20" s="34">
        <f>L20/((K20/100)*(K20/100))</f>
        <v>29.515773257238894</v>
      </c>
      <c r="N20" s="33">
        <v>111</v>
      </c>
      <c r="O20" s="33">
        <v>109</v>
      </c>
      <c r="P20" s="35">
        <f>Data6[[#This Row],[Waist_Circumference]]/Data6[[#This Row],[Hip_circumference]]</f>
        <v>1.0183486238532109</v>
      </c>
      <c r="Q20" s="36">
        <f>[50]Antropometrics!$K$16</f>
        <v>41503</v>
      </c>
      <c r="R20" s="36">
        <f>[50]Antropometrics!$K$17</f>
        <v>40240</v>
      </c>
      <c r="S20" s="36">
        <f>Q20+R20</f>
        <v>81743</v>
      </c>
      <c r="T20" s="35">
        <f>(Data6[[#This Row],[Total_fat_g]]/Data6[[#This Row],[Total_mass_g]])*100</f>
        <v>50.772543214709522</v>
      </c>
      <c r="U20" s="35">
        <f>(Data6[[#This Row],[Lean_mass_g]]/Data6[[#This Row],[Total_mass_g]])*100</f>
        <v>49.227456785290485</v>
      </c>
      <c r="V20" s="35">
        <v>1201</v>
      </c>
      <c r="W20" s="35">
        <v>2.92</v>
      </c>
      <c r="X20" s="35">
        <f>[51]Glucose!$K$24</f>
        <v>5.62</v>
      </c>
      <c r="Y20" s="35">
        <f>[51]Insulin!$K$24</f>
        <v>7.3994999999999997</v>
      </c>
      <c r="Z20" s="21">
        <f>(Data6[[#This Row],[Glucose (mmol/L)]]*Data6[[#This Row],[Insulin (umol/L)]])/22.5</f>
        <v>1.8482306666666666</v>
      </c>
      <c r="AA20" s="35">
        <f>[51]NEFA!$K$24</f>
        <v>350.3</v>
      </c>
      <c r="AB20" s="35">
        <f>[51]TAG!$K$24</f>
        <v>1162.6000000000001</v>
      </c>
      <c r="AC20" s="35">
        <f>'[51]3OHB'!$K$24</f>
        <v>32.200000000000003</v>
      </c>
      <c r="AD20" s="35">
        <f>'[51]Chol, HDL'!$K$14</f>
        <v>4.83</v>
      </c>
      <c r="AE20" s="35">
        <f>'[51]Chol, HDL'!$K$31</f>
        <v>1.47</v>
      </c>
      <c r="AF20" s="35">
        <f>Data6[[#This Row],[total_chol (umol/L)]]-Data6[[#This Row],[HDL_chol (umol/L)]]</f>
        <v>3.3600000000000003</v>
      </c>
      <c r="AG20" s="35">
        <f>Data6[[#This Row],[Non_HDL (umol/L)]]-(Data6[[#This Row],[TAG (umol/L)]]/2200)</f>
        <v>2.8315454545454548</v>
      </c>
      <c r="AH20" s="35">
        <v>424.59578249999998</v>
      </c>
      <c r="AI20" s="52">
        <f>[51]DNL!$K$15</f>
        <v>4.4170328814567457E-3</v>
      </c>
      <c r="AJ20" s="35">
        <f>[51]DNL!$K$61</f>
        <v>16.579737173006624</v>
      </c>
      <c r="AK20" s="23">
        <f>(Data6[[#This Row],[DNL (%)]]/100)*Data6[[#This Row],[VLDL (umol/L)]]</f>
        <v>70.396864786170852</v>
      </c>
      <c r="AL20" s="35">
        <f>[4]SAMPLES!$L$154</f>
        <v>19.270223840475886</v>
      </c>
      <c r="AM20" s="58">
        <f>(Data6[[#This Row],[Gluconeogensis (%)]]/100)*Data6[[#This Row],[Glucose (mmol/L)]]</f>
        <v>1.0829865798347449</v>
      </c>
      <c r="AN20" s="61">
        <f>Data6[[#This Row],[Glucose (mmol/L)]]-Data6[[#This Row],[Gluconeogenesis (mmol/L)]]</f>
        <v>4.5370134201652554</v>
      </c>
      <c r="AO20" s="61" t="s">
        <v>535</v>
      </c>
      <c r="AP20" s="33"/>
    </row>
    <row r="21" spans="1:42" s="23" customFormat="1" x14ac:dyDescent="0.25">
      <c r="A21" s="23">
        <v>16</v>
      </c>
      <c r="B21" s="23" t="s">
        <v>47</v>
      </c>
      <c r="C21" s="23" t="s">
        <v>32</v>
      </c>
      <c r="F21" s="23">
        <v>4160</v>
      </c>
      <c r="G21" s="23" t="s">
        <v>228</v>
      </c>
      <c r="H21" s="26">
        <v>51.1</v>
      </c>
      <c r="I21" s="23" t="s">
        <v>229</v>
      </c>
      <c r="K21" s="23">
        <v>176</v>
      </c>
      <c r="L21" s="23">
        <v>65.8</v>
      </c>
      <c r="M21" s="24">
        <f>L21/((K21/100)*(K21/100))</f>
        <v>21.242252066115704</v>
      </c>
      <c r="N21" s="23">
        <v>82</v>
      </c>
      <c r="O21" s="23">
        <v>90</v>
      </c>
      <c r="P21" s="25">
        <f>Data6[[#This Row],[Waist_Circumference]]/Data6[[#This Row],[Hip_circumference]]</f>
        <v>0.91111111111111109</v>
      </c>
      <c r="Q21" s="26">
        <f>'[1]Anthro data'!$Q$27</f>
        <v>12859</v>
      </c>
      <c r="R21" s="26">
        <f>'[1]Anthro data'!$Q$28</f>
        <v>48841</v>
      </c>
      <c r="S21" s="26">
        <f>Q21+R21</f>
        <v>61700</v>
      </c>
      <c r="T21" s="25">
        <f>(Data6[[#This Row],[Total_fat_g]]/Data6[[#This Row],[Total_mass_g]])*100</f>
        <v>20.841166936790923</v>
      </c>
      <c r="U21" s="25">
        <f>(Data6[[#This Row],[Lean_mass_g]]/Data6[[#This Row],[Total_mass_g]])*100</f>
        <v>79.158833063209073</v>
      </c>
      <c r="V21" s="25">
        <v>338</v>
      </c>
      <c r="W21" s="25">
        <v>0.70799630199999997</v>
      </c>
      <c r="X21" s="25">
        <f>[1]Glucose!$Q$3</f>
        <v>4.7549999999999999</v>
      </c>
      <c r="Y21" s="25">
        <f>'[1]Insulin+HOMA'!$Q$3</f>
        <v>7.548</v>
      </c>
      <c r="Z21" s="21">
        <f>(Data6[[#This Row],[Glucose (mmol/L)]]*Data6[[#This Row],[Insulin (umol/L)]])/22.5</f>
        <v>1.5951440000000001</v>
      </c>
      <c r="AA21" s="25">
        <f>[1]NEFA!$Q$3</f>
        <v>313.10000000000002</v>
      </c>
      <c r="AB21" s="25">
        <f>[1]TAG!$Q$3</f>
        <v>807.7</v>
      </c>
      <c r="AC21" s="25">
        <f>'[1]3-OHB'!$Q$3</f>
        <v>43</v>
      </c>
      <c r="AD21" s="25">
        <f>'[19]Basal ApoB,Chol,HDL,ALT'!$F$2</f>
        <v>4.91</v>
      </c>
      <c r="AE21" s="25">
        <f>'[19]Basal ApoB,Chol,HDL,ALT'!$J$2</f>
        <v>1.33</v>
      </c>
      <c r="AF21" s="25">
        <f>Data6[[#This Row],[total_chol (umol/L)]]-Data6[[#This Row],[HDL_chol (umol/L)]]</f>
        <v>3.58</v>
      </c>
      <c r="AG21" s="25">
        <f>Data6[[#This Row],[Non_HDL (umol/L)]]-(Data6[[#This Row],[TAG (umol/L)]]/2200)</f>
        <v>3.2128636363636365</v>
      </c>
      <c r="AH21" s="25">
        <v>758.52562499999999</v>
      </c>
      <c r="AI21" s="49">
        <f>[3]MS16!$B$3</f>
        <v>2.8542974440535305E-3</v>
      </c>
      <c r="AJ21" s="25">
        <f>[1]DNL_160!$Q$5</f>
        <v>3.8629911534939811</v>
      </c>
      <c r="AK21" s="23">
        <f>(Data6[[#This Row],[DNL (%)]]/100)*Data6[[#This Row],[VLDL (umol/L)]]</f>
        <v>29.301777790734928</v>
      </c>
      <c r="AL21" s="63">
        <f>[4]SAMPLES!$L$18</f>
        <v>25.945808385439438</v>
      </c>
      <c r="AM21" s="55">
        <f>(Data6[[#This Row],[Gluconeogensis (%)]]/100)*Data6[[#This Row],[Glucose (mmol/L)]]</f>
        <v>1.2337231887276454</v>
      </c>
      <c r="AN21" s="61">
        <f>Data6[[#This Row],[Glucose (mmol/L)]]-Data6[[#This Row],[Gluconeogenesis (mmol/L)]]</f>
        <v>3.5212768112723545</v>
      </c>
      <c r="AO21" s="61" t="s">
        <v>535</v>
      </c>
    </row>
    <row r="22" spans="1:42" s="23" customFormat="1" x14ac:dyDescent="0.25">
      <c r="A22" s="7">
        <v>118</v>
      </c>
      <c r="B22" s="7" t="s">
        <v>203</v>
      </c>
      <c r="C22" s="7" t="s">
        <v>204</v>
      </c>
      <c r="D22" s="7"/>
      <c r="E22" s="7"/>
      <c r="F22" s="7"/>
      <c r="G22" s="7" t="s">
        <v>227</v>
      </c>
      <c r="H22" s="7">
        <v>55</v>
      </c>
      <c r="I22" s="7" t="s">
        <v>146</v>
      </c>
      <c r="J22" s="7"/>
      <c r="K22" s="7">
        <v>158.5</v>
      </c>
      <c r="L22" s="7">
        <v>56.6</v>
      </c>
      <c r="M22" s="8">
        <f>L22/((K22/100)*(K22/100))</f>
        <v>22.529829135527272</v>
      </c>
      <c r="N22" s="7">
        <v>71</v>
      </c>
      <c r="O22" s="7">
        <v>89</v>
      </c>
      <c r="P22" s="9">
        <f>Data6[[#This Row],[Waist_Circumference]]/Data6[[#This Row],[Hip_circumference]]</f>
        <v>0.797752808988764</v>
      </c>
      <c r="Q22" s="10">
        <v>16250</v>
      </c>
      <c r="R22" s="10">
        <v>37470</v>
      </c>
      <c r="S22" s="10">
        <f>Q22+R22</f>
        <v>53720</v>
      </c>
      <c r="T22" s="9">
        <f>(Data6[[#This Row],[Total_fat_g]]/Data6[[#This Row],[Total_mass_g]])*100</f>
        <v>30.249441548771404</v>
      </c>
      <c r="U22" s="9">
        <f>(Data6[[#This Row],[Lean_mass_g]]/Data6[[#This Row],[Total_mass_g]])*100</f>
        <v>69.750558451228599</v>
      </c>
      <c r="V22" s="9"/>
      <c r="W22" s="9">
        <v>0.49</v>
      </c>
      <c r="X22" s="9">
        <v>5.03</v>
      </c>
      <c r="Y22" s="9">
        <v>7.57</v>
      </c>
      <c r="Z22" s="21">
        <f>(Data6[[#This Row],[Glucose (mmol/L)]]*Data6[[#This Row],[Insulin (umol/L)]])/22.5</f>
        <v>1.6923155555555556</v>
      </c>
      <c r="AA22" s="9">
        <v>589.70000000000005</v>
      </c>
      <c r="AB22" s="9">
        <v>408.7</v>
      </c>
      <c r="AC22" s="9">
        <v>46.75</v>
      </c>
      <c r="AD22" s="9">
        <v>4.5999999999999996</v>
      </c>
      <c r="AE22" s="9">
        <v>1.96</v>
      </c>
      <c r="AF22" s="9">
        <f>Data6[[#This Row],[total_chol (umol/L)]]-Data6[[#This Row],[HDL_chol (umol/L)]]</f>
        <v>2.6399999999999997</v>
      </c>
      <c r="AG22" s="9">
        <f>Data6[[#This Row],[Non_HDL (umol/L)]]-(Data6[[#This Row],[TAG (umol/L)]]/2200)</f>
        <v>2.4542272727272723</v>
      </c>
      <c r="AH22" s="9">
        <v>112.65</v>
      </c>
      <c r="AI22" s="51">
        <v>3.0220746446544518E-3</v>
      </c>
      <c r="AJ22" s="9">
        <v>5.2821928064995651</v>
      </c>
      <c r="AK22" s="23">
        <f>(Data6[[#This Row],[DNL (%)]]/100)*Data6[[#This Row],[VLDL (umol/L)]]</f>
        <v>5.9503901965217603</v>
      </c>
      <c r="AL22" s="9">
        <f>[4]SAMPLES!$L$266</f>
        <v>27.494890881075801</v>
      </c>
      <c r="AM22" s="57">
        <f>(Data6[[#This Row],[Gluconeogensis (%)]]/100)*Data6[[#This Row],[Glucose (mmol/L)]]</f>
        <v>1.3829930113181128</v>
      </c>
      <c r="AN22" s="61">
        <f>Data6[[#This Row],[Glucose (mmol/L)]]-Data6[[#This Row],[Gluconeogenesis (mmol/L)]]</f>
        <v>3.6470069886818877</v>
      </c>
      <c r="AO22" s="61" t="s">
        <v>535</v>
      </c>
      <c r="AP22" s="7"/>
    </row>
    <row r="23" spans="1:42" s="23" customFormat="1" x14ac:dyDescent="0.25">
      <c r="A23" s="7">
        <v>116</v>
      </c>
      <c r="B23" s="7" t="s">
        <v>199</v>
      </c>
      <c r="C23" s="7" t="s">
        <v>200</v>
      </c>
      <c r="D23" s="7"/>
      <c r="E23" s="7"/>
      <c r="F23" s="7"/>
      <c r="G23" s="7" t="s">
        <v>227</v>
      </c>
      <c r="H23" s="7">
        <v>45</v>
      </c>
      <c r="I23" s="7" t="s">
        <v>146</v>
      </c>
      <c r="J23" s="7"/>
      <c r="K23" s="7">
        <v>170</v>
      </c>
      <c r="L23" s="7">
        <v>86.3</v>
      </c>
      <c r="M23" s="8">
        <f>L23/((K23/100)*(K23/100))</f>
        <v>29.861591695501733</v>
      </c>
      <c r="N23" s="7">
        <v>95</v>
      </c>
      <c r="O23" s="7">
        <v>108</v>
      </c>
      <c r="P23" s="9">
        <f>Data6[[#This Row],[Waist_Circumference]]/Data6[[#This Row],[Hip_circumference]]</f>
        <v>0.87962962962962965</v>
      </c>
      <c r="Q23" s="10">
        <v>32070</v>
      </c>
      <c r="R23" s="10">
        <v>49060</v>
      </c>
      <c r="S23" s="10">
        <f>Q23+R23</f>
        <v>81130</v>
      </c>
      <c r="T23" s="9">
        <f>(Data6[[#This Row],[Total_fat_g]]/Data6[[#This Row],[Total_mass_g]])*100</f>
        <v>39.529150745716748</v>
      </c>
      <c r="U23" s="9">
        <f>(Data6[[#This Row],[Lean_mass_g]]/Data6[[#This Row],[Total_mass_g]])*100</f>
        <v>60.470849254283252</v>
      </c>
      <c r="V23" s="9">
        <v>597</v>
      </c>
      <c r="W23" s="9">
        <v>0.92</v>
      </c>
      <c r="X23" s="9">
        <v>4.95</v>
      </c>
      <c r="Y23" s="9">
        <v>7.7</v>
      </c>
      <c r="Z23" s="21">
        <f>(Data6[[#This Row],[Glucose (mmol/L)]]*Data6[[#This Row],[Insulin (umol/L)]])/22.5</f>
        <v>1.6940000000000002</v>
      </c>
      <c r="AA23" s="9">
        <v>670.35</v>
      </c>
      <c r="AB23" s="9">
        <v>938.3</v>
      </c>
      <c r="AC23" s="9">
        <v>59.3</v>
      </c>
      <c r="AD23" s="9">
        <v>6.1</v>
      </c>
      <c r="AE23" s="9">
        <v>1.39</v>
      </c>
      <c r="AF23" s="9">
        <f>Data6[[#This Row],[total_chol (umol/L)]]-Data6[[#This Row],[HDL_chol (umol/L)]]</f>
        <v>4.71</v>
      </c>
      <c r="AG23" s="9">
        <f>Data6[[#This Row],[Non_HDL (umol/L)]]-(Data6[[#This Row],[TAG (umol/L)]]/2200)</f>
        <v>4.2835000000000001</v>
      </c>
      <c r="AH23" s="9">
        <v>232.13</v>
      </c>
      <c r="AI23" s="51">
        <v>3.5155979347297785E-3</v>
      </c>
      <c r="AJ23" s="9">
        <v>2.0729074609232665</v>
      </c>
      <c r="AK23" s="23">
        <f>(Data6[[#This Row],[DNL (%)]]/100)*Data6[[#This Row],[VLDL (umol/L)]]</f>
        <v>4.8118400890411781</v>
      </c>
      <c r="AL23" s="9">
        <f>[4]SAMPLES!$L$264</f>
        <v>38.703037900249235</v>
      </c>
      <c r="AM23" s="57">
        <f>(Data6[[#This Row],[Gluconeogensis (%)]]/100)*Data6[[#This Row],[Glucose (mmol/L)]]</f>
        <v>1.9158003760623372</v>
      </c>
      <c r="AN23" s="61">
        <f>Data6[[#This Row],[Glucose (mmol/L)]]-Data6[[#This Row],[Gluconeogenesis (mmol/L)]]</f>
        <v>3.034199623937663</v>
      </c>
      <c r="AO23" s="61" t="s">
        <v>535</v>
      </c>
      <c r="AP23" s="7"/>
    </row>
    <row r="24" spans="1:42" s="23" customFormat="1" x14ac:dyDescent="0.25">
      <c r="A24" s="7">
        <v>101</v>
      </c>
      <c r="B24" s="7" t="s">
        <v>174</v>
      </c>
      <c r="C24" s="7" t="s">
        <v>175</v>
      </c>
      <c r="D24" s="7"/>
      <c r="E24" s="7"/>
      <c r="F24" s="7"/>
      <c r="G24" s="7" t="s">
        <v>227</v>
      </c>
      <c r="H24" s="7">
        <v>43</v>
      </c>
      <c r="I24" s="7" t="s">
        <v>146</v>
      </c>
      <c r="J24" s="7"/>
      <c r="K24" s="7">
        <v>164.5</v>
      </c>
      <c r="L24" s="7">
        <v>69.400000000000006</v>
      </c>
      <c r="M24" s="8">
        <f>L24/((K24/100)*(K24/100))</f>
        <v>25.646474071747306</v>
      </c>
      <c r="N24" s="7">
        <v>83</v>
      </c>
      <c r="O24" s="7">
        <v>97</v>
      </c>
      <c r="P24" s="9">
        <f>Data6[[#This Row],[Waist_Circumference]]/Data6[[#This Row],[Hip_circumference]]</f>
        <v>0.85567010309278346</v>
      </c>
      <c r="Q24" s="10">
        <v>21740</v>
      </c>
      <c r="R24" s="10">
        <v>43950</v>
      </c>
      <c r="S24" s="10">
        <f>Q24+R24</f>
        <v>65690</v>
      </c>
      <c r="T24" s="9">
        <f>(Data6[[#This Row],[Total_fat_g]]/Data6[[#This Row],[Total_mass_g]])*100</f>
        <v>33.094839397168521</v>
      </c>
      <c r="U24" s="9">
        <f>(Data6[[#This Row],[Lean_mass_g]]/Data6[[#This Row],[Total_mass_g]])*100</f>
        <v>66.905160602831486</v>
      </c>
      <c r="V24" s="9">
        <v>253</v>
      </c>
      <c r="W24" s="9">
        <v>0.73</v>
      </c>
      <c r="X24" s="9">
        <v>4.42</v>
      </c>
      <c r="Y24" s="9">
        <v>7.71</v>
      </c>
      <c r="Z24" s="21">
        <f>(Data6[[#This Row],[Glucose (mmol/L)]]*Data6[[#This Row],[Insulin (umol/L)]])/22.5</f>
        <v>1.5145866666666667</v>
      </c>
      <c r="AA24" s="9">
        <v>463.71</v>
      </c>
      <c r="AB24" s="9">
        <v>571.6</v>
      </c>
      <c r="AC24" s="9">
        <v>65.099999999999994</v>
      </c>
      <c r="AD24" s="9">
        <v>5.7</v>
      </c>
      <c r="AE24" s="9">
        <v>1.71</v>
      </c>
      <c r="AF24" s="9">
        <f>Data6[[#This Row],[total_chol (umol/L)]]-Data6[[#This Row],[HDL_chol (umol/L)]]</f>
        <v>3.99</v>
      </c>
      <c r="AG24" s="9">
        <f>Data6[[#This Row],[Non_HDL (umol/L)]]-(Data6[[#This Row],[TAG (umol/L)]]/2200)</f>
        <v>3.7301818181818183</v>
      </c>
      <c r="AH24" s="9">
        <v>126.15</v>
      </c>
      <c r="AI24" s="51">
        <v>3.5629553522395258E-3</v>
      </c>
      <c r="AJ24" s="9">
        <v>3.652641913037471</v>
      </c>
      <c r="AK24" s="23">
        <f>(Data6[[#This Row],[DNL (%)]]/100)*Data6[[#This Row],[VLDL (umol/L)]]</f>
        <v>4.6078077732967699</v>
      </c>
      <c r="AL24" s="9">
        <f>[4]SAMPLES!$L$250</f>
        <v>18.238708517028204</v>
      </c>
      <c r="AM24" s="57">
        <f>(Data6[[#This Row],[Gluconeogensis (%)]]/100)*Data6[[#This Row],[Glucose (mmol/L)]]</f>
        <v>0.80615091645264658</v>
      </c>
      <c r="AN24" s="61">
        <f>Data6[[#This Row],[Glucose (mmol/L)]]-Data6[[#This Row],[Gluconeogenesis (mmol/L)]]</f>
        <v>3.6138490835473531</v>
      </c>
      <c r="AO24" s="61" t="s">
        <v>535</v>
      </c>
      <c r="AP24" s="7"/>
    </row>
    <row r="25" spans="1:42" s="15" customFormat="1" x14ac:dyDescent="0.25">
      <c r="A25" s="23">
        <v>17</v>
      </c>
      <c r="B25" s="23" t="s">
        <v>48</v>
      </c>
      <c r="C25" s="23" t="s">
        <v>32</v>
      </c>
      <c r="D25" s="23"/>
      <c r="E25" s="23"/>
      <c r="F25" s="23">
        <v>4556</v>
      </c>
      <c r="G25" s="23" t="s">
        <v>227</v>
      </c>
      <c r="H25" s="26">
        <v>49.1</v>
      </c>
      <c r="I25" s="23" t="s">
        <v>229</v>
      </c>
      <c r="J25" s="23"/>
      <c r="K25" s="23">
        <v>170</v>
      </c>
      <c r="L25" s="23">
        <v>83.8</v>
      </c>
      <c r="M25" s="24">
        <f>L25/((K25/100)*(K25/100))</f>
        <v>28.996539792387544</v>
      </c>
      <c r="N25" s="23">
        <v>87</v>
      </c>
      <c r="O25" s="23">
        <v>110</v>
      </c>
      <c r="P25" s="25">
        <f>Data6[[#This Row],[Waist_Circumference]]/Data6[[#This Row],[Hip_circumference]]</f>
        <v>0.79090909090909089</v>
      </c>
      <c r="Q25" s="26">
        <f>'[1]Anthro data'!$R$27</f>
        <v>38421</v>
      </c>
      <c r="R25" s="26">
        <f>'[1]Anthro data'!$R$28</f>
        <v>42589</v>
      </c>
      <c r="S25" s="26">
        <f>Q25+R25</f>
        <v>81010</v>
      </c>
      <c r="T25" s="25">
        <f>(Data6[[#This Row],[Total_fat_g]]/Data6[[#This Row],[Total_mass_g]])*100</f>
        <v>47.427478089124797</v>
      </c>
      <c r="U25" s="25">
        <f>(Data6[[#This Row],[Lean_mass_g]]/Data6[[#This Row],[Total_mass_g]])*100</f>
        <v>52.572521910875203</v>
      </c>
      <c r="V25" s="25">
        <v>1030</v>
      </c>
      <c r="W25" s="25">
        <v>2.6518518520000001</v>
      </c>
      <c r="X25" s="25">
        <f>[1]Glucose!$R$3</f>
        <v>4.8529999999999998</v>
      </c>
      <c r="Y25" s="25">
        <f>'[1]Insulin+HOMA'!$R$3</f>
        <v>7.7580000000000009</v>
      </c>
      <c r="Z25" s="21">
        <f>(Data6[[#This Row],[Glucose (mmol/L)]]*Data6[[#This Row],[Insulin (umol/L)]])/22.5</f>
        <v>1.6733144</v>
      </c>
      <c r="AA25" s="25">
        <f>[1]NEFA!$R$3</f>
        <v>501.9</v>
      </c>
      <c r="AB25" s="25">
        <f>[1]TAG!$R$3</f>
        <v>951.5</v>
      </c>
      <c r="AC25" s="25">
        <f>'[1]3-OHB'!$R$3</f>
        <v>20.6</v>
      </c>
      <c r="AD25" s="25">
        <f>'[20]Basal ApoB,Chol,HDL,ALT'!$F$2</f>
        <v>5.25</v>
      </c>
      <c r="AE25" s="25">
        <f>'[20]Basal ApoB,Chol,HDL,ALT'!$J$2</f>
        <v>1.62</v>
      </c>
      <c r="AF25" s="25">
        <f>Data6[[#This Row],[total_chol (umol/L)]]-Data6[[#This Row],[HDL_chol (umol/L)]]</f>
        <v>3.63</v>
      </c>
      <c r="AG25" s="25">
        <f>Data6[[#This Row],[Non_HDL (umol/L)]]-(Data6[[#This Row],[TAG (umol/L)]]/2200)</f>
        <v>3.1974999999999998</v>
      </c>
      <c r="AH25" s="25">
        <v>1021.3691962500001</v>
      </c>
      <c r="AI25" s="49">
        <f>[3]WE17!$B$3</f>
        <v>4.0870958072882577E-3</v>
      </c>
      <c r="AJ25" s="25">
        <f>[1]DNL_160!$R$5</f>
        <v>6.4705945653106127</v>
      </c>
      <c r="AK25" s="23">
        <f>(Data6[[#This Row],[DNL (%)]]/100)*Data6[[#This Row],[VLDL (umol/L)]]</f>
        <v>66.088659704309194</v>
      </c>
      <c r="AL25" s="25">
        <f>[4]SAMPLES!$L$19</f>
        <v>49.61186457566393</v>
      </c>
      <c r="AM25" s="55">
        <f>(Data6[[#This Row],[Gluconeogensis (%)]]/100)*Data6[[#This Row],[Glucose (mmol/L)]]</f>
        <v>2.4076637878569702</v>
      </c>
      <c r="AN25" s="61">
        <f>Data6[[#This Row],[Glucose (mmol/L)]]-Data6[[#This Row],[Gluconeogenesis (mmol/L)]]</f>
        <v>2.4453362121430295</v>
      </c>
      <c r="AO25" s="61" t="s">
        <v>535</v>
      </c>
      <c r="AP25" s="23"/>
    </row>
    <row r="26" spans="1:42" s="15" customFormat="1" x14ac:dyDescent="0.25">
      <c r="A26" s="7">
        <v>94</v>
      </c>
      <c r="B26" s="7" t="s">
        <v>160</v>
      </c>
      <c r="C26" s="7" t="s">
        <v>161</v>
      </c>
      <c r="D26" s="7"/>
      <c r="E26" s="7"/>
      <c r="F26" s="7"/>
      <c r="G26" s="7" t="s">
        <v>227</v>
      </c>
      <c r="H26" s="7">
        <v>45</v>
      </c>
      <c r="I26" s="7" t="s">
        <v>229</v>
      </c>
      <c r="J26" s="7"/>
      <c r="K26" s="7">
        <v>163</v>
      </c>
      <c r="L26" s="7">
        <v>53.6</v>
      </c>
      <c r="M26" s="8">
        <f>L26/((K26/100)*(K26/100))</f>
        <v>20.17388686062705</v>
      </c>
      <c r="N26" s="7">
        <v>73</v>
      </c>
      <c r="O26" s="7">
        <v>89</v>
      </c>
      <c r="P26" s="9">
        <f>Data6[[#This Row],[Waist_Circumference]]/Data6[[#This Row],[Hip_circumference]]</f>
        <v>0.8202247191011236</v>
      </c>
      <c r="Q26" s="10">
        <v>12260</v>
      </c>
      <c r="R26" s="10">
        <v>38230</v>
      </c>
      <c r="S26" s="10">
        <f>Q26+R26</f>
        <v>50490</v>
      </c>
      <c r="T26" s="9">
        <f>(Data6[[#This Row],[Total_fat_g]]/Data6[[#This Row],[Total_mass_g]])*100</f>
        <v>24.282036046741929</v>
      </c>
      <c r="U26" s="9">
        <f>(Data6[[#This Row],[Lean_mass_g]]/Data6[[#This Row],[Total_mass_g]])*100</f>
        <v>75.717963953258078</v>
      </c>
      <c r="V26" s="9"/>
      <c r="W26" s="9">
        <v>0.79</v>
      </c>
      <c r="X26" s="9">
        <v>5.25</v>
      </c>
      <c r="Y26" s="9">
        <v>7.8</v>
      </c>
      <c r="Z26" s="21">
        <f>(Data6[[#This Row],[Glucose (mmol/L)]]*Data6[[#This Row],[Insulin (umol/L)]])/22.5</f>
        <v>1.8199999999999998</v>
      </c>
      <c r="AA26" s="9">
        <v>543.29999999999995</v>
      </c>
      <c r="AB26" s="9">
        <v>696.6</v>
      </c>
      <c r="AC26" s="9">
        <v>163.65</v>
      </c>
      <c r="AD26" s="9">
        <v>4.7</v>
      </c>
      <c r="AE26" s="9">
        <v>1.72</v>
      </c>
      <c r="AF26" s="9">
        <f>Data6[[#This Row],[total_chol (umol/L)]]-Data6[[#This Row],[HDL_chol (umol/L)]]</f>
        <v>2.9800000000000004</v>
      </c>
      <c r="AG26" s="9">
        <f>Data6[[#This Row],[Non_HDL (umol/L)]]-(Data6[[#This Row],[TAG (umol/L)]]/2200)</f>
        <v>2.6633636363636368</v>
      </c>
      <c r="AH26" s="9">
        <v>105.11</v>
      </c>
      <c r="AI26" s="51">
        <v>4.2939544957694923E-3</v>
      </c>
      <c r="AJ26" s="9">
        <v>6.1714673562815907</v>
      </c>
      <c r="AK26" s="23">
        <f>(Data6[[#This Row],[DNL (%)]]/100)*Data6[[#This Row],[VLDL (umol/L)]]</f>
        <v>6.4868293381875803</v>
      </c>
      <c r="AL26" s="9">
        <f>[4]SAMPLES!$L$243</f>
        <v>36.859689901046202</v>
      </c>
      <c r="AM26" s="57">
        <f>(Data6[[#This Row],[Gluconeogensis (%)]]/100)*Data6[[#This Row],[Glucose (mmol/L)]]</f>
        <v>1.9351337198049254</v>
      </c>
      <c r="AN26" s="61">
        <f>Data6[[#This Row],[Glucose (mmol/L)]]-Data6[[#This Row],[Gluconeogenesis (mmol/L)]]</f>
        <v>3.3148662801950746</v>
      </c>
      <c r="AO26" s="61" t="s">
        <v>535</v>
      </c>
      <c r="AP26" s="7"/>
    </row>
    <row r="27" spans="1:42" s="15" customFormat="1" x14ac:dyDescent="0.25">
      <c r="A27" s="33">
        <v>129</v>
      </c>
      <c r="B27" s="33" t="s">
        <v>217</v>
      </c>
      <c r="C27" s="33" t="s">
        <v>226</v>
      </c>
      <c r="D27" s="33" t="s">
        <v>386</v>
      </c>
      <c r="E27" s="33" t="s">
        <v>407</v>
      </c>
      <c r="F27" s="33"/>
      <c r="G27" s="33" t="s">
        <v>228</v>
      </c>
      <c r="H27" s="33">
        <v>38</v>
      </c>
      <c r="I27" s="33"/>
      <c r="J27" s="33"/>
      <c r="K27" s="33">
        <v>174</v>
      </c>
      <c r="L27" s="33">
        <v>78.7</v>
      </c>
      <c r="M27" s="34">
        <f>L27/((K27/100)*(K27/100))</f>
        <v>25.99418681463866</v>
      </c>
      <c r="N27" s="33">
        <v>86</v>
      </c>
      <c r="O27" s="33">
        <v>100</v>
      </c>
      <c r="P27" s="35">
        <f>Data6[[#This Row],[Waist_Circumference]]/Data6[[#This Row],[Hip_circumference]]</f>
        <v>0.86</v>
      </c>
      <c r="Q27" s="36">
        <f>[50]Antropometrics!$I$16</f>
        <v>13919</v>
      </c>
      <c r="R27" s="36">
        <f>[50]Antropometrics!$I$17</f>
        <v>61993</v>
      </c>
      <c r="S27" s="36">
        <f>Q27+R27</f>
        <v>75912</v>
      </c>
      <c r="T27" s="35">
        <f>(Data6[[#This Row],[Total_fat_g]]/Data6[[#This Row],[Total_mass_g]])*100</f>
        <v>18.335704499947308</v>
      </c>
      <c r="U27" s="35">
        <f>(Data6[[#This Row],[Lean_mass_g]]/Data6[[#This Row],[Total_mass_g]])*100</f>
        <v>81.664295500052702</v>
      </c>
      <c r="V27" s="35">
        <v>395</v>
      </c>
      <c r="W27" s="35">
        <v>2.0331382783775096</v>
      </c>
      <c r="X27" s="35">
        <f>[51]Glucose!$I$24</f>
        <v>5.9880000000000004</v>
      </c>
      <c r="Y27" s="35">
        <f>[51]Insulin!$I$24</f>
        <v>7.859</v>
      </c>
      <c r="Z27" s="21">
        <f>(Data6[[#This Row],[Glucose (mmol/L)]]*Data6[[#This Row],[Insulin (umol/L)]])/22.5</f>
        <v>2.0915418666666667</v>
      </c>
      <c r="AA27" s="35">
        <f>[51]NEFA!$I$24</f>
        <v>342.8</v>
      </c>
      <c r="AB27" s="35">
        <f>[51]TAG!$I$24</f>
        <v>1002.5999999999999</v>
      </c>
      <c r="AC27" s="35">
        <f>'[51]3OHB'!$I$24</f>
        <v>38.9</v>
      </c>
      <c r="AD27" s="35">
        <f>'[51]Chol, HDL'!$I$14</f>
        <v>4.84</v>
      </c>
      <c r="AE27" s="35">
        <f>'[51]Chol, HDL'!$I$31</f>
        <v>1.52</v>
      </c>
      <c r="AF27" s="35">
        <f>Data6[[#This Row],[total_chol (umol/L)]]-Data6[[#This Row],[HDL_chol (umol/L)]]</f>
        <v>3.32</v>
      </c>
      <c r="AG27" s="35">
        <f>Data6[[#This Row],[Non_HDL (umol/L)]]-(Data6[[#This Row],[TAG (umol/L)]]/2200)</f>
        <v>2.8642727272727271</v>
      </c>
      <c r="AH27" s="35">
        <v>1480.6045575000003</v>
      </c>
      <c r="AI27" s="52">
        <f>[51]DNL!$I$15</f>
        <v>2.6568142895340902E-3</v>
      </c>
      <c r="AJ27" s="35">
        <f>[51]DNL!$I$61</f>
        <v>0.61249864453176983</v>
      </c>
      <c r="AK27" s="23">
        <f>(Data6[[#This Row],[DNL (%)]]/100)*Data6[[#This Row],[VLDL (umol/L)]]</f>
        <v>9.0686828455631101</v>
      </c>
      <c r="AL27" s="35">
        <f>[4]SAMPLES!$L$152</f>
        <v>45.333481631365849</v>
      </c>
      <c r="AM27" s="58">
        <f>(Data6[[#This Row],[Gluconeogensis (%)]]/100)*Data6[[#This Row],[Glucose (mmol/L)]]</f>
        <v>2.7145688800861874</v>
      </c>
      <c r="AN27" s="61">
        <f>Data6[[#This Row],[Glucose (mmol/L)]]-Data6[[#This Row],[Gluconeogenesis (mmol/L)]]</f>
        <v>3.2734311199138131</v>
      </c>
      <c r="AO27" s="61" t="s">
        <v>535</v>
      </c>
      <c r="AP27" s="33"/>
    </row>
    <row r="28" spans="1:42" s="15" customFormat="1" x14ac:dyDescent="0.25">
      <c r="A28" s="7">
        <v>100</v>
      </c>
      <c r="B28" s="7" t="s">
        <v>172</v>
      </c>
      <c r="C28" s="7" t="s">
        <v>173</v>
      </c>
      <c r="D28" s="7"/>
      <c r="E28" s="7"/>
      <c r="F28" s="7"/>
      <c r="G28" s="7" t="s">
        <v>227</v>
      </c>
      <c r="H28" s="7">
        <v>60</v>
      </c>
      <c r="I28" s="7"/>
      <c r="J28" s="7"/>
      <c r="K28" s="7">
        <v>163</v>
      </c>
      <c r="L28" s="7">
        <v>65.5</v>
      </c>
      <c r="M28" s="8">
        <f>L28/((K28/100)*(K28/100))</f>
        <v>24.652790846475217</v>
      </c>
      <c r="N28" s="7">
        <v>86</v>
      </c>
      <c r="O28" s="7">
        <v>90</v>
      </c>
      <c r="P28" s="9">
        <f>Data6[[#This Row],[Waist_Circumference]]/Data6[[#This Row],[Hip_circumference]]</f>
        <v>0.9555555555555556</v>
      </c>
      <c r="Q28" s="10">
        <v>20920</v>
      </c>
      <c r="R28" s="10">
        <v>41940</v>
      </c>
      <c r="S28" s="10">
        <f>Q28+R28</f>
        <v>62860</v>
      </c>
      <c r="T28" s="9">
        <f>(Data6[[#This Row],[Total_fat_g]]/Data6[[#This Row],[Total_mass_g]])*100</f>
        <v>33.280305440661792</v>
      </c>
      <c r="U28" s="9">
        <f>(Data6[[#This Row],[Lean_mass_g]]/Data6[[#This Row],[Total_mass_g]])*100</f>
        <v>66.719694559338222</v>
      </c>
      <c r="V28" s="9"/>
      <c r="W28" s="9">
        <v>1.08</v>
      </c>
      <c r="X28" s="9">
        <v>5.04</v>
      </c>
      <c r="Y28" s="9">
        <v>7.91</v>
      </c>
      <c r="Z28" s="21">
        <f>(Data6[[#This Row],[Glucose (mmol/L)]]*Data6[[#This Row],[Insulin (umol/L)]])/22.5</f>
        <v>1.7718399999999999</v>
      </c>
      <c r="AA28" s="9">
        <v>531.86</v>
      </c>
      <c r="AB28" s="9">
        <v>1026.5999999999999</v>
      </c>
      <c r="AC28" s="9">
        <v>49.3</v>
      </c>
      <c r="AD28" s="9">
        <v>6.6</v>
      </c>
      <c r="AE28" s="9">
        <v>1.86</v>
      </c>
      <c r="AF28" s="9">
        <f>Data6[[#This Row],[total_chol (umol/L)]]-Data6[[#This Row],[HDL_chol (umol/L)]]</f>
        <v>4.7399999999999993</v>
      </c>
      <c r="AG28" s="9">
        <f>Data6[[#This Row],[Non_HDL (umol/L)]]-(Data6[[#This Row],[TAG (umol/L)]]/2200)</f>
        <v>4.2733636363636354</v>
      </c>
      <c r="AH28" s="9">
        <v>362.53</v>
      </c>
      <c r="AI28" s="51">
        <v>3.3471771133207571E-3</v>
      </c>
      <c r="AJ28" s="9">
        <v>21.69994309474523</v>
      </c>
      <c r="AK28" s="23">
        <f>(Data6[[#This Row],[DNL (%)]]/100)*Data6[[#This Row],[VLDL (umol/L)]]</f>
        <v>78.668803701379872</v>
      </c>
      <c r="AL28" s="9">
        <f>[4]SAMPLES!$L$249</f>
        <v>26.237536712150959</v>
      </c>
      <c r="AM28" s="57">
        <f>(Data6[[#This Row],[Gluconeogensis (%)]]/100)*Data6[[#This Row],[Glucose (mmol/L)]]</f>
        <v>1.3223718502924084</v>
      </c>
      <c r="AN28" s="61">
        <f>Data6[[#This Row],[Glucose (mmol/L)]]-Data6[[#This Row],[Gluconeogenesis (mmol/L)]]</f>
        <v>3.7176281497075916</v>
      </c>
      <c r="AO28" s="61" t="s">
        <v>535</v>
      </c>
      <c r="AP28" s="7"/>
    </row>
    <row r="29" spans="1:42" s="15" customFormat="1" x14ac:dyDescent="0.25">
      <c r="A29" s="15">
        <v>37</v>
      </c>
      <c r="B29" s="15" t="s">
        <v>81</v>
      </c>
      <c r="C29" s="15" t="s">
        <v>82</v>
      </c>
      <c r="D29" s="15" t="s">
        <v>386</v>
      </c>
      <c r="F29" s="15">
        <v>1283</v>
      </c>
      <c r="G29" s="15" t="s">
        <v>228</v>
      </c>
      <c r="H29" s="15">
        <v>45</v>
      </c>
      <c r="K29" s="15">
        <v>167</v>
      </c>
      <c r="L29" s="15">
        <v>68.7</v>
      </c>
      <c r="M29" s="16">
        <f>L29/((K29/100)*(K29/100))</f>
        <v>24.633367994549825</v>
      </c>
      <c r="N29" s="15">
        <v>88</v>
      </c>
      <c r="O29" s="15">
        <v>94</v>
      </c>
      <c r="P29" s="17">
        <f>Data6[[#This Row],[Waist_Circumference]]/Data6[[#This Row],[Hip_circumference]]</f>
        <v>0.93617021276595747</v>
      </c>
      <c r="Q29" s="18">
        <f>'[1]Anthro data'!$AL$27</f>
        <v>22268.473157756001</v>
      </c>
      <c r="R29" s="18">
        <f>'[1]Anthro data'!$AL$28</f>
        <v>43750.139097555999</v>
      </c>
      <c r="S29" s="18">
        <f>Q29+R29</f>
        <v>66018.612255312008</v>
      </c>
      <c r="T29" s="17">
        <f>(Data6[[#This Row],[Total_fat_g]]/Data6[[#This Row],[Total_mass_g]])*100</f>
        <v>33.730598685773238</v>
      </c>
      <c r="U29" s="17">
        <f>(Data6[[#This Row],[Lean_mass_g]]/Data6[[#This Row],[Total_mass_g]])*100</f>
        <v>66.269401314226755</v>
      </c>
      <c r="V29" s="17">
        <v>1427.699296</v>
      </c>
      <c r="W29" s="17">
        <v>3.3</v>
      </c>
      <c r="X29" s="17">
        <f>[1]Glucose!$AL$3</f>
        <v>5.3689999999999998</v>
      </c>
      <c r="Y29" s="17">
        <f>'[1]Insulin+HOMA'!$AL$3</f>
        <v>7.9964999999999993</v>
      </c>
      <c r="Z29" s="21">
        <f>(Data6[[#This Row],[Glucose (mmol/L)]]*Data6[[#This Row],[Insulin (umol/L)]])/22.5</f>
        <v>1.9081425999999997</v>
      </c>
      <c r="AA29" s="17">
        <f>[1]NEFA!$AL$3</f>
        <v>324.8</v>
      </c>
      <c r="AB29" s="17">
        <f>[1]TAG!$AL$3</f>
        <v>1881</v>
      </c>
      <c r="AC29" s="17">
        <f>'[1]3-OHB'!$AL$3</f>
        <v>55.5</v>
      </c>
      <c r="AD29" s="17">
        <f>'[41]Apo B, HDL, Cholesterol, ALT'!$F$6</f>
        <v>6.96</v>
      </c>
      <c r="AE29" s="17">
        <f>'[41]Apo B, HDL, Cholesterol, ALT'!$M$6</f>
        <v>1.03</v>
      </c>
      <c r="AF29" s="17">
        <f>Data6[[#This Row],[total_chol (umol/L)]]-Data6[[#This Row],[HDL_chol (umol/L)]]</f>
        <v>5.93</v>
      </c>
      <c r="AG29" s="17">
        <f>Data6[[#This Row],[Non_HDL (umol/L)]]-(Data6[[#This Row],[TAG (umol/L)]]/2200)</f>
        <v>5.0749999999999993</v>
      </c>
      <c r="AH29" s="17">
        <v>1130.4689250000001</v>
      </c>
      <c r="AI29" s="50">
        <f>'[28]plasma H2O'!$P$4</f>
        <v>3.2160094714065563E-3</v>
      </c>
      <c r="AJ29" s="17">
        <f>[1]DNL_160!$AL$5</f>
        <v>8.8789607287229337</v>
      </c>
      <c r="AK29" s="23">
        <f>(Data6[[#This Row],[DNL (%)]]/100)*Data6[[#This Row],[VLDL (umol/L)]]</f>
        <v>100.37389190116633</v>
      </c>
      <c r="AL29" s="17">
        <f>[4]SAMPLES!$L$56</f>
        <v>52.364683755724705</v>
      </c>
      <c r="AM29" s="56">
        <f>(Data6[[#This Row],[Gluconeogensis (%)]]/100)*Data6[[#This Row],[Glucose (mmol/L)]]</f>
        <v>2.8114598708448595</v>
      </c>
      <c r="AN29" s="61">
        <f>Data6[[#This Row],[Glucose (mmol/L)]]-Data6[[#This Row],[Gluconeogenesis (mmol/L)]]</f>
        <v>2.5575401291551403</v>
      </c>
      <c r="AO29" s="61" t="s">
        <v>535</v>
      </c>
    </row>
    <row r="30" spans="1:42" s="15" customFormat="1" x14ac:dyDescent="0.25">
      <c r="A30" s="23">
        <v>20</v>
      </c>
      <c r="B30" s="23" t="s">
        <v>51</v>
      </c>
      <c r="C30" s="23" t="s">
        <v>32</v>
      </c>
      <c r="D30" s="23"/>
      <c r="E30" s="23"/>
      <c r="F30" s="23"/>
      <c r="G30" s="23" t="s">
        <v>228</v>
      </c>
      <c r="H30" s="26">
        <v>52.7</v>
      </c>
      <c r="I30" s="23" t="s">
        <v>230</v>
      </c>
      <c r="J30" s="23"/>
      <c r="K30" s="23">
        <v>185</v>
      </c>
      <c r="L30" s="23">
        <v>87.4</v>
      </c>
      <c r="M30" s="24">
        <f>L30/((K30/100)*(K30/100))</f>
        <v>25.53688823959094</v>
      </c>
      <c r="N30" s="23">
        <v>94</v>
      </c>
      <c r="O30" s="23">
        <v>103</v>
      </c>
      <c r="P30" s="25">
        <f>Data6[[#This Row],[Waist_Circumference]]/Data6[[#This Row],[Hip_circumference]]</f>
        <v>0.91262135922330101</v>
      </c>
      <c r="Q30" s="26">
        <f>'[1]Anthro data'!$U$27</f>
        <v>24953</v>
      </c>
      <c r="R30" s="26">
        <f>'[1]Anthro data'!$U$28</f>
        <v>58062</v>
      </c>
      <c r="S30" s="26">
        <f>Q30+R30</f>
        <v>83015</v>
      </c>
      <c r="T30" s="25">
        <f>(Data6[[#This Row],[Total_fat_g]]/Data6[[#This Row],[Total_mass_g]])*100</f>
        <v>30.058423176534362</v>
      </c>
      <c r="U30" s="25">
        <f>(Data6[[#This Row],[Lean_mass_g]]/Data6[[#This Row],[Total_mass_g]])*100</f>
        <v>69.941576823465638</v>
      </c>
      <c r="V30" s="25">
        <v>1082</v>
      </c>
      <c r="W30" s="25">
        <v>24.3708913</v>
      </c>
      <c r="X30" s="25">
        <f>[1]Glucose!$U$3</f>
        <v>5.3559999999999999</v>
      </c>
      <c r="Y30" s="25">
        <f>'[1]Insulin+HOMA'!$U$3</f>
        <v>8.0175000000000001</v>
      </c>
      <c r="Z30" s="21">
        <f>(Data6[[#This Row],[Glucose (mmol/L)]]*Data6[[#This Row],[Insulin (umol/L)]])/22.5</f>
        <v>1.9085213333333333</v>
      </c>
      <c r="AA30" s="25">
        <f>[1]NEFA!$U$3</f>
        <v>427.4</v>
      </c>
      <c r="AB30" s="25">
        <f>[1]TAG!$U$3</f>
        <v>3649</v>
      </c>
      <c r="AC30" s="25">
        <f>'[1]3-OHB'!$U$3</f>
        <v>36</v>
      </c>
      <c r="AD30" s="25">
        <f>'[23]Basal ApoB,Chol,HDL,ALT'!$F$2</f>
        <v>5.58</v>
      </c>
      <c r="AE30" s="25">
        <f>'[23]Basal ApoB,Chol,HDL,ALT'!$J$2</f>
        <v>0.91</v>
      </c>
      <c r="AF30" s="25">
        <f>Data6[[#This Row],[total_chol (umol/L)]]-Data6[[#This Row],[HDL_chol (umol/L)]]</f>
        <v>4.67</v>
      </c>
      <c r="AG30" s="25">
        <f>Data6[[#This Row],[Non_HDL (umol/L)]]-(Data6[[#This Row],[TAG (umol/L)]]/2200)</f>
        <v>3.0113636363636362</v>
      </c>
      <c r="AH30" s="25">
        <v>2614.34</v>
      </c>
      <c r="AI30" s="49">
        <f>[3]CS20!$B$3</f>
        <v>3.0347358969704617E-3</v>
      </c>
      <c r="AJ30" s="25">
        <f>[1]DNL_160!$U$5</f>
        <v>15.51181939937895</v>
      </c>
      <c r="AK30" s="23">
        <f>(Data6[[#This Row],[DNL (%)]]/100)*Data6[[#This Row],[VLDL (umol/L)]]</f>
        <v>405.53169928572368</v>
      </c>
      <c r="AL30" s="25">
        <f>[4]SAMPLES!$L$22</f>
        <v>34.269657711868597</v>
      </c>
      <c r="AM30" s="55">
        <f>(Data6[[#This Row],[Gluconeogensis (%)]]/100)*Data6[[#This Row],[Glucose (mmol/L)]]</f>
        <v>1.8354828670476819</v>
      </c>
      <c r="AN30" s="61">
        <f>Data6[[#This Row],[Glucose (mmol/L)]]-Data6[[#This Row],[Gluconeogenesis (mmol/L)]]</f>
        <v>3.5205171329523179</v>
      </c>
      <c r="AO30" s="61" t="s">
        <v>535</v>
      </c>
      <c r="AP30" s="23"/>
    </row>
    <row r="31" spans="1:42" s="15" customFormat="1" x14ac:dyDescent="0.25">
      <c r="A31" s="23">
        <v>14</v>
      </c>
      <c r="B31" s="23" t="s">
        <v>45</v>
      </c>
      <c r="C31" s="23" t="s">
        <v>32</v>
      </c>
      <c r="D31" s="23"/>
      <c r="E31" s="23"/>
      <c r="F31" s="23">
        <v>4079</v>
      </c>
      <c r="G31" s="23" t="s">
        <v>227</v>
      </c>
      <c r="H31" s="26">
        <v>51.1</v>
      </c>
      <c r="I31" s="23" t="s">
        <v>230</v>
      </c>
      <c r="J31" s="23"/>
      <c r="K31" s="23">
        <v>162</v>
      </c>
      <c r="L31" s="23">
        <v>68.7</v>
      </c>
      <c r="M31" s="24">
        <f>L31/((K31/100)*(K31/100))</f>
        <v>26.177411979881111</v>
      </c>
      <c r="N31" s="23">
        <v>92</v>
      </c>
      <c r="O31" s="23">
        <v>104</v>
      </c>
      <c r="P31" s="25">
        <f>Data6[[#This Row],[Waist_Circumference]]/Data6[[#This Row],[Hip_circumference]]</f>
        <v>0.88461538461538458</v>
      </c>
      <c r="Q31" s="26">
        <f>'[1]Anthro data'!$O$27</f>
        <v>25396</v>
      </c>
      <c r="R31" s="26">
        <f>'[1]Anthro data'!$O$28</f>
        <v>39248</v>
      </c>
      <c r="S31" s="26">
        <f>Q31+R31</f>
        <v>64644</v>
      </c>
      <c r="T31" s="25">
        <f>(Data6[[#This Row],[Total_fat_g]]/Data6[[#This Row],[Total_mass_g]])*100</f>
        <v>39.285935276282409</v>
      </c>
      <c r="U31" s="25">
        <f>(Data6[[#This Row],[Lean_mass_g]]/Data6[[#This Row],[Total_mass_g]])*100</f>
        <v>60.714064723717584</v>
      </c>
      <c r="V31" s="25">
        <v>221</v>
      </c>
      <c r="W31" s="25">
        <v>1.71637931</v>
      </c>
      <c r="X31" s="25">
        <f>[1]Glucose!$O$3</f>
        <v>5.0389999999999997</v>
      </c>
      <c r="Y31" s="25">
        <f>'[1]Insulin+HOMA'!$O$3</f>
        <v>8.339500000000001</v>
      </c>
      <c r="Z31" s="21">
        <f>(Data6[[#This Row],[Glucose (mmol/L)]]*Data6[[#This Row],[Insulin (umol/L)]])/22.5</f>
        <v>1.8676773555555557</v>
      </c>
      <c r="AA31" s="25">
        <f>[1]NEFA!$O$3</f>
        <v>410.9</v>
      </c>
      <c r="AB31" s="25">
        <f>[1]TAG!$O$3</f>
        <v>490.20000000000005</v>
      </c>
      <c r="AC31" s="25">
        <f>'[1]3-OHB'!$O$3</f>
        <v>52.7</v>
      </c>
      <c r="AD31" s="25">
        <f>'[17]Basal ApoB,Chol,HDL,ALT'!$F$2</f>
        <v>5.84</v>
      </c>
      <c r="AE31" s="25">
        <f>'[17]Basal ApoB,Chol,HDL,ALT'!$J$2</f>
        <v>1.95</v>
      </c>
      <c r="AF31" s="25">
        <f>Data6[[#This Row],[total_chol (umol/L)]]-Data6[[#This Row],[HDL_chol (umol/L)]]</f>
        <v>3.8899999999999997</v>
      </c>
      <c r="AG31" s="25">
        <f>Data6[[#This Row],[Non_HDL (umol/L)]]-(Data6[[#This Row],[TAG (umol/L)]]/2200)</f>
        <v>3.6671818181818177</v>
      </c>
      <c r="AH31" s="25">
        <v>150.14325375000001</v>
      </c>
      <c r="AI31" s="49">
        <f>[3]MR14!$B$3</f>
        <v>3.6510770372452264E-3</v>
      </c>
      <c r="AJ31" s="25">
        <f>[1]DNL_160!$O$5</f>
        <v>7.561408490311063</v>
      </c>
      <c r="AK31" s="23">
        <f>(Data6[[#This Row],[DNL (%)]]/100)*Data6[[#This Row],[VLDL (umol/L)]]</f>
        <v>11.352944736681783</v>
      </c>
      <c r="AL31" s="25">
        <f>[4]SAMPLES!$L$16</f>
        <v>62.097269863075574</v>
      </c>
      <c r="AM31" s="55">
        <f>(Data6[[#This Row],[Gluconeogensis (%)]]/100)*Data6[[#This Row],[Glucose (mmol/L)]]</f>
        <v>3.1290814284003781</v>
      </c>
      <c r="AN31" s="61">
        <f>Data6[[#This Row],[Glucose (mmol/L)]]-Data6[[#This Row],[Gluconeogenesis (mmol/L)]]</f>
        <v>1.9099185715996216</v>
      </c>
      <c r="AO31" s="61" t="s">
        <v>535</v>
      </c>
      <c r="AP31" s="23"/>
    </row>
    <row r="32" spans="1:42" s="15" customFormat="1" x14ac:dyDescent="0.25">
      <c r="A32" s="23">
        <v>9</v>
      </c>
      <c r="B32" s="23" t="s">
        <v>40</v>
      </c>
      <c r="C32" s="23" t="s">
        <v>32</v>
      </c>
      <c r="D32" s="23"/>
      <c r="E32" s="23"/>
      <c r="F32" s="23">
        <v>4136</v>
      </c>
      <c r="G32" s="23" t="s">
        <v>227</v>
      </c>
      <c r="H32" s="26">
        <v>31</v>
      </c>
      <c r="I32" s="23" t="s">
        <v>230</v>
      </c>
      <c r="J32" s="23"/>
      <c r="K32" s="23">
        <v>168</v>
      </c>
      <c r="L32" s="23">
        <v>72.8</v>
      </c>
      <c r="M32" s="24">
        <f>L32/((K32/100)*(K32/100))</f>
        <v>25.793650793650798</v>
      </c>
      <c r="N32" s="23">
        <v>84</v>
      </c>
      <c r="O32" s="23">
        <v>103</v>
      </c>
      <c r="P32" s="25">
        <f>Data6[[#This Row],[Waist_Circumference]]/Data6[[#This Row],[Hip_circumference]]</f>
        <v>0.81553398058252424</v>
      </c>
      <c r="Q32" s="26">
        <f>'[1]Anthro data'!$J$27</f>
        <v>24585</v>
      </c>
      <c r="R32" s="26">
        <f>'[1]Anthro data'!$J$28</f>
        <v>44890</v>
      </c>
      <c r="S32" s="26">
        <f>Q32+R32</f>
        <v>69475</v>
      </c>
      <c r="T32" s="25">
        <f>(Data6[[#This Row],[Total_fat_g]]/Data6[[#This Row],[Total_mass_g]])*100</f>
        <v>35.386829794890254</v>
      </c>
      <c r="U32" s="25">
        <f>(Data6[[#This Row],[Lean_mass_g]]/Data6[[#This Row],[Total_mass_g]])*100</f>
        <v>64.613170205109753</v>
      </c>
      <c r="V32" s="25">
        <v>415</v>
      </c>
      <c r="W32" s="25">
        <v>11.60686748</v>
      </c>
      <c r="X32" s="25">
        <f>[1]Glucose!$J$3</f>
        <v>4.976</v>
      </c>
      <c r="Y32" s="25">
        <f>'[1]Insulin+HOMA'!$J$3</f>
        <v>8.3979999999999997</v>
      </c>
      <c r="Z32" s="21">
        <f>(Data6[[#This Row],[Glucose (mmol/L)]]*Data6[[#This Row],[Insulin (umol/L)]])/22.5</f>
        <v>1.8572643555555552</v>
      </c>
      <c r="AA32" s="25">
        <f>[1]NEFA!$J$3</f>
        <v>503.8</v>
      </c>
      <c r="AB32" s="25">
        <f>[1]TAG!$J$3</f>
        <v>1097.3000000000002</v>
      </c>
      <c r="AC32" s="25">
        <f>'[1]3-OHB'!$J$3</f>
        <v>50.3</v>
      </c>
      <c r="AD32" s="25">
        <f>'[12]Basal ApoB,Chol,HDL,ALT'!$F$2</f>
        <v>6.04</v>
      </c>
      <c r="AE32" s="25">
        <f>'[12]Basal ApoB,Chol,HDL,ALT'!$J$2</f>
        <v>1.27</v>
      </c>
      <c r="AF32" s="25">
        <f>Data6[[#This Row],[total_chol (umol/L)]]-Data6[[#This Row],[HDL_chol (umol/L)]]</f>
        <v>4.7699999999999996</v>
      </c>
      <c r="AG32" s="25">
        <f>Data6[[#This Row],[Non_HDL (umol/L)]]-(Data6[[#This Row],[TAG (umol/L)]]/2200)</f>
        <v>4.2712272727272724</v>
      </c>
      <c r="AH32" s="25">
        <v>617.78136000000018</v>
      </c>
      <c r="AI32" s="49">
        <f>[3]AB9!$B$3</f>
        <v>3.1987231274064232E-3</v>
      </c>
      <c r="AJ32" s="25">
        <f>[1]DNL_160!$J$5</f>
        <v>2.2781548079505725</v>
      </c>
      <c r="AK32" s="23">
        <f>(Data6[[#This Row],[DNL (%)]]/100)*Data6[[#This Row],[VLDL (umol/L)]]</f>
        <v>14.074015755462439</v>
      </c>
      <c r="AL32" s="25">
        <f>[4]SAMPLES!$L$11</f>
        <v>9.9173476520120936</v>
      </c>
      <c r="AM32" s="55">
        <f>(Data6[[#This Row],[Gluconeogensis (%)]]/100)*Data6[[#This Row],[Glucose (mmol/L)]]</f>
        <v>0.49348721916412175</v>
      </c>
      <c r="AN32" s="61">
        <f>Data6[[#This Row],[Glucose (mmol/L)]]-Data6[[#This Row],[Gluconeogenesis (mmol/L)]]</f>
        <v>4.4825127808358785</v>
      </c>
      <c r="AO32" s="61" t="s">
        <v>535</v>
      </c>
      <c r="AP32" s="23"/>
    </row>
    <row r="33" spans="1:42" s="15" customFormat="1" x14ac:dyDescent="0.25">
      <c r="A33" s="23">
        <v>19</v>
      </c>
      <c r="B33" s="23" t="s">
        <v>50</v>
      </c>
      <c r="C33" s="23" t="s">
        <v>32</v>
      </c>
      <c r="D33" s="23"/>
      <c r="E33" s="23"/>
      <c r="F33" s="23">
        <v>4323</v>
      </c>
      <c r="G33" s="23" t="s">
        <v>227</v>
      </c>
      <c r="H33" s="26">
        <v>48.2</v>
      </c>
      <c r="I33" s="23" t="s">
        <v>146</v>
      </c>
      <c r="J33" s="23"/>
      <c r="K33" s="23">
        <v>167</v>
      </c>
      <c r="L33" s="23">
        <v>72.3</v>
      </c>
      <c r="M33" s="24">
        <f>L33/((K33/100)*(K33/100))</f>
        <v>25.924199505181253</v>
      </c>
      <c r="N33" s="23">
        <v>92</v>
      </c>
      <c r="O33" s="23">
        <v>106</v>
      </c>
      <c r="P33" s="25">
        <f>Data6[[#This Row],[Waist_Circumference]]/Data6[[#This Row],[Hip_circumference]]</f>
        <v>0.86792452830188682</v>
      </c>
      <c r="Q33" s="26">
        <f>'[1]Anthro data'!$T$27</f>
        <v>26793</v>
      </c>
      <c r="R33" s="26">
        <f>'[1]Anthro data'!$T$28</f>
        <v>41973</v>
      </c>
      <c r="S33" s="26">
        <f>Q33+R33</f>
        <v>68766</v>
      </c>
      <c r="T33" s="25">
        <f>(Data6[[#This Row],[Total_fat_g]]/Data6[[#This Row],[Total_mass_g]])*100</f>
        <v>38.962568711281733</v>
      </c>
      <c r="U33" s="25">
        <f>(Data6[[#This Row],[Lean_mass_g]]/Data6[[#This Row],[Total_mass_g]])*100</f>
        <v>61.03743128871826</v>
      </c>
      <c r="V33" s="25">
        <v>409</v>
      </c>
      <c r="W33" s="25">
        <v>1.8392523359999999</v>
      </c>
      <c r="X33" s="25">
        <f>[1]Glucose!$T$3</f>
        <v>4.8499999999999996</v>
      </c>
      <c r="Y33" s="25">
        <f>'[1]Insulin+HOMA'!$T$3</f>
        <v>8.51</v>
      </c>
      <c r="Z33" s="21">
        <f>(Data6[[#This Row],[Glucose (mmol/L)]]*Data6[[#This Row],[Insulin (umol/L)]])/22.5</f>
        <v>1.8343777777777777</v>
      </c>
      <c r="AA33" s="25">
        <f>[1]NEFA!$T$3</f>
        <v>264.89999999999998</v>
      </c>
      <c r="AB33" s="25">
        <f>[1]TAG!$T$3</f>
        <v>942.80000000000007</v>
      </c>
      <c r="AC33" s="25">
        <f>'[1]3-OHB'!$T$3</f>
        <v>35.9</v>
      </c>
      <c r="AD33" s="25">
        <f>'[22]Basal ApoB,Chol,HDL,ALT'!$F$2</f>
        <v>5.09</v>
      </c>
      <c r="AE33" s="25">
        <f>'[22]Basal ApoB,Chol,HDL,ALT'!$J$2</f>
        <v>1.21</v>
      </c>
      <c r="AF33" s="25">
        <f>Data6[[#This Row],[total_chol (umol/L)]]-Data6[[#This Row],[HDL_chol (umol/L)]]</f>
        <v>3.88</v>
      </c>
      <c r="AG33" s="25">
        <f>Data6[[#This Row],[Non_HDL (umol/L)]]-(Data6[[#This Row],[TAG (umol/L)]]/2200)</f>
        <v>3.4514545454545456</v>
      </c>
      <c r="AH33" s="25">
        <v>585.8664</v>
      </c>
      <c r="AI33" s="49">
        <f>[3]RA19!$B$3</f>
        <v>3.5719926620945107E-3</v>
      </c>
      <c r="AJ33" s="25">
        <f>[1]DNL_160!$T$5</f>
        <v>13.564733560280606</v>
      </c>
      <c r="AK33" s="23">
        <f>(Data6[[#This Row],[DNL (%)]]/100)*Data6[[#This Row],[VLDL (umol/L)]]</f>
        <v>79.471216179207815</v>
      </c>
      <c r="AL33" s="25">
        <f>[4]SAMPLES!$L$21</f>
        <v>20.787096350522916</v>
      </c>
      <c r="AM33" s="55">
        <f>(Data6[[#This Row],[Gluconeogensis (%)]]/100)*Data6[[#This Row],[Glucose (mmol/L)]]</f>
        <v>1.0081741730003613</v>
      </c>
      <c r="AN33" s="61">
        <f>Data6[[#This Row],[Glucose (mmol/L)]]-Data6[[#This Row],[Gluconeogenesis (mmol/L)]]</f>
        <v>3.8418258269996386</v>
      </c>
      <c r="AO33" s="61" t="s">
        <v>535</v>
      </c>
      <c r="AP33" s="23"/>
    </row>
    <row r="34" spans="1:42" s="15" customFormat="1" x14ac:dyDescent="0.25">
      <c r="A34" s="11">
        <v>190</v>
      </c>
      <c r="B34" s="11" t="s">
        <v>297</v>
      </c>
      <c r="C34" s="11" t="s">
        <v>233</v>
      </c>
      <c r="D34" s="11">
        <v>1</v>
      </c>
      <c r="E34" s="11"/>
      <c r="F34" s="11" t="s">
        <v>401</v>
      </c>
      <c r="G34" s="11" t="s">
        <v>228</v>
      </c>
      <c r="H34" s="11">
        <f>[63]Characteristics!$M$8</f>
        <v>39</v>
      </c>
      <c r="I34" s="11"/>
      <c r="J34" s="11"/>
      <c r="K34" s="11">
        <f>'[63]Anthro, DXA, Liver fat'!$M$6</f>
        <v>182</v>
      </c>
      <c r="L34" s="11">
        <f>'[63]Anthro, DXA, Liver fat'!$M$5</f>
        <v>93.6</v>
      </c>
      <c r="M34" s="12">
        <f>L34/((K34/100)*(K34/100))</f>
        <v>28.257456828885395</v>
      </c>
      <c r="N34" s="11">
        <f>'[63]Anthro, DXA, Liver fat'!$M$8</f>
        <v>95</v>
      </c>
      <c r="O34" s="11"/>
      <c r="P34" s="13" t="e">
        <f>Data6[[#This Row],[Waist_Circumference]]/Data6[[#This Row],[Hip_circumference]]</f>
        <v>#DIV/0!</v>
      </c>
      <c r="Q34" s="14">
        <f>[66]Data!$T$222</f>
        <v>24852.048039926001</v>
      </c>
      <c r="R34" s="14">
        <f>[66]Data!$U$222</f>
        <v>65431.701525853998</v>
      </c>
      <c r="S34" s="14">
        <f>Q34+R34</f>
        <v>90283.749565780003</v>
      </c>
      <c r="T34" s="13">
        <f>(Data6[[#This Row],[Total_fat_g]]/Data6[[#This Row],[Total_mass_g]])*100</f>
        <v>27.526601586057303</v>
      </c>
      <c r="U34" s="13">
        <f>(Data6[[#This Row],[Lean_mass_g]]/Data6[[#This Row],[Total_mass_g]])*100</f>
        <v>72.473398413942689</v>
      </c>
      <c r="V34" s="13">
        <f>[66]Data!$Y$222</f>
        <v>964</v>
      </c>
      <c r="W34" s="13">
        <f>'[64]IHTG Corrected'!$D$24</f>
        <v>0</v>
      </c>
      <c r="X34" s="13">
        <f>[63]Glucose!$M$7</f>
        <v>5.258</v>
      </c>
      <c r="Y34" s="13">
        <f>[76]Insulin!$I$3</f>
        <v>8.5374999999999996</v>
      </c>
      <c r="Z34" s="21">
        <f>(Data6[[#This Row],[Glucose (mmol/L)]]*Data6[[#This Row],[Insulin (umol/L)]])/22.5</f>
        <v>1.9951188888888889</v>
      </c>
      <c r="AA34" s="13">
        <f>[63]NEFA!$M$7</f>
        <v>481.1</v>
      </c>
      <c r="AB34" s="13">
        <f>[63]TAG!$M$7</f>
        <v>707.5</v>
      </c>
      <c r="AC34" s="13">
        <f>'[63]3-OHB'!$M$7</f>
        <v>65.099999999999994</v>
      </c>
      <c r="AD34" s="13">
        <f>'[63]Apo B, Cholesterol, HDL, ALT'!$M$17</f>
        <v>3.05</v>
      </c>
      <c r="AE34" s="13">
        <f>'[63]Apo B, Cholesterol, HDL, ALT'!$M$27</f>
        <v>0.6</v>
      </c>
      <c r="AF34" s="13">
        <f>Data6[[#This Row],[total_chol (umol/L)]]-Data6[[#This Row],[HDL_chol (umol/L)]]</f>
        <v>2.4499999999999997</v>
      </c>
      <c r="AG34" s="13">
        <f>Data6[[#This Row],[Non_HDL (umol/L)]]-(Data6[[#This Row],[TAG (umol/L)]]/2200)</f>
        <v>2.1284090909090905</v>
      </c>
      <c r="AH34" s="13">
        <f>[66]Data!$AQ$223</f>
        <v>222.51253348728</v>
      </c>
      <c r="AI34" s="53">
        <f>'[63]DNL_Bounds Visit A'!$M$16</f>
        <v>2.93360483517848E-3</v>
      </c>
      <c r="AJ34" s="13">
        <f>'[63]DNL_Bounds Visit A'!$M$24</f>
        <v>14.644502486562608</v>
      </c>
      <c r="AK34" s="23">
        <f>(Data6[[#This Row],[DNL (%)]]/100)*Data6[[#This Row],[VLDL (umol/L)]]</f>
        <v>32.585853499458175</v>
      </c>
      <c r="AL34" s="13">
        <f>[4]SAMPLES!$L$124</f>
        <v>32.218441646856824</v>
      </c>
      <c r="AM34" s="60">
        <f>(Data6[[#This Row],[Gluconeogensis (%)]]/100)*Data6[[#This Row],[Glucose (mmol/L)]]</f>
        <v>1.6940456617917319</v>
      </c>
      <c r="AN34" s="61">
        <f>Data6[[#This Row],[Glucose (mmol/L)]]-Data6[[#This Row],[Gluconeogenesis (mmol/L)]]</f>
        <v>3.5639543382082683</v>
      </c>
      <c r="AO34" s="61" t="s">
        <v>535</v>
      </c>
      <c r="AP34" s="11"/>
    </row>
    <row r="35" spans="1:42" s="15" customFormat="1" x14ac:dyDescent="0.25">
      <c r="A35" s="23">
        <v>2</v>
      </c>
      <c r="B35" s="23" t="s">
        <v>33</v>
      </c>
      <c r="C35" s="23" t="s">
        <v>32</v>
      </c>
      <c r="D35" s="23"/>
      <c r="E35" s="23"/>
      <c r="F35" s="23">
        <v>3478</v>
      </c>
      <c r="G35" s="23" t="s">
        <v>227</v>
      </c>
      <c r="H35" s="26">
        <v>46.7</v>
      </c>
      <c r="I35" s="23" t="s">
        <v>146</v>
      </c>
      <c r="J35" s="23"/>
      <c r="K35" s="23">
        <v>171</v>
      </c>
      <c r="L35" s="23">
        <v>84.8</v>
      </c>
      <c r="M35" s="24">
        <f>L35/((K35/100)*(K35/100))</f>
        <v>29.000376184125031</v>
      </c>
      <c r="N35" s="23">
        <v>94</v>
      </c>
      <c r="O35" s="23">
        <v>110</v>
      </c>
      <c r="P35" s="25">
        <f>Data6[[#This Row],[Waist_Circumference]]/Data6[[#This Row],[Hip_circumference]]</f>
        <v>0.8545454545454545</v>
      </c>
      <c r="Q35" s="26">
        <f>'[1]Anthro data'!$C$27</f>
        <v>31911</v>
      </c>
      <c r="R35" s="26">
        <f>'[1]Anthro data'!$C$28</f>
        <v>48177</v>
      </c>
      <c r="S35" s="26">
        <f>Q35+R35</f>
        <v>80088</v>
      </c>
      <c r="T35" s="25">
        <f>(Data6[[#This Row],[Total_fat_g]]/Data6[[#This Row],[Total_mass_g]])*100</f>
        <v>39.844920587353911</v>
      </c>
      <c r="U35" s="25">
        <f>(Data6[[#This Row],[Lean_mass_g]]/Data6[[#This Row],[Total_mass_g]])*100</f>
        <v>60.155079412646081</v>
      </c>
      <c r="V35" s="25">
        <v>528</v>
      </c>
      <c r="W35" s="25">
        <v>1.7933333330000001</v>
      </c>
      <c r="X35" s="25">
        <f>[1]Glucose!$C$3</f>
        <v>5.0510000000000002</v>
      </c>
      <c r="Y35" s="25">
        <f>'[1]Insulin+HOMA'!$C$3</f>
        <v>8.6434999999999995</v>
      </c>
      <c r="Z35" s="21">
        <f>(Data6[[#This Row],[Glucose (mmol/L)]]*Data6[[#This Row],[Insulin (umol/L)]])/22.5</f>
        <v>1.9403697111111111</v>
      </c>
      <c r="AA35" s="25">
        <f>[1]NEFA!$C$3</f>
        <v>450.6</v>
      </c>
      <c r="AB35" s="25">
        <f>[1]TAG!$C$3</f>
        <v>765.35</v>
      </c>
      <c r="AC35" s="25">
        <f>'[1]3-OHB'!$C$3</f>
        <v>76.099999999999994</v>
      </c>
      <c r="AD35" s="25">
        <f>'[5]Basal ApoB,Chol,HDL,ALT'!$H$2</f>
        <v>4.5750000000000002</v>
      </c>
      <c r="AE35" s="25">
        <f>'[5]Basal ApoB,Chol,HDL,ALT'!$L$2</f>
        <v>1.2850000000000001</v>
      </c>
      <c r="AF35" s="25">
        <f>Data6[[#This Row],[total_chol (umol/L)]]-Data6[[#This Row],[HDL_chol (umol/L)]]</f>
        <v>3.29</v>
      </c>
      <c r="AG35" s="25">
        <f>Data6[[#This Row],[Non_HDL (umol/L)]]-(Data6[[#This Row],[TAG (umol/L)]]/2200)</f>
        <v>2.9421136363636364</v>
      </c>
      <c r="AH35" s="25">
        <v>306.84842250000003</v>
      </c>
      <c r="AI35" s="49">
        <f>[3]KP2!$B$3</f>
        <v>3.7909455610147845E-3</v>
      </c>
      <c r="AJ35" s="25">
        <f>[1]DNL_160!$C$5</f>
        <v>5.4459536719793906</v>
      </c>
      <c r="AK35" s="23">
        <f>(Data6[[#This Row],[DNL (%)]]/100)*Data6[[#This Row],[VLDL (umol/L)]]</f>
        <v>16.710822932549586</v>
      </c>
      <c r="AL35" s="25">
        <f>[4]SAMPLES!$L$4</f>
        <v>60.503513405998447</v>
      </c>
      <c r="AM35" s="55">
        <f>(Data6[[#This Row],[Gluconeogensis (%)]]/100)*Data6[[#This Row],[Glucose (mmol/L)]]</f>
        <v>3.0560324621369817</v>
      </c>
      <c r="AN35" s="61">
        <f>Data6[[#This Row],[Glucose (mmol/L)]]-Data6[[#This Row],[Gluconeogenesis (mmol/L)]]</f>
        <v>1.9949675378630185</v>
      </c>
      <c r="AO35" s="61" t="s">
        <v>535</v>
      </c>
      <c r="AP35" s="23"/>
    </row>
    <row r="36" spans="1:42" s="15" customFormat="1" x14ac:dyDescent="0.25">
      <c r="A36" s="23">
        <v>23</v>
      </c>
      <c r="B36" s="23" t="s">
        <v>54</v>
      </c>
      <c r="C36" s="23" t="s">
        <v>32</v>
      </c>
      <c r="D36" s="23"/>
      <c r="E36" s="23"/>
      <c r="F36" s="23"/>
      <c r="G36" s="23" t="s">
        <v>227</v>
      </c>
      <c r="H36" s="26">
        <v>53.5</v>
      </c>
      <c r="I36" s="23"/>
      <c r="J36" s="23"/>
      <c r="K36" s="23">
        <v>168</v>
      </c>
      <c r="L36" s="23">
        <v>68</v>
      </c>
      <c r="M36" s="24">
        <f>L36/((K36/100)*(K36/100))</f>
        <v>24.092970521541954</v>
      </c>
      <c r="N36" s="23">
        <v>86</v>
      </c>
      <c r="O36" s="23">
        <v>101</v>
      </c>
      <c r="P36" s="25">
        <f>Data6[[#This Row],[Waist_Circumference]]/Data6[[#This Row],[Hip_circumference]]</f>
        <v>0.85148514851485146</v>
      </c>
      <c r="Q36" s="26">
        <f>'[1]Anthro data'!$X$27</f>
        <v>27832</v>
      </c>
      <c r="R36" s="26">
        <f>'[1]Anthro data'!$X$28</f>
        <v>37776</v>
      </c>
      <c r="S36" s="26">
        <f>Q36+R36</f>
        <v>65608</v>
      </c>
      <c r="T36" s="25">
        <f>(Data6[[#This Row],[Total_fat_g]]/Data6[[#This Row],[Total_mass_g]])*100</f>
        <v>42.421655895622486</v>
      </c>
      <c r="U36" s="25">
        <f>(Data6[[#This Row],[Lean_mass_g]]/Data6[[#This Row],[Total_mass_g]])*100</f>
        <v>57.578344104377507</v>
      </c>
      <c r="V36" s="25">
        <v>709</v>
      </c>
      <c r="W36" s="25">
        <v>1</v>
      </c>
      <c r="X36" s="25">
        <f>[1]Glucose!$X$3</f>
        <v>4.5970000000000004</v>
      </c>
      <c r="Y36" s="25">
        <f>'[1]Insulin+HOMA'!$X$3</f>
        <v>8.6880000000000006</v>
      </c>
      <c r="Z36" s="21">
        <f>(Data6[[#This Row],[Glucose (mmol/L)]]*Data6[[#This Row],[Insulin (umol/L)]])/22.5</f>
        <v>1.7750549333333336</v>
      </c>
      <c r="AA36" s="25">
        <f>[1]NEFA!$X$3</f>
        <v>532.5</v>
      </c>
      <c r="AB36" s="25">
        <f>[1]TAG!$X$3</f>
        <v>1048.2</v>
      </c>
      <c r="AC36" s="25">
        <f>'[1]3-OHB'!$X$3</f>
        <v>128.9</v>
      </c>
      <c r="AD36" s="25">
        <f>'[26]Basal ApoB,Chol,HDL,ALT'!$F$2</f>
        <v>5.46</v>
      </c>
      <c r="AE36" s="25">
        <f>'[26]Basal ApoB,Chol,HDL,ALT'!$J$2</f>
        <v>1.57</v>
      </c>
      <c r="AF36" s="25">
        <f>Data6[[#This Row],[total_chol (umol/L)]]-Data6[[#This Row],[HDL_chol (umol/L)]]</f>
        <v>3.8899999999999997</v>
      </c>
      <c r="AG36" s="25">
        <f>Data6[[#This Row],[Non_HDL (umol/L)]]-(Data6[[#This Row],[TAG (umol/L)]]/2200)</f>
        <v>3.4135454545454542</v>
      </c>
      <c r="AH36" s="25">
        <v>764.0558625000001</v>
      </c>
      <c r="AI36" s="49">
        <f>[3]TA24!$B$3</f>
        <v>4.1042070851027594E-3</v>
      </c>
      <c r="AJ36" s="25">
        <f>[1]DNL_160!$X$5</f>
        <v>5.1042978855916044</v>
      </c>
      <c r="AK36" s="23">
        <f>(Data6[[#This Row],[DNL (%)]]/100)*Data6[[#This Row],[VLDL (umol/L)]]</f>
        <v>38.999687234326203</v>
      </c>
      <c r="AL36" s="25">
        <f>[4]SAMPLES!$L$45</f>
        <v>50.762733581584683</v>
      </c>
      <c r="AM36" s="55">
        <f>(Data6[[#This Row],[Gluconeogensis (%)]]/100)*Data6[[#This Row],[Glucose (mmol/L)]]</f>
        <v>2.3335628627454481</v>
      </c>
      <c r="AN36" s="61">
        <f>Data6[[#This Row],[Glucose (mmol/L)]]-Data6[[#This Row],[Gluconeogenesis (mmol/L)]]</f>
        <v>2.2634371372545523</v>
      </c>
      <c r="AO36" s="61" t="s">
        <v>535</v>
      </c>
      <c r="AP36" s="23"/>
    </row>
    <row r="37" spans="1:42" s="15" customFormat="1" x14ac:dyDescent="0.25">
      <c r="A37" s="15">
        <v>35</v>
      </c>
      <c r="B37" s="15" t="s">
        <v>77</v>
      </c>
      <c r="C37" s="15" t="s">
        <v>78</v>
      </c>
      <c r="D37" s="15" t="s">
        <v>386</v>
      </c>
      <c r="F37" s="15">
        <v>5013</v>
      </c>
      <c r="G37" s="15" t="s">
        <v>228</v>
      </c>
      <c r="H37" s="15">
        <v>33</v>
      </c>
      <c r="I37" s="15" t="s">
        <v>146</v>
      </c>
      <c r="K37" s="15">
        <v>186</v>
      </c>
      <c r="L37" s="15">
        <v>107.8</v>
      </c>
      <c r="M37" s="16">
        <f>L37/((K37/100)*(K37/100))</f>
        <v>31.159671638339688</v>
      </c>
      <c r="N37" s="15">
        <v>107</v>
      </c>
      <c r="O37" s="15">
        <v>103</v>
      </c>
      <c r="P37" s="17">
        <f>Data6[[#This Row],[Waist_Circumference]]/Data6[[#This Row],[Hip_circumference]]</f>
        <v>1.0388349514563107</v>
      </c>
      <c r="Q37" s="18">
        <f>'[1]Anthro data'!$AJ$27</f>
        <v>36039.949872571</v>
      </c>
      <c r="R37" s="18">
        <f>'[1]Anthro data'!$AJ$28</f>
        <v>68245.108505305994</v>
      </c>
      <c r="S37" s="18">
        <f>Q37+R37</f>
        <v>104285.05837787699</v>
      </c>
      <c r="T37" s="17">
        <f>(Data6[[#This Row],[Total_fat_g]]/Data6[[#This Row],[Total_mass_g]])*100</f>
        <v>34.559073402423778</v>
      </c>
      <c r="U37" s="17">
        <f>(Data6[[#This Row],[Lean_mass_g]]/Data6[[#This Row],[Total_mass_g]])*100</f>
        <v>65.440926597576222</v>
      </c>
      <c r="V37" s="17">
        <v>1935.604313</v>
      </c>
      <c r="W37" s="17">
        <v>5.3</v>
      </c>
      <c r="X37" s="17">
        <f>[1]Glucose!$AJ$3</f>
        <v>5.2960000000000003</v>
      </c>
      <c r="Y37" s="17">
        <f>'[1]Insulin+HOMA'!$AJ$3</f>
        <v>8.8659999999999997</v>
      </c>
      <c r="Z37" s="21">
        <f>(Data6[[#This Row],[Glucose (mmol/L)]]*Data6[[#This Row],[Insulin (umol/L)]])/22.5</f>
        <v>2.0868593777777775</v>
      </c>
      <c r="AA37" s="17">
        <f>[1]NEFA!$AJ$3</f>
        <v>389.2</v>
      </c>
      <c r="AB37" s="17">
        <f>[1]TAG!$AJ$3</f>
        <v>1976.4</v>
      </c>
      <c r="AC37" s="17">
        <f>'[1]3-OHB'!$AJ$3</f>
        <v>64.3</v>
      </c>
      <c r="AD37" s="17">
        <f>'[39]Apo B, HDL, Cholesterol, ALT'!$F$6</f>
        <v>5.7</v>
      </c>
      <c r="AE37" s="17">
        <f>'[39]Apo B, HDL, Cholesterol, ALT'!$M$6</f>
        <v>0.87</v>
      </c>
      <c r="AF37" s="17">
        <f>Data6[[#This Row],[total_chol (umol/L)]]-Data6[[#This Row],[HDL_chol (umol/L)]]</f>
        <v>4.83</v>
      </c>
      <c r="AG37" s="17">
        <f>Data6[[#This Row],[Non_HDL (umol/L)]]-(Data6[[#This Row],[TAG (umol/L)]]/2200)</f>
        <v>3.9316363636363638</v>
      </c>
      <c r="AH37" s="17">
        <v>1289.5475287500001</v>
      </c>
      <c r="AI37" s="50">
        <f>'[28]plasma H2O'!$N$4</f>
        <v>3.2221535264160168E-3</v>
      </c>
      <c r="AJ37" s="17">
        <f>[1]DNL_160!$AJ$5</f>
        <v>6.6305614763792668</v>
      </c>
      <c r="AK37" s="23">
        <f>(Data6[[#This Row],[DNL (%)]]/100)*Data6[[#This Row],[VLDL (umol/L)]]</f>
        <v>85.504241660898359</v>
      </c>
      <c r="AL37" s="17">
        <f>[4]SAMPLES!$L$54</f>
        <v>41.685434922937709</v>
      </c>
      <c r="AM37" s="56">
        <f>(Data6[[#This Row],[Gluconeogensis (%)]]/100)*Data6[[#This Row],[Glucose (mmol/L)]]</f>
        <v>2.2076606335187812</v>
      </c>
      <c r="AN37" s="61">
        <f>Data6[[#This Row],[Glucose (mmol/L)]]-Data6[[#This Row],[Gluconeogenesis (mmol/L)]]</f>
        <v>3.0883393664812191</v>
      </c>
      <c r="AO37" s="61" t="s">
        <v>535</v>
      </c>
    </row>
    <row r="38" spans="1:42" s="7" customFormat="1" x14ac:dyDescent="0.25">
      <c r="A38" s="7">
        <v>113</v>
      </c>
      <c r="B38" s="7" t="s">
        <v>120</v>
      </c>
      <c r="C38" s="7" t="s">
        <v>194</v>
      </c>
      <c r="G38" s="7" t="s">
        <v>227</v>
      </c>
      <c r="H38" s="7">
        <v>57</v>
      </c>
      <c r="K38" s="7">
        <v>169</v>
      </c>
      <c r="L38" s="7">
        <v>71.400000000000006</v>
      </c>
      <c r="M38" s="8">
        <f>L38/((K38/100)*(K38/100))</f>
        <v>24.999124680508391</v>
      </c>
      <c r="N38" s="7">
        <v>79</v>
      </c>
      <c r="O38" s="7">
        <v>97</v>
      </c>
      <c r="P38" s="9">
        <f>Data6[[#This Row],[Waist_Circumference]]/Data6[[#This Row],[Hip_circumference]]</f>
        <v>0.81443298969072164</v>
      </c>
      <c r="Q38" s="10">
        <v>27270</v>
      </c>
      <c r="R38" s="10">
        <v>41070</v>
      </c>
      <c r="S38" s="10">
        <f>Q38+R38</f>
        <v>68340</v>
      </c>
      <c r="T38" s="9">
        <f>(Data6[[#This Row],[Total_fat_g]]/Data6[[#This Row],[Total_mass_g]])*100</f>
        <v>39.903424056189642</v>
      </c>
      <c r="U38" s="9">
        <f>(Data6[[#This Row],[Lean_mass_g]]/Data6[[#This Row],[Total_mass_g]])*100</f>
        <v>60.096575943810358</v>
      </c>
      <c r="V38" s="9"/>
      <c r="W38" s="9">
        <v>2.33</v>
      </c>
      <c r="X38" s="9">
        <v>4.62</v>
      </c>
      <c r="Y38" s="9">
        <v>8.9</v>
      </c>
      <c r="Z38" s="21">
        <f>(Data6[[#This Row],[Glucose (mmol/L)]]*Data6[[#This Row],[Insulin (umol/L)]])/22.5</f>
        <v>1.8274666666666668</v>
      </c>
      <c r="AA38" s="9">
        <v>549.15</v>
      </c>
      <c r="AB38" s="9">
        <v>813.35</v>
      </c>
      <c r="AC38" s="9">
        <v>61.75</v>
      </c>
      <c r="AD38" s="9">
        <v>6.7</v>
      </c>
      <c r="AE38" s="9">
        <v>1.4</v>
      </c>
      <c r="AF38" s="9">
        <f>Data6[[#This Row],[total_chol (umol/L)]]-Data6[[#This Row],[HDL_chol (umol/L)]]</f>
        <v>5.3000000000000007</v>
      </c>
      <c r="AG38" s="9">
        <f>Data6[[#This Row],[Non_HDL (umol/L)]]-(Data6[[#This Row],[TAG (umol/L)]]/2200)</f>
        <v>4.9302954545454556</v>
      </c>
      <c r="AH38" s="9">
        <v>266.47000000000003</v>
      </c>
      <c r="AI38" s="51">
        <v>3.6333198937401685E-3</v>
      </c>
      <c r="AJ38" s="9">
        <v>1.5061367455168804</v>
      </c>
      <c r="AK38" s="23">
        <f>(Data6[[#This Row],[DNL (%)]]/100)*Data6[[#This Row],[VLDL (umol/L)]]</f>
        <v>4.0134025857788318</v>
      </c>
      <c r="AL38" s="9">
        <f>[4]SAMPLES!$L$261</f>
        <v>21.674945483699886</v>
      </c>
      <c r="AM38" s="57">
        <f>(Data6[[#This Row],[Gluconeogensis (%)]]/100)*Data6[[#This Row],[Glucose (mmol/L)]]</f>
        <v>1.0013824813469347</v>
      </c>
      <c r="AN38" s="61">
        <f>Data6[[#This Row],[Glucose (mmol/L)]]-Data6[[#This Row],[Gluconeogenesis (mmol/L)]]</f>
        <v>3.6186175186530654</v>
      </c>
      <c r="AO38" s="61" t="s">
        <v>535</v>
      </c>
    </row>
    <row r="39" spans="1:42" s="7" customFormat="1" x14ac:dyDescent="0.25">
      <c r="A39" s="11">
        <v>194</v>
      </c>
      <c r="B39" s="11" t="s">
        <v>299</v>
      </c>
      <c r="C39" s="11" t="s">
        <v>233</v>
      </c>
      <c r="D39" s="11">
        <v>1</v>
      </c>
      <c r="E39" s="11"/>
      <c r="F39" s="11" t="s">
        <v>404</v>
      </c>
      <c r="G39" s="11" t="s">
        <v>228</v>
      </c>
      <c r="H39" s="11">
        <f>[63]Characteristics!$O$8</f>
        <v>52</v>
      </c>
      <c r="I39" s="11"/>
      <c r="J39" s="11"/>
      <c r="K39" s="11">
        <f>'[63]Anthro, DXA, Liver fat'!$O$6</f>
        <v>176</v>
      </c>
      <c r="L39" s="11">
        <f>'[63]Anthro, DXA, Liver fat'!$O$5</f>
        <v>86.9</v>
      </c>
      <c r="M39" s="12">
        <f>L39/((K39/100)*(K39/100))</f>
        <v>28.053977272727277</v>
      </c>
      <c r="N39" s="11">
        <f>'[63]Anthro, DXA, Liver fat'!$O$8</f>
        <v>96</v>
      </c>
      <c r="O39" s="11"/>
      <c r="P39" s="13" t="e">
        <f>Data6[[#This Row],[Waist_Circumference]]/Data6[[#This Row],[Hip_circumference]]</f>
        <v>#DIV/0!</v>
      </c>
      <c r="Q39" s="14">
        <f>'[63]Anthro, DXA, Liver fat'!$O$19</f>
        <v>20759</v>
      </c>
      <c r="R39" s="14">
        <f>'[63]Anthro, DXA, Liver fat'!$O$20</f>
        <v>61988</v>
      </c>
      <c r="S39" s="14">
        <f>Q39+R39</f>
        <v>82747</v>
      </c>
      <c r="T39" s="13">
        <f>(Data6[[#This Row],[Total_fat_g]]/Data6[[#This Row],[Total_mass_g]])*100</f>
        <v>25.087314343722433</v>
      </c>
      <c r="U39" s="13">
        <f>(Data6[[#This Row],[Lean_mass_g]]/Data6[[#This Row],[Total_mass_g]])*100</f>
        <v>74.91268565627756</v>
      </c>
      <c r="V39" s="13">
        <f>'[63]Anthro, DXA, Liver fat'!$O$27</f>
        <v>1005</v>
      </c>
      <c r="W39" s="13">
        <f>'[64]IHTG Corrected'!$D$30</f>
        <v>5.0858087726031043</v>
      </c>
      <c r="X39" s="13">
        <f>[63]Glucose!$O$7</f>
        <v>5.5670000000000002</v>
      </c>
      <c r="Y39" s="13">
        <f>[78]Insulin!$I$3</f>
        <v>9.218</v>
      </c>
      <c r="Z39" s="21">
        <f>(Data6[[#This Row],[Glucose (mmol/L)]]*Data6[[#This Row],[Insulin (umol/L)]])/22.5</f>
        <v>2.2807380444444445</v>
      </c>
      <c r="AA39" s="13">
        <f>[63]NEFA!$O$7</f>
        <v>469</v>
      </c>
      <c r="AB39" s="13">
        <f>[63]TAG!$O$7</f>
        <v>1084.8</v>
      </c>
      <c r="AC39" s="13">
        <f>'[63]3-OHB'!$O$7</f>
        <v>84</v>
      </c>
      <c r="AD39" s="13">
        <f>'[63]Apo B, Cholesterol, HDL, ALT'!$O$17</f>
        <v>4.6900000000000004</v>
      </c>
      <c r="AE39" s="13">
        <f>'[63]Apo B, Cholesterol, HDL, ALT'!$O$27</f>
        <v>1.01</v>
      </c>
      <c r="AF39" s="13">
        <f>Data6[[#This Row],[total_chol (umol/L)]]-Data6[[#This Row],[HDL_chol (umol/L)]]</f>
        <v>3.6800000000000006</v>
      </c>
      <c r="AG39" s="13">
        <f>Data6[[#This Row],[Non_HDL (umol/L)]]-(Data6[[#This Row],[TAG (umol/L)]]/2200)</f>
        <v>3.1869090909090914</v>
      </c>
      <c r="AH39" s="13">
        <f>[66]Data!$AQ$263</f>
        <v>159.79308806044665</v>
      </c>
      <c r="AI39" s="53">
        <f>'[63]DNL_Bounds Visit A'!$O$16</f>
        <v>3.1276630428931163E-3</v>
      </c>
      <c r="AJ39" s="13">
        <f>'[63]DNL_Bounds Visit A'!$O$24</f>
        <v>5.5181529443918258</v>
      </c>
      <c r="AK39" s="23">
        <f>(Data6[[#This Row],[DNL (%)]]/100)*Data6[[#This Row],[VLDL (umol/L)]]</f>
        <v>8.8176269937421594</v>
      </c>
      <c r="AL39" s="13">
        <f>[4]SAMPLES!$L$190</f>
        <v>35.51695420095097</v>
      </c>
      <c r="AM39" s="60">
        <f>(Data6[[#This Row],[Gluconeogensis (%)]]/100)*Data6[[#This Row],[Glucose (mmol/L)]]</f>
        <v>1.9772288403669405</v>
      </c>
      <c r="AN39" s="61">
        <f>Data6[[#This Row],[Glucose (mmol/L)]]-Data6[[#This Row],[Gluconeogenesis (mmol/L)]]</f>
        <v>3.5897711596330595</v>
      </c>
      <c r="AO39" s="61" t="s">
        <v>535</v>
      </c>
      <c r="AP39" s="11"/>
    </row>
    <row r="40" spans="1:42" s="7" customFormat="1" x14ac:dyDescent="0.25">
      <c r="A40" s="7">
        <v>70</v>
      </c>
      <c r="B40" s="7" t="s">
        <v>117</v>
      </c>
      <c r="C40" s="7" t="s">
        <v>118</v>
      </c>
      <c r="G40" s="7" t="s">
        <v>227</v>
      </c>
      <c r="H40" s="7">
        <v>45</v>
      </c>
      <c r="I40" s="7" t="s">
        <v>146</v>
      </c>
      <c r="K40" s="7">
        <v>165</v>
      </c>
      <c r="L40" s="7">
        <v>68.099999999999994</v>
      </c>
      <c r="M40" s="8">
        <f>L40/((K40/100)*(K40/100))</f>
        <v>25.013774104683197</v>
      </c>
      <c r="N40" s="7">
        <v>78</v>
      </c>
      <c r="O40" s="7">
        <v>102</v>
      </c>
      <c r="P40" s="9">
        <f>Data6[[#This Row],[Waist_Circumference]]/Data6[[#This Row],[Hip_circumference]]</f>
        <v>0.76470588235294112</v>
      </c>
      <c r="Q40" s="10">
        <v>25680</v>
      </c>
      <c r="R40" s="10">
        <v>42310</v>
      </c>
      <c r="S40" s="10">
        <f>Q40+R40</f>
        <v>67990</v>
      </c>
      <c r="T40" s="9">
        <f>(Data6[[#This Row],[Total_fat_g]]/Data6[[#This Row],[Total_mass_g]])*100</f>
        <v>37.770260332401826</v>
      </c>
      <c r="U40" s="9">
        <f>(Data6[[#This Row],[Lean_mass_g]]/Data6[[#This Row],[Total_mass_g]])*100</f>
        <v>62.229739667598174</v>
      </c>
      <c r="V40" s="9">
        <v>92</v>
      </c>
      <c r="W40" s="9">
        <v>0.67</v>
      </c>
      <c r="X40" s="9">
        <v>4.71</v>
      </c>
      <c r="Y40" s="9">
        <v>9.23</v>
      </c>
      <c r="Z40" s="21">
        <f>(Data6[[#This Row],[Glucose (mmol/L)]]*Data6[[#This Row],[Insulin (umol/L)]])/22.5</f>
        <v>1.9321466666666667</v>
      </c>
      <c r="AA40" s="9">
        <v>1074.24</v>
      </c>
      <c r="AB40" s="9">
        <v>482</v>
      </c>
      <c r="AC40" s="9">
        <v>140.6</v>
      </c>
      <c r="AD40" s="9">
        <v>4.7</v>
      </c>
      <c r="AE40" s="9">
        <v>2.48</v>
      </c>
      <c r="AF40" s="9">
        <f>Data6[[#This Row],[total_chol (umol/L)]]-Data6[[#This Row],[HDL_chol (umol/L)]]</f>
        <v>2.2200000000000002</v>
      </c>
      <c r="AG40" s="9">
        <f>Data6[[#This Row],[Non_HDL (umol/L)]]-(Data6[[#This Row],[TAG (umol/L)]]/2200)</f>
        <v>2.000909090909091</v>
      </c>
      <c r="AH40" s="9">
        <v>98.29</v>
      </c>
      <c r="AI40" s="51">
        <v>4.7274264396296676E-3</v>
      </c>
      <c r="AJ40" s="9">
        <v>8.0827327679754699</v>
      </c>
      <c r="AK40" s="23">
        <f>(Data6[[#This Row],[DNL (%)]]/100)*Data6[[#This Row],[VLDL (umol/L)]]</f>
        <v>7.9445180376430899</v>
      </c>
      <c r="AL40" s="9">
        <f>[4]SAMPLES!$L$31</f>
        <v>37.48508346708784</v>
      </c>
      <c r="AM40" s="57">
        <f>(Data6[[#This Row],[Gluconeogensis (%)]]/100)*Data6[[#This Row],[Glucose (mmol/L)]]</f>
        <v>1.7655474312998372</v>
      </c>
      <c r="AN40" s="61">
        <f>Data6[[#This Row],[Glucose (mmol/L)]]-Data6[[#This Row],[Gluconeogenesis (mmol/L)]]</f>
        <v>2.9444525687001626</v>
      </c>
      <c r="AO40" s="61" t="s">
        <v>535</v>
      </c>
    </row>
    <row r="41" spans="1:42" s="7" customFormat="1" x14ac:dyDescent="0.25">
      <c r="A41" s="15">
        <v>27</v>
      </c>
      <c r="B41" s="15" t="s">
        <v>61</v>
      </c>
      <c r="C41" s="15" t="s">
        <v>62</v>
      </c>
      <c r="D41" s="15" t="s">
        <v>386</v>
      </c>
      <c r="E41" s="15"/>
      <c r="F41" s="15">
        <v>6238</v>
      </c>
      <c r="G41" s="15" t="s">
        <v>228</v>
      </c>
      <c r="H41" s="15">
        <v>48</v>
      </c>
      <c r="I41" s="15"/>
      <c r="J41" s="15"/>
      <c r="K41" s="15">
        <v>180</v>
      </c>
      <c r="L41" s="15">
        <v>90.1</v>
      </c>
      <c r="M41" s="16">
        <f>L41/((K41/100)*(K41/100))</f>
        <v>27.808641975308639</v>
      </c>
      <c r="N41" s="15">
        <v>101</v>
      </c>
      <c r="O41" s="15">
        <v>102</v>
      </c>
      <c r="P41" s="17">
        <f>Data6[[#This Row],[Waist_Circumference]]/Data6[[#This Row],[Hip_circumference]]</f>
        <v>0.99019607843137258</v>
      </c>
      <c r="Q41" s="18">
        <f>'[1]Anthro data'!$AB$27</f>
        <v>24516</v>
      </c>
      <c r="R41" s="18">
        <f>'[1]Anthro data'!$AB$28</f>
        <v>61778</v>
      </c>
      <c r="S41" s="18">
        <f>Q41+R41</f>
        <v>86294</v>
      </c>
      <c r="T41" s="17">
        <f>(Data6[[#This Row],[Total_fat_g]]/Data6[[#This Row],[Total_mass_g]])*100</f>
        <v>28.409854682828474</v>
      </c>
      <c r="U41" s="17">
        <f>(Data6[[#This Row],[Lean_mass_g]]/Data6[[#This Row],[Total_mass_g]])*100</f>
        <v>71.590145317171533</v>
      </c>
      <c r="V41" s="17">
        <v>1660</v>
      </c>
      <c r="W41" s="17">
        <v>1.7</v>
      </c>
      <c r="X41" s="17">
        <f>[1]Glucose!$AB$3</f>
        <v>5.1020000000000003</v>
      </c>
      <c r="Y41" s="17">
        <f>'[1]Insulin+HOMA'!$AB$3</f>
        <v>9.2370000000000001</v>
      </c>
      <c r="Z41" s="21">
        <f>(Data6[[#This Row],[Glucose (mmol/L)]]*Data6[[#This Row],[Insulin (umol/L)]])/22.5</f>
        <v>2.0945410666666668</v>
      </c>
      <c r="AA41" s="17">
        <f>[1]NEFA!$AB$3</f>
        <v>164.6</v>
      </c>
      <c r="AB41" s="17">
        <f>[1]TAG!$AB$3</f>
        <v>1926.3</v>
      </c>
      <c r="AC41" s="17">
        <f>'[1]3-OHB'!$AB$3</f>
        <v>26.3</v>
      </c>
      <c r="AD41" s="17">
        <f>'[31]Apo B, HDL, Cholesterol, ALT'!$F$6</f>
        <v>4.2300000000000004</v>
      </c>
      <c r="AE41" s="17">
        <f>'[31]Apo B, HDL, Cholesterol, ALT'!$M$6</f>
        <v>0.86</v>
      </c>
      <c r="AF41" s="17">
        <f>Data6[[#This Row],[total_chol (umol/L)]]-Data6[[#This Row],[HDL_chol (umol/L)]]</f>
        <v>3.3700000000000006</v>
      </c>
      <c r="AG41" s="17">
        <f>Data6[[#This Row],[Non_HDL (umol/L)]]-(Data6[[#This Row],[TAG (umol/L)]]/2200)</f>
        <v>2.4944090909090915</v>
      </c>
      <c r="AH41" s="17">
        <v>1326.9229012499995</v>
      </c>
      <c r="AI41" s="50">
        <f>'[28]plasma H2O'!$F$4</f>
        <v>2.9643782090723117E-3</v>
      </c>
      <c r="AJ41" s="17">
        <f>[1]DNL_160!$AB$5</f>
        <v>10.048563820347105</v>
      </c>
      <c r="AK41" s="23">
        <f>(Data6[[#This Row],[DNL (%)]]/100)*Data6[[#This Row],[VLDL (umol/L)]]</f>
        <v>133.33669457890761</v>
      </c>
      <c r="AL41" s="17">
        <f>[4]SAMPLES!$L$46</f>
        <v>27.059676430844554</v>
      </c>
      <c r="AM41" s="56">
        <f>(Data6[[#This Row],[Gluconeogensis (%)]]/100)*Data6[[#This Row],[Glucose (mmol/L)]]</f>
        <v>1.3805846915016893</v>
      </c>
      <c r="AN41" s="61">
        <f>Data6[[#This Row],[Glucose (mmol/L)]]-Data6[[#This Row],[Gluconeogenesis (mmol/L)]]</f>
        <v>3.7214153084983108</v>
      </c>
      <c r="AO41" s="61" t="s">
        <v>535</v>
      </c>
      <c r="AP41" s="15"/>
    </row>
    <row r="42" spans="1:42" s="7" customFormat="1" x14ac:dyDescent="0.25">
      <c r="A42" s="33">
        <v>128</v>
      </c>
      <c r="B42" s="33" t="s">
        <v>216</v>
      </c>
      <c r="C42" s="33" t="s">
        <v>226</v>
      </c>
      <c r="D42" s="33" t="s">
        <v>386</v>
      </c>
      <c r="E42" s="33" t="s">
        <v>407</v>
      </c>
      <c r="F42" s="33"/>
      <c r="G42" s="33" t="s">
        <v>227</v>
      </c>
      <c r="H42" s="33">
        <v>46</v>
      </c>
      <c r="I42" s="33" t="s">
        <v>229</v>
      </c>
      <c r="J42" s="33"/>
      <c r="K42" s="33">
        <v>161</v>
      </c>
      <c r="L42" s="33">
        <v>91.3</v>
      </c>
      <c r="M42" s="34">
        <f>L42/((K42/100)*(K42/100))</f>
        <v>35.222406542957444</v>
      </c>
      <c r="N42" s="33">
        <v>103</v>
      </c>
      <c r="O42" s="33">
        <v>118</v>
      </c>
      <c r="P42" s="35">
        <f>Data6[[#This Row],[Waist_Circumference]]/Data6[[#This Row],[Hip_circumference]]</f>
        <v>0.8728813559322034</v>
      </c>
      <c r="Q42" s="36">
        <f>[50]Antropometrics!$H$16</f>
        <v>47058</v>
      </c>
      <c r="R42" s="36">
        <f>[50]Antropometrics!$H$17</f>
        <v>40991</v>
      </c>
      <c r="S42" s="36">
        <f>Q42+R42</f>
        <v>88049</v>
      </c>
      <c r="T42" s="35">
        <f>(Data6[[#This Row],[Total_fat_g]]/Data6[[#This Row],[Total_mass_g]])*100</f>
        <v>53.445240718236441</v>
      </c>
      <c r="U42" s="35">
        <f>(Data6[[#This Row],[Lean_mass_g]]/Data6[[#This Row],[Total_mass_g]])*100</f>
        <v>46.554759281763566</v>
      </c>
      <c r="V42" s="35">
        <v>1793</v>
      </c>
      <c r="W42" s="35">
        <v>14.504463492806657</v>
      </c>
      <c r="X42" s="35">
        <f>[51]Glucose!$H$24</f>
        <v>5.7439999999999998</v>
      </c>
      <c r="Y42" s="35">
        <f>[51]Insulin!$H$24</f>
        <v>9.275500000000001</v>
      </c>
      <c r="Z42" s="21">
        <f>(Data6[[#This Row],[Glucose (mmol/L)]]*Data6[[#This Row],[Insulin (umol/L)]])/22.5</f>
        <v>2.3679320888888888</v>
      </c>
      <c r="AA42" s="35">
        <f>[51]NEFA!$H$24</f>
        <v>685.1</v>
      </c>
      <c r="AB42" s="35">
        <f>[51]TAG!$H$24</f>
        <v>1742.2</v>
      </c>
      <c r="AC42" s="35">
        <f>'[51]3OHB'!$H$24</f>
        <v>45.6</v>
      </c>
      <c r="AD42" s="35">
        <f>'[51]Chol, HDL'!$H$14</f>
        <v>4.9000000000000004</v>
      </c>
      <c r="AE42" s="35">
        <f>'[51]Chol, HDL'!$H$31</f>
        <v>1.22</v>
      </c>
      <c r="AF42" s="35">
        <f>Data6[[#This Row],[total_chol (umol/L)]]-Data6[[#This Row],[HDL_chol (umol/L)]]</f>
        <v>3.6800000000000006</v>
      </c>
      <c r="AG42" s="35">
        <f>Data6[[#This Row],[Non_HDL (umol/L)]]-(Data6[[#This Row],[TAG (umol/L)]]/2200)</f>
        <v>2.8880909090909097</v>
      </c>
      <c r="AH42" s="35">
        <v>697.02626250000003</v>
      </c>
      <c r="AI42" s="52">
        <f>[51]DNL!$H$15</f>
        <v>4.5269837777763911E-3</v>
      </c>
      <c r="AJ42" s="35">
        <f>[51]DNL!$H$61</f>
        <v>6.1905188873314945</v>
      </c>
      <c r="AK42" s="23">
        <f>(Data6[[#This Row],[DNL (%)]]/100)*Data6[[#This Row],[VLDL (umol/L)]]</f>
        <v>43.149542429723304</v>
      </c>
      <c r="AL42" s="35">
        <f>[4]SAMPLES!$L$151</f>
        <v>26.878103810454508</v>
      </c>
      <c r="AM42" s="58">
        <f>(Data6[[#This Row],[Gluconeogensis (%)]]/100)*Data6[[#This Row],[Glucose (mmol/L)]]</f>
        <v>1.5438782828725068</v>
      </c>
      <c r="AN42" s="61">
        <f>Data6[[#This Row],[Glucose (mmol/L)]]-Data6[[#This Row],[Gluconeogenesis (mmol/L)]]</f>
        <v>4.2001217171274927</v>
      </c>
      <c r="AO42" s="61" t="s">
        <v>535</v>
      </c>
      <c r="AP42" s="33"/>
    </row>
    <row r="43" spans="1:42" s="7" customFormat="1" x14ac:dyDescent="0.25">
      <c r="A43" s="33">
        <v>123</v>
      </c>
      <c r="B43" s="33" t="s">
        <v>211</v>
      </c>
      <c r="C43" s="33" t="s">
        <v>226</v>
      </c>
      <c r="D43" s="33" t="s">
        <v>386</v>
      </c>
      <c r="E43" s="33" t="s">
        <v>23</v>
      </c>
      <c r="F43" s="19"/>
      <c r="G43" s="33" t="s">
        <v>228</v>
      </c>
      <c r="H43" s="33">
        <v>48</v>
      </c>
      <c r="I43" s="33"/>
      <c r="J43" s="46"/>
      <c r="K43" s="33">
        <v>182</v>
      </c>
      <c r="L43" s="33">
        <v>91.8</v>
      </c>
      <c r="M43" s="34">
        <f>L43/((K43/100)*(K43/100))</f>
        <v>27.714044197560678</v>
      </c>
      <c r="N43" s="33">
        <v>104</v>
      </c>
      <c r="O43" s="33">
        <v>105</v>
      </c>
      <c r="P43" s="35">
        <f>Data6[[#This Row],[Waist_Circumference]]/Data6[[#This Row],[Hip_circumference]]</f>
        <v>0.99047619047619051</v>
      </c>
      <c r="Q43" s="36">
        <f>[51]Antropometrics!$C$16</f>
        <v>26562</v>
      </c>
      <c r="R43" s="36">
        <f>[51]Antropometrics!$C$17</f>
        <v>61220</v>
      </c>
      <c r="S43" s="36">
        <f>Q43+R43</f>
        <v>87782</v>
      </c>
      <c r="T43" s="35">
        <f>(Data6[[#This Row],[Total_fat_g]]/Data6[[#This Row],[Total_mass_g]])*100</f>
        <v>30.259050830466382</v>
      </c>
      <c r="U43" s="35">
        <f>(Data6[[#This Row],[Lean_mass_g]]/Data6[[#This Row],[Total_mass_g]])*100</f>
        <v>69.740949169533621</v>
      </c>
      <c r="V43" s="35">
        <f>[51]Antropometrics!$C$27</f>
        <v>963</v>
      </c>
      <c r="W43" s="35"/>
      <c r="X43" s="35">
        <f>[51]Glucose!$C$7</f>
        <v>4.617</v>
      </c>
      <c r="Y43" s="35">
        <f>[51]Insulin!$C$7</f>
        <v>9.3230000000000004</v>
      </c>
      <c r="Z43" s="21">
        <f>(Data6[[#This Row],[Glucose (mmol/L)]]*Data6[[#This Row],[Insulin (umol/L)]])/22.5</f>
        <v>1.9130796000000001</v>
      </c>
      <c r="AA43" s="35">
        <f>[51]NEFA!$C$7</f>
        <v>332.75</v>
      </c>
      <c r="AB43" s="35">
        <f>[51]TAG!$C$7</f>
        <v>776.40000000000009</v>
      </c>
      <c r="AC43" s="35">
        <f>'[51]3OHB'!$C$7</f>
        <v>60.7</v>
      </c>
      <c r="AD43" s="35">
        <f>'[51]Chol, HDL'!$C$7</f>
        <v>5.63</v>
      </c>
      <c r="AE43" s="35">
        <f>'[51]Chol, HDL'!$C$24</f>
        <v>1.1399999999999999</v>
      </c>
      <c r="AF43" s="35">
        <f>Data6[[#This Row],[total_chol (umol/L)]]-Data6[[#This Row],[HDL_chol (umol/L)]]</f>
        <v>4.49</v>
      </c>
      <c r="AG43" s="35">
        <f>Data6[[#This Row],[Non_HDL (umol/L)]]-(Data6[[#This Row],[TAG (umol/L)]]/2200)</f>
        <v>4.1370909090909089</v>
      </c>
      <c r="AH43" s="35">
        <v>361.04658749999999</v>
      </c>
      <c r="AI43" s="52">
        <f>[51]DNL!$C$5</f>
        <v>3.1680534294100818E-3</v>
      </c>
      <c r="AJ43" s="35">
        <f>[51]DNL!$C$49</f>
        <v>0.8428041219089778</v>
      </c>
      <c r="AK43" s="23">
        <f>(Data6[[#This Row],[DNL (%)]]/100)*Data6[[#This Row],[VLDL (umol/L)]]</f>
        <v>3.0429155214617043</v>
      </c>
      <c r="AL43" s="35"/>
      <c r="AM43" s="58"/>
      <c r="AN43" s="61"/>
      <c r="AO43" s="61" t="s">
        <v>535</v>
      </c>
      <c r="AP43" s="33" t="s">
        <v>413</v>
      </c>
    </row>
    <row r="44" spans="1:42" s="7" customFormat="1" x14ac:dyDescent="0.25">
      <c r="A44" s="7">
        <v>75</v>
      </c>
      <c r="B44" s="7" t="s">
        <v>113</v>
      </c>
      <c r="C44" s="7" t="s">
        <v>125</v>
      </c>
      <c r="G44" s="7" t="s">
        <v>227</v>
      </c>
      <c r="H44" s="7">
        <v>41</v>
      </c>
      <c r="I44" s="7" t="s">
        <v>229</v>
      </c>
      <c r="K44" s="7">
        <v>171</v>
      </c>
      <c r="L44" s="7">
        <v>60.6</v>
      </c>
      <c r="M44" s="8">
        <f>L44/((K44/100)*(K44/100))</f>
        <v>20.72432543346671</v>
      </c>
      <c r="N44" s="7">
        <v>76</v>
      </c>
      <c r="O44" s="7">
        <v>91</v>
      </c>
      <c r="P44" s="9">
        <f>Data6[[#This Row],[Waist_Circumference]]/Data6[[#This Row],[Hip_circumference]]</f>
        <v>0.8351648351648352</v>
      </c>
      <c r="Q44" s="10">
        <v>19280</v>
      </c>
      <c r="R44" s="10">
        <v>40040</v>
      </c>
      <c r="S44" s="10">
        <f>Q44+R44</f>
        <v>59320</v>
      </c>
      <c r="T44" s="9">
        <f>(Data6[[#This Row],[Total_fat_g]]/Data6[[#This Row],[Total_mass_g]])*100</f>
        <v>32.501685772083619</v>
      </c>
      <c r="U44" s="9">
        <f>(Data6[[#This Row],[Lean_mass_g]]/Data6[[#This Row],[Total_mass_g]])*100</f>
        <v>67.498314227916396</v>
      </c>
      <c r="V44" s="9">
        <v>226</v>
      </c>
      <c r="W44" s="9">
        <v>0.46</v>
      </c>
      <c r="X44" s="9">
        <v>4.6900000000000004</v>
      </c>
      <c r="Y44" s="9">
        <v>9.4</v>
      </c>
      <c r="Z44" s="21">
        <f>(Data6[[#This Row],[Glucose (mmol/L)]]*Data6[[#This Row],[Insulin (umol/L)]])/22.5</f>
        <v>1.9593777777777781</v>
      </c>
      <c r="AA44" s="9">
        <v>701.06</v>
      </c>
      <c r="AB44" s="9">
        <v>772.15</v>
      </c>
      <c r="AC44" s="9">
        <v>113.5</v>
      </c>
      <c r="AD44" s="9">
        <v>4.8</v>
      </c>
      <c r="AE44" s="9">
        <v>1.76</v>
      </c>
      <c r="AF44" s="9">
        <f>Data6[[#This Row],[total_chol (umol/L)]]-Data6[[#This Row],[HDL_chol (umol/L)]]</f>
        <v>3.04</v>
      </c>
      <c r="AG44" s="9">
        <f>Data6[[#This Row],[Non_HDL (umol/L)]]-(Data6[[#This Row],[TAG (umol/L)]]/2200)</f>
        <v>2.6890227272727274</v>
      </c>
      <c r="AH44" s="9">
        <v>146.69999999999999</v>
      </c>
      <c r="AI44" s="51">
        <v>3.8256250210377744E-3</v>
      </c>
      <c r="AJ44" s="9">
        <v>7.1995882882606681</v>
      </c>
      <c r="AK44" s="23">
        <f>(Data6[[#This Row],[DNL (%)]]/100)*Data6[[#This Row],[VLDL (umol/L)]]</f>
        <v>10.561796018878399</v>
      </c>
      <c r="AL44" s="9">
        <f>[4]SAMPLES!$L$36</f>
        <v>23.069957058018666</v>
      </c>
      <c r="AM44" s="57">
        <f>(Data6[[#This Row],[Gluconeogensis (%)]]/100)*Data6[[#This Row],[Glucose (mmol/L)]]</f>
        <v>1.0819809860210756</v>
      </c>
      <c r="AN44" s="61">
        <f>Data6[[#This Row],[Glucose (mmol/L)]]-Data6[[#This Row],[Gluconeogenesis (mmol/L)]]</f>
        <v>3.6080190139789248</v>
      </c>
      <c r="AO44" s="61" t="s">
        <v>535</v>
      </c>
    </row>
    <row r="45" spans="1:42" s="7" customFormat="1" x14ac:dyDescent="0.25">
      <c r="A45" s="11">
        <v>188</v>
      </c>
      <c r="B45" s="11" t="s">
        <v>296</v>
      </c>
      <c r="C45" s="11" t="s">
        <v>233</v>
      </c>
      <c r="D45" s="11">
        <v>1</v>
      </c>
      <c r="E45" s="11"/>
      <c r="F45" s="11" t="s">
        <v>400</v>
      </c>
      <c r="G45" s="11" t="s">
        <v>228</v>
      </c>
      <c r="H45" s="11">
        <f>[63]Characteristics!$L$8</f>
        <v>51</v>
      </c>
      <c r="I45" s="11"/>
      <c r="J45" s="11"/>
      <c r="K45" s="11">
        <f>'[63]Anthro, DXA, Liver fat'!$L$6</f>
        <v>173</v>
      </c>
      <c r="L45" s="11">
        <f>'[63]Anthro, DXA, Liver fat'!$L$5</f>
        <v>81.5</v>
      </c>
      <c r="M45" s="12">
        <f>L45/((K45/100)*(K45/100))</f>
        <v>27.231113635604263</v>
      </c>
      <c r="N45" s="11">
        <f>'[63]Anthro, DXA, Liver fat'!$L$8</f>
        <v>97</v>
      </c>
      <c r="O45" s="11"/>
      <c r="P45" s="13" t="e">
        <f>Data6[[#This Row],[Waist_Circumference]]/Data6[[#This Row],[Hip_circumference]]</f>
        <v>#DIV/0!</v>
      </c>
      <c r="Q45" s="14">
        <f>'[63]Anthro, DXA, Liver fat'!$L$19</f>
        <v>21381.668348531999</v>
      </c>
      <c r="R45" s="14">
        <f>'[63]Anthro, DXA, Liver fat'!$L$20</f>
        <v>56223.318220931003</v>
      </c>
      <c r="S45" s="14">
        <f>Q45+R45</f>
        <v>77604.986569462999</v>
      </c>
      <c r="T45" s="13">
        <f>(Data6[[#This Row],[Total_fat_g]]/Data6[[#This Row],[Total_mass_g]])*100</f>
        <v>27.551925840994258</v>
      </c>
      <c r="U45" s="13">
        <f>(Data6[[#This Row],[Lean_mass_g]]/Data6[[#This Row],[Total_mass_g]])*100</f>
        <v>72.448074159005742</v>
      </c>
      <c r="V45" s="13">
        <f>'[63]Anthro, DXA, Liver fat'!$L$27</f>
        <v>1518.8444895192999</v>
      </c>
      <c r="W45" s="13">
        <f>'[64]IHTG Corrected'!$D$22</f>
        <v>6.7552550088048848</v>
      </c>
      <c r="X45" s="13">
        <f>[63]Glucose!$L$7</f>
        <v>3.911</v>
      </c>
      <c r="Y45" s="13">
        <f>[75]Insulin!$I$3</f>
        <v>9.4089999999999989</v>
      </c>
      <c r="Z45" s="21">
        <f>(Data6[[#This Row],[Glucose (mmol/L)]]*Data6[[#This Row],[Insulin (umol/L)]])/22.5</f>
        <v>1.6354932888888887</v>
      </c>
      <c r="AA45" s="13">
        <f>[63]NEFA!$L$7</f>
        <v>419.3</v>
      </c>
      <c r="AB45" s="13">
        <f>[63]TAG!$L$7</f>
        <v>459.4</v>
      </c>
      <c r="AC45" s="13">
        <f>'[63]3-OHB'!$L$7</f>
        <v>27.3</v>
      </c>
      <c r="AD45" s="13">
        <f>'[63]Apo B, Cholesterol, HDL, ALT'!$L$17</f>
        <v>2.8</v>
      </c>
      <c r="AE45" s="13">
        <f>'[63]Apo B, Cholesterol, HDL, ALT'!$L$27</f>
        <v>0.62</v>
      </c>
      <c r="AF45" s="13">
        <f>Data6[[#This Row],[total_chol (umol/L)]]-Data6[[#This Row],[HDL_chol (umol/L)]]</f>
        <v>2.1799999999999997</v>
      </c>
      <c r="AG45" s="13">
        <f>Data6[[#This Row],[Non_HDL (umol/L)]]-(Data6[[#This Row],[TAG (umol/L)]]/2200)</f>
        <v>1.9711818181818179</v>
      </c>
      <c r="AH45" s="13">
        <f>[66]Data!$AQ$203</f>
        <v>393.91650366178135</v>
      </c>
      <c r="AI45" s="53">
        <f>'[63]DNL_Bounds Visit A'!$L$16</f>
        <v>3.081966072222264E-3</v>
      </c>
      <c r="AJ45" s="13">
        <f>'[63]DNL_Bounds Visit A'!$L$24</f>
        <v>0.72308076625762097</v>
      </c>
      <c r="AK45" s="23">
        <f>(Data6[[#This Row],[DNL (%)]]/100)*Data6[[#This Row],[VLDL (umol/L)]]</f>
        <v>2.8483344730928382</v>
      </c>
      <c r="AL45" s="13">
        <f>[4]SAMPLES!$L$122</f>
        <v>23.758868012873059</v>
      </c>
      <c r="AM45" s="60">
        <f>(Data6[[#This Row],[Gluconeogensis (%)]]/100)*Data6[[#This Row],[Glucose (mmol/L)]]</f>
        <v>0.92920932798346534</v>
      </c>
      <c r="AN45" s="61">
        <f>Data6[[#This Row],[Glucose (mmol/L)]]-Data6[[#This Row],[Gluconeogenesis (mmol/L)]]</f>
        <v>2.9817906720165346</v>
      </c>
      <c r="AO45" s="61" t="s">
        <v>535</v>
      </c>
      <c r="AP45" s="11"/>
    </row>
    <row r="46" spans="1:42" s="7" customFormat="1" x14ac:dyDescent="0.25">
      <c r="A46" s="7">
        <v>93</v>
      </c>
      <c r="B46" s="7" t="s">
        <v>158</v>
      </c>
      <c r="C46" s="7" t="s">
        <v>159</v>
      </c>
      <c r="G46" s="7" t="s">
        <v>227</v>
      </c>
      <c r="H46" s="7">
        <v>63</v>
      </c>
      <c r="K46" s="7">
        <v>158</v>
      </c>
      <c r="L46" s="7">
        <v>56.75</v>
      </c>
      <c r="M46" s="8">
        <f>L46/((K46/100)*(K46/100))</f>
        <v>22.73273513859958</v>
      </c>
      <c r="N46" s="7">
        <v>80</v>
      </c>
      <c r="O46" s="7">
        <v>94</v>
      </c>
      <c r="P46" s="9">
        <f>Data6[[#This Row],[Waist_Circumference]]/Data6[[#This Row],[Hip_circumference]]</f>
        <v>0.85106382978723405</v>
      </c>
      <c r="Q46" s="10">
        <v>15530</v>
      </c>
      <c r="R46" s="10">
        <v>37960</v>
      </c>
      <c r="S46" s="10">
        <f>Q46+R46</f>
        <v>53490</v>
      </c>
      <c r="T46" s="9">
        <f>(Data6[[#This Row],[Total_fat_g]]/Data6[[#This Row],[Total_mass_g]])*100</f>
        <v>29.033464198915688</v>
      </c>
      <c r="U46" s="9">
        <f>(Data6[[#This Row],[Lean_mass_g]]/Data6[[#This Row],[Total_mass_g]])*100</f>
        <v>70.966535801084319</v>
      </c>
      <c r="V46" s="9"/>
      <c r="W46" s="9">
        <v>1.7</v>
      </c>
      <c r="X46" s="9">
        <v>5.08</v>
      </c>
      <c r="Y46" s="9">
        <v>9.43</v>
      </c>
      <c r="Z46" s="21">
        <f>(Data6[[#This Row],[Glucose (mmol/L)]]*Data6[[#This Row],[Insulin (umol/L)]])/22.5</f>
        <v>2.1290844444444446</v>
      </c>
      <c r="AA46" s="9">
        <v>562.51</v>
      </c>
      <c r="AB46" s="9">
        <v>630.15</v>
      </c>
      <c r="AC46" s="9">
        <v>36.5</v>
      </c>
      <c r="AD46" s="9">
        <v>6.2</v>
      </c>
      <c r="AE46" s="9">
        <v>2.62</v>
      </c>
      <c r="AF46" s="9">
        <f>Data6[[#This Row],[total_chol (umol/L)]]-Data6[[#This Row],[HDL_chol (umol/L)]]</f>
        <v>3.58</v>
      </c>
      <c r="AG46" s="9">
        <f>Data6[[#This Row],[Non_HDL (umol/L)]]-(Data6[[#This Row],[TAG (umol/L)]]/2200)</f>
        <v>3.2935681818181819</v>
      </c>
      <c r="AH46" s="9">
        <v>153.16</v>
      </c>
      <c r="AI46" s="51">
        <v>4.3935518817907054E-3</v>
      </c>
      <c r="AJ46" s="9">
        <v>8.2397706338311831</v>
      </c>
      <c r="AK46" s="23">
        <f>(Data6[[#This Row],[DNL (%)]]/100)*Data6[[#This Row],[VLDL (umol/L)]]</f>
        <v>12.620032702775841</v>
      </c>
      <c r="AL46" s="9">
        <f>[4]SAMPLES!$L$242</f>
        <v>17.164176777349216</v>
      </c>
      <c r="AM46" s="57">
        <f>(Data6[[#This Row],[Gluconeogensis (%)]]/100)*Data6[[#This Row],[Glucose (mmol/L)]]</f>
        <v>0.87194018028934017</v>
      </c>
      <c r="AN46" s="61">
        <f>Data6[[#This Row],[Glucose (mmol/L)]]-Data6[[#This Row],[Gluconeogenesis (mmol/L)]]</f>
        <v>4.2080598197106598</v>
      </c>
      <c r="AO46" s="61" t="s">
        <v>535</v>
      </c>
    </row>
    <row r="47" spans="1:42" s="7" customFormat="1" x14ac:dyDescent="0.25">
      <c r="A47" s="7">
        <v>102</v>
      </c>
      <c r="B47" s="7" t="s">
        <v>92</v>
      </c>
      <c r="C47" s="7" t="s">
        <v>176</v>
      </c>
      <c r="G47" s="7" t="s">
        <v>227</v>
      </c>
      <c r="H47" s="7">
        <v>40</v>
      </c>
      <c r="I47" s="7" t="s">
        <v>146</v>
      </c>
      <c r="K47" s="7">
        <v>161</v>
      </c>
      <c r="L47" s="7">
        <v>70</v>
      </c>
      <c r="M47" s="8">
        <f>L47/((K47/100)*(K47/100))</f>
        <v>27.005130974885226</v>
      </c>
      <c r="N47" s="7">
        <v>82</v>
      </c>
      <c r="O47" s="7">
        <v>104</v>
      </c>
      <c r="P47" s="9">
        <f>Data6[[#This Row],[Waist_Circumference]]/Data6[[#This Row],[Hip_circumference]]</f>
        <v>0.78846153846153844</v>
      </c>
      <c r="Q47" s="10">
        <v>25460</v>
      </c>
      <c r="R47" s="10">
        <v>41810</v>
      </c>
      <c r="S47" s="10">
        <f>Q47+R47</f>
        <v>67270</v>
      </c>
      <c r="T47" s="9">
        <f>(Data6[[#This Row],[Total_fat_g]]/Data6[[#This Row],[Total_mass_g]])*100</f>
        <v>37.847480303255537</v>
      </c>
      <c r="U47" s="9">
        <f>(Data6[[#This Row],[Lean_mass_g]]/Data6[[#This Row],[Total_mass_g]])*100</f>
        <v>62.152519696744456</v>
      </c>
      <c r="V47" s="9">
        <v>246</v>
      </c>
      <c r="W47" s="9">
        <v>0.32</v>
      </c>
      <c r="X47" s="9">
        <v>4.66</v>
      </c>
      <c r="Y47" s="9">
        <v>9.4700000000000006</v>
      </c>
      <c r="Z47" s="21">
        <f>(Data6[[#This Row],[Glucose (mmol/L)]]*Data6[[#This Row],[Insulin (umol/L)]])/22.5</f>
        <v>1.9613422222222223</v>
      </c>
      <c r="AA47" s="9">
        <v>627.79999999999995</v>
      </c>
      <c r="AB47" s="9">
        <v>708.6</v>
      </c>
      <c r="AC47" s="9">
        <v>77.7</v>
      </c>
      <c r="AD47" s="9">
        <v>5.0999999999999996</v>
      </c>
      <c r="AE47" s="9">
        <v>1.96</v>
      </c>
      <c r="AF47" s="9">
        <f>Data6[[#This Row],[total_chol (umol/L)]]-Data6[[#This Row],[HDL_chol (umol/L)]]</f>
        <v>3.1399999999999997</v>
      </c>
      <c r="AG47" s="9">
        <f>Data6[[#This Row],[Non_HDL (umol/L)]]-(Data6[[#This Row],[TAG (umol/L)]]/2200)</f>
        <v>2.8179090909090907</v>
      </c>
      <c r="AH47" s="9">
        <v>118.81</v>
      </c>
      <c r="AI47" s="51">
        <v>3.234598271791797E-3</v>
      </c>
      <c r="AJ47" s="9">
        <v>1.0847127380694987</v>
      </c>
      <c r="AK47" s="23">
        <f>(Data6[[#This Row],[DNL (%)]]/100)*Data6[[#This Row],[VLDL (umol/L)]]</f>
        <v>1.2887472041003716</v>
      </c>
      <c r="AL47" s="9">
        <f>[4]SAMPLES!$L$251</f>
        <v>39.40980605079659</v>
      </c>
      <c r="AM47" s="57">
        <f>(Data6[[#This Row],[Gluconeogensis (%)]]/100)*Data6[[#This Row],[Glucose (mmol/L)]]</f>
        <v>1.8364969619671212</v>
      </c>
      <c r="AN47" s="61">
        <f>Data6[[#This Row],[Glucose (mmol/L)]]-Data6[[#This Row],[Gluconeogenesis (mmol/L)]]</f>
        <v>2.8235030380328787</v>
      </c>
      <c r="AO47" s="61" t="s">
        <v>535</v>
      </c>
    </row>
    <row r="48" spans="1:42" s="7" customFormat="1" x14ac:dyDescent="0.25">
      <c r="A48" s="33">
        <v>130</v>
      </c>
      <c r="B48" s="33" t="s">
        <v>218</v>
      </c>
      <c r="C48" s="33" t="s">
        <v>226</v>
      </c>
      <c r="D48" s="33" t="s">
        <v>386</v>
      </c>
      <c r="E48" s="33" t="s">
        <v>23</v>
      </c>
      <c r="F48" s="33"/>
      <c r="G48" s="33" t="s">
        <v>228</v>
      </c>
      <c r="H48" s="33">
        <v>46</v>
      </c>
      <c r="I48" s="33" t="s">
        <v>146</v>
      </c>
      <c r="J48" s="33"/>
      <c r="K48" s="33">
        <v>168</v>
      </c>
      <c r="L48" s="33">
        <v>83.8</v>
      </c>
      <c r="M48" s="34">
        <f>L48/((K48/100)*(K48/100))</f>
        <v>29.69104308390023</v>
      </c>
      <c r="N48" s="33">
        <v>93</v>
      </c>
      <c r="O48" s="33">
        <v>104</v>
      </c>
      <c r="P48" s="35">
        <f>Data6[[#This Row],[Waist_Circumference]]/Data6[[#This Row],[Hip_circumference]]</f>
        <v>0.89423076923076927</v>
      </c>
      <c r="Q48" s="36">
        <f>[50]Antropometrics!$J$16</f>
        <v>26475</v>
      </c>
      <c r="R48" s="36">
        <f>[50]Antropometrics!$J$17</f>
        <v>55044</v>
      </c>
      <c r="S48" s="36">
        <f>Q48+R48</f>
        <v>81519</v>
      </c>
      <c r="T48" s="35">
        <f>(Data6[[#This Row],[Total_fat_g]]/Data6[[#This Row],[Total_mass_g]])*100</f>
        <v>32.477091230265337</v>
      </c>
      <c r="U48" s="35">
        <f>(Data6[[#This Row],[Lean_mass_g]]/Data6[[#This Row],[Total_mass_g]])*100</f>
        <v>67.52290876973467</v>
      </c>
      <c r="V48" s="35">
        <v>1654</v>
      </c>
      <c r="W48" s="35">
        <v>2.0183945877534706</v>
      </c>
      <c r="X48" s="35">
        <f>[51]Glucose!$J$7</f>
        <v>5.4790000000000001</v>
      </c>
      <c r="Y48" s="35">
        <f>[51]Insulin!$J$7</f>
        <v>9.4811550000000011</v>
      </c>
      <c r="Z48" s="21">
        <f>(Data6[[#This Row],[Glucose (mmol/L)]]*Data6[[#This Row],[Insulin (umol/L)]])/22.5</f>
        <v>2.3087665886666668</v>
      </c>
      <c r="AA48" s="35">
        <f>[51]NEFA!$J$7</f>
        <v>289.89999999999998</v>
      </c>
      <c r="AB48" s="35">
        <f>[51]TAG!$J$7</f>
        <v>709.5</v>
      </c>
      <c r="AC48" s="35">
        <f>'[51]3OHB'!$J$7</f>
        <v>29.4</v>
      </c>
      <c r="AD48" s="35">
        <f>'[51]Chol, HDL'!$J$7</f>
        <v>4.24</v>
      </c>
      <c r="AE48" s="35">
        <f>'[51]Chol, HDL'!$J$24</f>
        <v>1.52</v>
      </c>
      <c r="AF48" s="35">
        <f>Data6[[#This Row],[total_chol (umol/L)]]-Data6[[#This Row],[HDL_chol (umol/L)]]</f>
        <v>2.72</v>
      </c>
      <c r="AG48" s="35">
        <f>Data6[[#This Row],[Non_HDL (umol/L)]]-(Data6[[#This Row],[TAG (umol/L)]]/2200)</f>
        <v>2.3975</v>
      </c>
      <c r="AH48" s="35">
        <v>379.21285875000001</v>
      </c>
      <c r="AI48" s="52">
        <f>[51]DNL!$J$5</f>
        <v>3.3054765626769648E-3</v>
      </c>
      <c r="AJ48" s="35">
        <f>[51]DNL!$J$49</f>
        <v>6.7925885724785671</v>
      </c>
      <c r="AK48" s="23">
        <f>(Data6[[#This Row],[DNL (%)]]/100)*Data6[[#This Row],[VLDL (umol/L)]]</f>
        <v>25.758369308821788</v>
      </c>
      <c r="AL48" s="66">
        <f>[4]SAMPLES!$L$153</f>
        <v>21.760920218443836</v>
      </c>
      <c r="AM48" s="58">
        <f>(Data6[[#This Row],[Gluconeogensis (%)]]/100)*Data6[[#This Row],[Glucose (mmol/L)]]</f>
        <v>1.1922808187685379</v>
      </c>
      <c r="AN48" s="61">
        <f>Data6[[#This Row],[Glucose (mmol/L)]]-Data6[[#This Row],[Gluconeogenesis (mmol/L)]]</f>
        <v>4.2867191812314624</v>
      </c>
      <c r="AO48" s="61" t="s">
        <v>535</v>
      </c>
      <c r="AP48" s="33"/>
    </row>
    <row r="49" spans="1:42" s="7" customFormat="1" x14ac:dyDescent="0.25">
      <c r="A49" s="7">
        <v>120</v>
      </c>
      <c r="B49" s="7" t="s">
        <v>207</v>
      </c>
      <c r="C49" s="7" t="s">
        <v>208</v>
      </c>
      <c r="G49" s="7" t="s">
        <v>227</v>
      </c>
      <c r="H49" s="7">
        <v>64</v>
      </c>
      <c r="K49" s="7">
        <v>163</v>
      </c>
      <c r="L49" s="7">
        <v>62.35</v>
      </c>
      <c r="M49" s="8">
        <f>L49/((K49/100)*(K49/100))</f>
        <v>23.467198614927174</v>
      </c>
      <c r="N49" s="7">
        <v>71</v>
      </c>
      <c r="O49" s="7">
        <v>92</v>
      </c>
      <c r="P49" s="9">
        <f>Data6[[#This Row],[Waist_Circumference]]/Data6[[#This Row],[Hip_circumference]]</f>
        <v>0.77173913043478259</v>
      </c>
      <c r="Q49" s="10">
        <v>20500</v>
      </c>
      <c r="R49" s="10">
        <v>38560</v>
      </c>
      <c r="S49" s="10">
        <f>Q49+R49</f>
        <v>59060</v>
      </c>
      <c r="T49" s="9">
        <f>(Data6[[#This Row],[Total_fat_g]]/Data6[[#This Row],[Total_mass_g]])*100</f>
        <v>34.71046393498137</v>
      </c>
      <c r="U49" s="9">
        <f>(Data6[[#This Row],[Lean_mass_g]]/Data6[[#This Row],[Total_mass_g]])*100</f>
        <v>65.289536065018623</v>
      </c>
      <c r="V49" s="9"/>
      <c r="W49" s="9">
        <v>0.73</v>
      </c>
      <c r="X49" s="9">
        <v>4.99</v>
      </c>
      <c r="Y49" s="9">
        <v>9.5299999999999994</v>
      </c>
      <c r="Z49" s="21">
        <f>(Data6[[#This Row],[Glucose (mmol/L)]]*Data6[[#This Row],[Insulin (umol/L)]])/22.5</f>
        <v>2.1135422222222222</v>
      </c>
      <c r="AA49" s="9">
        <v>367</v>
      </c>
      <c r="AB49" s="9">
        <v>841.8</v>
      </c>
      <c r="AC49" s="9">
        <v>38.5</v>
      </c>
      <c r="AD49" s="9">
        <v>5.4</v>
      </c>
      <c r="AE49" s="9">
        <v>1.78</v>
      </c>
      <c r="AF49" s="9">
        <f>Data6[[#This Row],[total_chol (umol/L)]]-Data6[[#This Row],[HDL_chol (umol/L)]]</f>
        <v>3.62</v>
      </c>
      <c r="AG49" s="9">
        <f>Data6[[#This Row],[Non_HDL (umol/L)]]-(Data6[[#This Row],[TAG (umol/L)]]/2200)</f>
        <v>3.2373636363636367</v>
      </c>
      <c r="AH49" s="9">
        <v>232.18</v>
      </c>
      <c r="AI49" s="51">
        <v>3.1415926324277334E-3</v>
      </c>
      <c r="AJ49" s="9">
        <v>2.2093542610918218</v>
      </c>
      <c r="AK49" s="23">
        <f>(Data6[[#This Row],[DNL (%)]]/100)*Data6[[#This Row],[VLDL (umol/L)]]</f>
        <v>5.1296787234029919</v>
      </c>
      <c r="AL49" s="9">
        <f>[4]SAMPLES!$L$268</f>
        <v>19.502109837585849</v>
      </c>
      <c r="AM49" s="57">
        <f>(Data6[[#This Row],[Gluconeogensis (%)]]/100)*Data6[[#This Row],[Glucose (mmol/L)]]</f>
        <v>0.97315528089553394</v>
      </c>
      <c r="AN49" s="61">
        <f>Data6[[#This Row],[Glucose (mmol/L)]]-Data6[[#This Row],[Gluconeogenesis (mmol/L)]]</f>
        <v>4.0168447191044665</v>
      </c>
      <c r="AO49" s="61" t="s">
        <v>535</v>
      </c>
    </row>
    <row r="50" spans="1:42" s="7" customFormat="1" x14ac:dyDescent="0.25">
      <c r="A50" s="7">
        <v>106</v>
      </c>
      <c r="B50" s="7" t="s">
        <v>181</v>
      </c>
      <c r="C50" s="7" t="s">
        <v>182</v>
      </c>
      <c r="G50" s="7" t="s">
        <v>227</v>
      </c>
      <c r="H50" s="7">
        <v>56</v>
      </c>
      <c r="K50" s="7">
        <v>164</v>
      </c>
      <c r="L50" s="7">
        <v>66</v>
      </c>
      <c r="M50" s="8">
        <f>L50/((K50/100)*(K50/100))</f>
        <v>24.538964901844146</v>
      </c>
      <c r="N50" s="7">
        <v>76</v>
      </c>
      <c r="O50" s="7">
        <v>99</v>
      </c>
      <c r="P50" s="9">
        <f>Data6[[#This Row],[Waist_Circumference]]/Data6[[#This Row],[Hip_circumference]]</f>
        <v>0.76767676767676762</v>
      </c>
      <c r="Q50" s="10">
        <v>24570</v>
      </c>
      <c r="R50" s="10">
        <v>37780</v>
      </c>
      <c r="S50" s="10">
        <f>Q50+R50</f>
        <v>62350</v>
      </c>
      <c r="T50" s="9">
        <f>(Data6[[#This Row],[Total_fat_g]]/Data6[[#This Row],[Total_mass_g]])*100</f>
        <v>39.406575781876505</v>
      </c>
      <c r="U50" s="9">
        <f>(Data6[[#This Row],[Lean_mass_g]]/Data6[[#This Row],[Total_mass_g]])*100</f>
        <v>60.593424218123495</v>
      </c>
      <c r="V50" s="9"/>
      <c r="W50" s="9">
        <v>0.44</v>
      </c>
      <c r="X50" s="9">
        <v>4.3499999999999996</v>
      </c>
      <c r="Y50" s="9">
        <v>9.66</v>
      </c>
      <c r="Z50" s="21">
        <f>(Data6[[#This Row],[Glucose (mmol/L)]]*Data6[[#This Row],[Insulin (umol/L)]])/22.5</f>
        <v>1.8675999999999997</v>
      </c>
      <c r="AA50" s="9">
        <v>654.99</v>
      </c>
      <c r="AB50" s="9">
        <v>1216.1600000000001</v>
      </c>
      <c r="AC50" s="9">
        <v>23.15</v>
      </c>
      <c r="AD50" s="9">
        <v>4.8</v>
      </c>
      <c r="AE50" s="9">
        <v>1.94</v>
      </c>
      <c r="AF50" s="9">
        <f>Data6[[#This Row],[total_chol (umol/L)]]-Data6[[#This Row],[HDL_chol (umol/L)]]</f>
        <v>2.86</v>
      </c>
      <c r="AG50" s="9">
        <f>Data6[[#This Row],[Non_HDL (umol/L)]]-(Data6[[#This Row],[TAG (umol/L)]]/2200)</f>
        <v>2.3071999999999999</v>
      </c>
      <c r="AH50" s="9">
        <v>387.93</v>
      </c>
      <c r="AI50" s="51">
        <v>3.3893435809498199E-3</v>
      </c>
      <c r="AJ50" s="9">
        <v>9.6092815184517271</v>
      </c>
      <c r="AK50" s="23">
        <f>(Data6[[#This Row],[DNL (%)]]/100)*Data6[[#This Row],[VLDL (umol/L)]]</f>
        <v>37.277285794529789</v>
      </c>
      <c r="AL50" s="9">
        <f>[4]SAMPLES!$L$255</f>
        <v>22.445805973665454</v>
      </c>
      <c r="AM50" s="57">
        <f>(Data6[[#This Row],[Gluconeogensis (%)]]/100)*Data6[[#This Row],[Glucose (mmol/L)]]</f>
        <v>0.97639255985444717</v>
      </c>
      <c r="AN50" s="61">
        <f>Data6[[#This Row],[Glucose (mmol/L)]]-Data6[[#This Row],[Gluconeogenesis (mmol/L)]]</f>
        <v>3.3736074401455527</v>
      </c>
      <c r="AO50" s="61" t="s">
        <v>535</v>
      </c>
    </row>
    <row r="51" spans="1:42" s="7" customFormat="1" x14ac:dyDescent="0.25">
      <c r="A51" s="15">
        <v>24</v>
      </c>
      <c r="B51" s="15" t="s">
        <v>55</v>
      </c>
      <c r="C51" s="15" t="s">
        <v>56</v>
      </c>
      <c r="D51" s="15" t="s">
        <v>386</v>
      </c>
      <c r="E51" s="15"/>
      <c r="F51" s="15">
        <v>4607</v>
      </c>
      <c r="G51" s="15" t="s">
        <v>228</v>
      </c>
      <c r="H51" s="15">
        <v>50</v>
      </c>
      <c r="I51" s="15" t="s">
        <v>229</v>
      </c>
      <c r="J51" s="15"/>
      <c r="K51" s="15">
        <v>172</v>
      </c>
      <c r="L51" s="15">
        <v>87.6</v>
      </c>
      <c r="M51" s="16">
        <f>L51/((K51/100)*(K51/100))</f>
        <v>29.610600324499732</v>
      </c>
      <c r="N51" s="15">
        <v>99</v>
      </c>
      <c r="O51" s="15">
        <v>103</v>
      </c>
      <c r="P51" s="17">
        <f>Data6[[#This Row],[Waist_Circumference]]/Data6[[#This Row],[Hip_circumference]]</f>
        <v>0.96116504854368934</v>
      </c>
      <c r="Q51" s="18">
        <f>'[1]Anthro data'!$Y$27</f>
        <v>27801</v>
      </c>
      <c r="R51" s="18">
        <f>'[1]Anthro data'!$Y$28</f>
        <v>57821</v>
      </c>
      <c r="S51" s="18">
        <f>Q51+R51</f>
        <v>85622</v>
      </c>
      <c r="T51" s="17">
        <f>(Data6[[#This Row],[Total_fat_g]]/Data6[[#This Row],[Total_mass_g]])*100</f>
        <v>32.469458783957393</v>
      </c>
      <c r="U51" s="17">
        <f>(Data6[[#This Row],[Lean_mass_g]]/Data6[[#This Row],[Total_mass_g]])*100</f>
        <v>67.530541216042607</v>
      </c>
      <c r="V51" s="17">
        <v>1865</v>
      </c>
      <c r="W51" s="17">
        <v>8</v>
      </c>
      <c r="X51" s="17">
        <f>[1]Glucose!$Y$3</f>
        <v>4.9690000000000003</v>
      </c>
      <c r="Y51" s="17">
        <f>'[1]Insulin+HOMA'!$Y$3</f>
        <v>9.68</v>
      </c>
      <c r="Z51" s="21">
        <f>(Data6[[#This Row],[Glucose (mmol/L)]]*Data6[[#This Row],[Insulin (umol/L)]])/22.5</f>
        <v>2.1377742222222222</v>
      </c>
      <c r="AA51" s="17">
        <f>[1]NEFA!$Y$3</f>
        <v>259.7</v>
      </c>
      <c r="AB51" s="17">
        <f>[1]TAG!$Y$3</f>
        <v>2337.4</v>
      </c>
      <c r="AC51" s="17">
        <f>'[1]3-OHB'!$Y$3</f>
        <v>36.200000000000003</v>
      </c>
      <c r="AD51" s="17">
        <f>'[27]Apo B, HDL, Cholesterol, ALT'!$F$4</f>
        <v>5.2</v>
      </c>
      <c r="AE51" s="17">
        <f>'[27]Apo B, HDL, Cholesterol, ALT'!$M$4</f>
        <v>0.87</v>
      </c>
      <c r="AF51" s="17">
        <f>Data6[[#This Row],[total_chol (umol/L)]]-Data6[[#This Row],[HDL_chol (umol/L)]]</f>
        <v>4.33</v>
      </c>
      <c r="AG51" s="17">
        <f>Data6[[#This Row],[Non_HDL (umol/L)]]-(Data6[[#This Row],[TAG (umol/L)]]/2200)</f>
        <v>3.2675454545454548</v>
      </c>
      <c r="AH51" s="17">
        <v>1313.2417649999998</v>
      </c>
      <c r="AI51" s="50">
        <f>'[28]plasma H2O'!$B$4</f>
        <v>3.1375758138001883E-3</v>
      </c>
      <c r="AJ51" s="17">
        <f>[1]DNL_160!$Y$5</f>
        <v>10.624493449667041</v>
      </c>
      <c r="AK51" s="23">
        <f>(Data6[[#This Row],[DNL (%)]]/100)*Data6[[#This Row],[VLDL (umol/L)]]</f>
        <v>139.5252853007168</v>
      </c>
      <c r="AL51" s="17"/>
      <c r="AM51" s="56"/>
      <c r="AN51" s="61"/>
      <c r="AO51" s="61" t="s">
        <v>535</v>
      </c>
      <c r="AP51" s="15" t="s">
        <v>412</v>
      </c>
    </row>
    <row r="52" spans="1:42" s="7" customFormat="1" x14ac:dyDescent="0.25">
      <c r="A52" s="23">
        <v>4</v>
      </c>
      <c r="B52" s="23" t="s">
        <v>35</v>
      </c>
      <c r="C52" s="23" t="s">
        <v>32</v>
      </c>
      <c r="D52" s="23"/>
      <c r="E52" s="23"/>
      <c r="F52" s="23"/>
      <c r="G52" s="23" t="s">
        <v>228</v>
      </c>
      <c r="H52" s="26">
        <v>58.9</v>
      </c>
      <c r="I52" s="23"/>
      <c r="J52" s="23"/>
      <c r="K52" s="23">
        <v>175</v>
      </c>
      <c r="L52" s="23">
        <v>83.6</v>
      </c>
      <c r="M52" s="24">
        <f>L52/((K52/100)*(K52/100))</f>
        <v>27.297959183673466</v>
      </c>
      <c r="N52" s="23">
        <v>95</v>
      </c>
      <c r="O52" s="23">
        <v>96</v>
      </c>
      <c r="P52" s="25">
        <f>Data6[[#This Row],[Waist_Circumference]]/Data6[[#This Row],[Hip_circumference]]</f>
        <v>0.98958333333333337</v>
      </c>
      <c r="Q52" s="26">
        <f>'[1]Anthro data'!$E$27</f>
        <v>24853</v>
      </c>
      <c r="R52" s="26">
        <f>'[1]Anthro data'!$E$28</f>
        <v>54773</v>
      </c>
      <c r="S52" s="26">
        <f>Q52+R52</f>
        <v>79626</v>
      </c>
      <c r="T52" s="25">
        <f>(Data6[[#This Row],[Total_fat_g]]/Data6[[#This Row],[Total_mass_g]])*100</f>
        <v>31.212166880164773</v>
      </c>
      <c r="U52" s="25">
        <f>(Data6[[#This Row],[Lean_mass_g]]/Data6[[#This Row],[Total_mass_g]])*100</f>
        <v>68.787833119835227</v>
      </c>
      <c r="V52" s="25">
        <v>1769</v>
      </c>
      <c r="W52" s="25">
        <v>10.64191239</v>
      </c>
      <c r="X52" s="25">
        <f>[1]Glucose!$E$3</f>
        <v>5.5039999999999996</v>
      </c>
      <c r="Y52" s="25">
        <f>'[1]Insulin+HOMA'!$E$3</f>
        <v>9.6959999999999997</v>
      </c>
      <c r="Z52" s="21">
        <f>(Data6[[#This Row],[Glucose (mmol/L)]]*Data6[[#This Row],[Insulin (umol/L)]])/22.5</f>
        <v>2.3718570666666663</v>
      </c>
      <c r="AA52" s="25">
        <f>[1]NEFA!$E$3</f>
        <v>516.4</v>
      </c>
      <c r="AB52" s="25">
        <f>[1]TAG!$E$3</f>
        <v>990.30000000000007</v>
      </c>
      <c r="AC52" s="25">
        <f>'[1]3-OHB'!$E$3</f>
        <v>153.9</v>
      </c>
      <c r="AD52" s="25">
        <f>'[7]Basal ApoB,Chol,HDL,ALT'!$F$2</f>
        <v>5.63</v>
      </c>
      <c r="AE52" s="25">
        <f>'[7]Basal ApoB,Chol,HDL,ALT'!$J$2</f>
        <v>0.67</v>
      </c>
      <c r="AF52" s="25">
        <f>Data6[[#This Row],[total_chol (umol/L)]]-Data6[[#This Row],[HDL_chol (umol/L)]]</f>
        <v>4.96</v>
      </c>
      <c r="AG52" s="25">
        <f>Data6[[#This Row],[Non_HDL (umol/L)]]-(Data6[[#This Row],[TAG (umol/L)]]/2200)</f>
        <v>4.5098636363636366</v>
      </c>
      <c r="AH52" s="25">
        <v>420.02024999999998</v>
      </c>
      <c r="AI52" s="49">
        <f>[3]MW4!$B$3</f>
        <v>3.1925766448501198E-3</v>
      </c>
      <c r="AJ52" s="25">
        <f>[1]DNL_160!$E$5</f>
        <v>3.9429750070550211</v>
      </c>
      <c r="AK52" s="23">
        <f>(Data6[[#This Row],[DNL (%)]]/100)*Data6[[#This Row],[VLDL (umol/L)]]</f>
        <v>16.561293482070017</v>
      </c>
      <c r="AL52" s="25">
        <f>[4]SAMPLES!$L$6</f>
        <v>45.096384416273651</v>
      </c>
      <c r="AM52" s="55">
        <f>(Data6[[#This Row],[Gluconeogensis (%)]]/100)*Data6[[#This Row],[Glucose (mmol/L)]]</f>
        <v>2.4821049982717014</v>
      </c>
      <c r="AN52" s="61">
        <f>Data6[[#This Row],[Glucose (mmol/L)]]-Data6[[#This Row],[Gluconeogenesis (mmol/L)]]</f>
        <v>3.0218950017282982</v>
      </c>
      <c r="AO52" s="61" t="s">
        <v>535</v>
      </c>
      <c r="AP52" s="23"/>
    </row>
    <row r="53" spans="1:42" s="7" customFormat="1" x14ac:dyDescent="0.25">
      <c r="A53" s="7">
        <v>117</v>
      </c>
      <c r="B53" s="7" t="s">
        <v>201</v>
      </c>
      <c r="C53" s="7" t="s">
        <v>202</v>
      </c>
      <c r="G53" s="7" t="s">
        <v>227</v>
      </c>
      <c r="H53" s="7">
        <v>57</v>
      </c>
      <c r="K53" s="7">
        <v>160</v>
      </c>
      <c r="L53" s="7">
        <v>67.099999999999994</v>
      </c>
      <c r="M53" s="8">
        <f>L53/((K53/100)*(K53/100))</f>
        <v>26.210937499999993</v>
      </c>
      <c r="N53" s="7">
        <v>80</v>
      </c>
      <c r="O53" s="7">
        <v>99</v>
      </c>
      <c r="P53" s="9">
        <f>Data6[[#This Row],[Waist_Circumference]]/Data6[[#This Row],[Hip_circumference]]</f>
        <v>0.80808080808080807</v>
      </c>
      <c r="Q53" s="10">
        <v>0</v>
      </c>
      <c r="R53" s="10">
        <v>0</v>
      </c>
      <c r="S53" s="10"/>
      <c r="T53" s="9"/>
      <c r="U53" s="9"/>
      <c r="V53" s="9"/>
      <c r="W53" s="9">
        <v>1.0900000000000001</v>
      </c>
      <c r="X53" s="9">
        <v>5.92</v>
      </c>
      <c r="Y53" s="9">
        <v>9.75</v>
      </c>
      <c r="Z53" s="21">
        <f>(Data6[[#This Row],[Glucose (mmol/L)]]*Data6[[#This Row],[Insulin (umol/L)]])/22.5</f>
        <v>2.5653333333333332</v>
      </c>
      <c r="AA53" s="9">
        <v>930.15</v>
      </c>
      <c r="AB53" s="9">
        <v>1054.7</v>
      </c>
      <c r="AC53" s="9">
        <v>36.85</v>
      </c>
      <c r="AD53" s="9">
        <v>5</v>
      </c>
      <c r="AE53" s="9">
        <v>2.12</v>
      </c>
      <c r="AF53" s="9">
        <f>Data6[[#This Row],[total_chol (umol/L)]]-Data6[[#This Row],[HDL_chol (umol/L)]]</f>
        <v>2.88</v>
      </c>
      <c r="AG53" s="9">
        <f>Data6[[#This Row],[Non_HDL (umol/L)]]-(Data6[[#This Row],[TAG (umol/L)]]/2200)</f>
        <v>2.400590909090909</v>
      </c>
      <c r="AH53" s="9">
        <v>268.33</v>
      </c>
      <c r="AI53" s="51">
        <v>3.1646888971030226E-3</v>
      </c>
      <c r="AJ53" s="9">
        <v>0.77242569551241613</v>
      </c>
      <c r="AK53" s="23">
        <f>(Data6[[#This Row],[DNL (%)]]/100)*Data6[[#This Row],[VLDL (umol/L)]]</f>
        <v>2.0726498687684662</v>
      </c>
      <c r="AL53" s="9">
        <f>[4]SAMPLES!$L$265</f>
        <v>24.190846533975698</v>
      </c>
      <c r="AM53" s="57">
        <f>(Data6[[#This Row],[Gluconeogensis (%)]]/100)*Data6[[#This Row],[Glucose (mmol/L)]]</f>
        <v>1.4320981148113614</v>
      </c>
      <c r="AN53" s="61">
        <f>Data6[[#This Row],[Glucose (mmol/L)]]-Data6[[#This Row],[Gluconeogenesis (mmol/L)]]</f>
        <v>4.4879018851886388</v>
      </c>
      <c r="AO53" s="61" t="s">
        <v>535</v>
      </c>
    </row>
    <row r="54" spans="1:42" s="7" customFormat="1" x14ac:dyDescent="0.25">
      <c r="A54" s="33">
        <v>132</v>
      </c>
      <c r="B54" s="33" t="s">
        <v>220</v>
      </c>
      <c r="C54" s="33" t="s">
        <v>226</v>
      </c>
      <c r="D54" s="33" t="s">
        <v>386</v>
      </c>
      <c r="E54" s="33" t="s">
        <v>23</v>
      </c>
      <c r="F54" s="33"/>
      <c r="G54" s="33" t="s">
        <v>228</v>
      </c>
      <c r="H54" s="33">
        <v>39</v>
      </c>
      <c r="I54" s="33" t="s">
        <v>146</v>
      </c>
      <c r="J54" s="33"/>
      <c r="K54" s="33">
        <v>185</v>
      </c>
      <c r="L54" s="33">
        <v>94.1</v>
      </c>
      <c r="M54" s="34">
        <f>L54/((K54/100)*(K54/100))</f>
        <v>27.494521548575598</v>
      </c>
      <c r="N54" s="33">
        <v>97</v>
      </c>
      <c r="O54" s="33">
        <v>105</v>
      </c>
      <c r="P54" s="35">
        <f>Data6[[#This Row],[Waist_Circumference]]/Data6[[#This Row],[Hip_circumference]]</f>
        <v>0.92380952380952386</v>
      </c>
      <c r="Q54" s="36">
        <f>[50]Antropometrics!$L$16</f>
        <v>24940</v>
      </c>
      <c r="R54" s="36">
        <f>[50]Antropometrics!$L$17</f>
        <v>65043</v>
      </c>
      <c r="S54" s="36">
        <f>Q54+R54</f>
        <v>89983</v>
      </c>
      <c r="T54" s="35">
        <f>(Data6[[#This Row],[Total_fat_g]]/Data6[[#This Row],[Total_mass_g]])*100</f>
        <v>27.716346420990632</v>
      </c>
      <c r="U54" s="35">
        <f>(Data6[[#This Row],[Lean_mass_g]]/Data6[[#This Row],[Total_mass_g]])*100</f>
        <v>72.283653579009368</v>
      </c>
      <c r="V54" s="35">
        <v>599</v>
      </c>
      <c r="W54" s="35">
        <v>1.29</v>
      </c>
      <c r="X54" s="35">
        <f>[51]Glucose!$L$7</f>
        <v>5.1150000000000002</v>
      </c>
      <c r="Y54" s="35">
        <f>[51]Insulin!$L$7</f>
        <v>9.7899999999999991</v>
      </c>
      <c r="Z54" s="21">
        <f>(Data6[[#This Row],[Glucose (mmol/L)]]*Data6[[#This Row],[Insulin (umol/L)]])/22.5</f>
        <v>2.2255933333333333</v>
      </c>
      <c r="AA54" s="35">
        <f>[51]NEFA!$L$7</f>
        <v>193.3</v>
      </c>
      <c r="AB54" s="35">
        <f>[51]TAG!$L$7</f>
        <v>697.6</v>
      </c>
      <c r="AC54" s="35">
        <f>'[51]3OHB'!$L$7</f>
        <v>37.1</v>
      </c>
      <c r="AD54" s="35">
        <f>'[51]Chol, HDL'!$L$7</f>
        <v>4.43</v>
      </c>
      <c r="AE54" s="35">
        <f>'[51]Chol, HDL'!$L$24</f>
        <v>1.51</v>
      </c>
      <c r="AF54" s="35">
        <f>Data6[[#This Row],[total_chol (umol/L)]]-Data6[[#This Row],[HDL_chol (umol/L)]]</f>
        <v>2.92</v>
      </c>
      <c r="AG54" s="35">
        <f>Data6[[#This Row],[Non_HDL (umol/L)]]-(Data6[[#This Row],[TAG (umol/L)]]/2200)</f>
        <v>2.6029090909090908</v>
      </c>
      <c r="AH54" s="35">
        <v>353.15072625000005</v>
      </c>
      <c r="AI54" s="52">
        <f>[51]DNL!$L$5</f>
        <v>3.021503609406671E-3</v>
      </c>
      <c r="AJ54" s="35">
        <f>[51]DNL!$L$49</f>
        <v>3.7413301809285961</v>
      </c>
      <c r="AK54" s="23">
        <f>(Data6[[#This Row],[DNL (%)]]/100)*Data6[[#This Row],[VLDL (umol/L)]]</f>
        <v>13.212534705359777</v>
      </c>
      <c r="AL54" s="35">
        <f>[4]SAMPLES!$L$155</f>
        <v>33.253834408927347</v>
      </c>
      <c r="AM54" s="58">
        <f>(Data6[[#This Row],[Gluconeogensis (%)]]/100)*Data6[[#This Row],[Glucose (mmol/L)]]</f>
        <v>1.7009336300166338</v>
      </c>
      <c r="AN54" s="61">
        <f>Data6[[#This Row],[Glucose (mmol/L)]]-Data6[[#This Row],[Gluconeogenesis (mmol/L)]]</f>
        <v>3.4140663699833667</v>
      </c>
      <c r="AO54" s="61" t="s">
        <v>535</v>
      </c>
      <c r="AP54" s="33"/>
    </row>
    <row r="55" spans="1:42" s="7" customFormat="1" x14ac:dyDescent="0.25">
      <c r="A55" s="7">
        <v>84</v>
      </c>
      <c r="B55" s="7" t="s">
        <v>141</v>
      </c>
      <c r="C55" s="7" t="s">
        <v>142</v>
      </c>
      <c r="G55" s="7" t="s">
        <v>227</v>
      </c>
      <c r="H55" s="7">
        <v>40</v>
      </c>
      <c r="I55" s="7" t="s">
        <v>229</v>
      </c>
      <c r="K55" s="7">
        <v>164</v>
      </c>
      <c r="L55" s="7">
        <v>74.099999999999994</v>
      </c>
      <c r="M55" s="8">
        <f>L55/((K55/100)*(K55/100))</f>
        <v>27.55056513979774</v>
      </c>
      <c r="N55" s="7">
        <v>76</v>
      </c>
      <c r="O55" s="7">
        <v>101</v>
      </c>
      <c r="P55" s="9">
        <f>Data6[[#This Row],[Waist_Circumference]]/Data6[[#This Row],[Hip_circumference]]</f>
        <v>0.75247524752475248</v>
      </c>
      <c r="Q55" s="10">
        <v>25210</v>
      </c>
      <c r="R55" s="10">
        <v>47800</v>
      </c>
      <c r="S55" s="10">
        <f>Q55+R55</f>
        <v>73010</v>
      </c>
      <c r="T55" s="9">
        <f>(Data6[[#This Row],[Total_fat_g]]/Data6[[#This Row],[Total_mass_g]])*100</f>
        <v>34.529516504588415</v>
      </c>
      <c r="U55" s="9">
        <f>(Data6[[#This Row],[Lean_mass_g]]/Data6[[#This Row],[Total_mass_g]])*100</f>
        <v>65.470483495411585</v>
      </c>
      <c r="V55" s="9">
        <v>162</v>
      </c>
      <c r="W55" s="9">
        <v>0.49</v>
      </c>
      <c r="X55" s="9">
        <v>4.8600000000000003</v>
      </c>
      <c r="Y55" s="9">
        <v>9.82</v>
      </c>
      <c r="Z55" s="21">
        <f>(Data6[[#This Row],[Glucose (mmol/L)]]*Data6[[#This Row],[Insulin (umol/L)]])/22.5</f>
        <v>2.1211200000000003</v>
      </c>
      <c r="AA55" s="9">
        <v>432.73</v>
      </c>
      <c r="AB55" s="9">
        <v>1060.3</v>
      </c>
      <c r="AC55" s="9">
        <v>28.9</v>
      </c>
      <c r="AD55" s="9">
        <v>5.8</v>
      </c>
      <c r="AE55" s="9">
        <v>1.64</v>
      </c>
      <c r="AF55" s="9">
        <f>Data6[[#This Row],[total_chol (umol/L)]]-Data6[[#This Row],[HDL_chol (umol/L)]]</f>
        <v>4.16</v>
      </c>
      <c r="AG55" s="9">
        <f>Data6[[#This Row],[Non_HDL (umol/L)]]-(Data6[[#This Row],[TAG (umol/L)]]/2200)</f>
        <v>3.6780454545454546</v>
      </c>
      <c r="AH55" s="9">
        <v>356.74</v>
      </c>
      <c r="AI55" s="51">
        <v>4.9118152711567758E-3</v>
      </c>
      <c r="AJ55" s="9">
        <v>11.290030750990647</v>
      </c>
      <c r="AK55" s="23">
        <f>(Data6[[#This Row],[DNL (%)]]/100)*Data6[[#This Row],[VLDL (umol/L)]]</f>
        <v>40.276055701084033</v>
      </c>
      <c r="AL55" s="9">
        <f>[4]SAMPLES!$L$67</f>
        <v>12.160992436128595</v>
      </c>
      <c r="AM55" s="57">
        <f>(Data6[[#This Row],[Gluconeogensis (%)]]/100)*Data6[[#This Row],[Glucose (mmol/L)]]</f>
        <v>0.59102423239584978</v>
      </c>
      <c r="AN55" s="61">
        <f>Data6[[#This Row],[Glucose (mmol/L)]]-Data6[[#This Row],[Gluconeogenesis (mmol/L)]]</f>
        <v>4.2689757676041502</v>
      </c>
      <c r="AO55" s="61" t="s">
        <v>535</v>
      </c>
    </row>
    <row r="56" spans="1:42" s="7" customFormat="1" x14ac:dyDescent="0.25">
      <c r="A56" s="33">
        <v>124</v>
      </c>
      <c r="B56" s="33" t="s">
        <v>212</v>
      </c>
      <c r="C56" s="33" t="s">
        <v>226</v>
      </c>
      <c r="D56" s="33" t="s">
        <v>386</v>
      </c>
      <c r="E56" s="33" t="s">
        <v>407</v>
      </c>
      <c r="F56" s="33"/>
      <c r="G56" s="33" t="s">
        <v>227</v>
      </c>
      <c r="H56" s="33">
        <v>47</v>
      </c>
      <c r="I56" s="33" t="s">
        <v>229</v>
      </c>
      <c r="J56" s="33"/>
      <c r="K56" s="33">
        <v>161</v>
      </c>
      <c r="L56" s="33">
        <v>76.099999999999994</v>
      </c>
      <c r="M56" s="34">
        <f>L56/((K56/100)*(K56/100))</f>
        <v>29.358435245553792</v>
      </c>
      <c r="N56" s="33">
        <v>85</v>
      </c>
      <c r="O56" s="33">
        <v>107</v>
      </c>
      <c r="P56" s="35">
        <f>Data6[[#This Row],[Waist_Circumference]]/Data6[[#This Row],[Hip_circumference]]</f>
        <v>0.79439252336448596</v>
      </c>
      <c r="Q56" s="36">
        <f>[50]Antropometrics!$D$16</f>
        <v>31362</v>
      </c>
      <c r="R56" s="36">
        <f>[50]Antropometrics!$D$17</f>
        <v>40457</v>
      </c>
      <c r="S56" s="36">
        <f>Q56+R56</f>
        <v>71819</v>
      </c>
      <c r="T56" s="35">
        <f>(Data6[[#This Row],[Total_fat_g]]/Data6[[#This Row],[Total_mass_g]])*100</f>
        <v>43.668110110137988</v>
      </c>
      <c r="U56" s="35">
        <f>(Data6[[#This Row],[Lean_mass_g]]/Data6[[#This Row],[Total_mass_g]])*100</f>
        <v>56.331889889862019</v>
      </c>
      <c r="V56" s="35">
        <v>531</v>
      </c>
      <c r="W56" s="35">
        <v>2.3898663610464301</v>
      </c>
      <c r="X56" s="35">
        <f>[51]Glucose!$D$24</f>
        <v>5.3529999999999998</v>
      </c>
      <c r="Y56" s="35">
        <f>[51]Insulin!$D$24</f>
        <v>9.8264999999999993</v>
      </c>
      <c r="Z56" s="21">
        <f>(Data6[[#This Row],[Glucose (mmol/L)]]*Data6[[#This Row],[Insulin (umol/L)]])/22.5</f>
        <v>2.3378335333333333</v>
      </c>
      <c r="AA56" s="35">
        <f>[51]NEFA!$D$24</f>
        <v>614.29999999999995</v>
      </c>
      <c r="AB56" s="35">
        <f>[51]TAG!$D$24</f>
        <v>1150.3</v>
      </c>
      <c r="AC56" s="35">
        <f>'[51]3OHB'!$D$24</f>
        <v>38.4</v>
      </c>
      <c r="AD56" s="35">
        <f>'[51]Chol, HDL'!$D$14</f>
        <v>5.26</v>
      </c>
      <c r="AE56" s="35">
        <f>'[51]Chol, HDL'!$D$31</f>
        <v>1.41</v>
      </c>
      <c r="AF56" s="35">
        <f>Data6[[#This Row],[total_chol (umol/L)]]-Data6[[#This Row],[HDL_chol (umol/L)]]</f>
        <v>3.8499999999999996</v>
      </c>
      <c r="AG56" s="35">
        <f>Data6[[#This Row],[Non_HDL (umol/L)]]-(Data6[[#This Row],[TAG (umol/L)]]/2200)</f>
        <v>3.3271363636363631</v>
      </c>
      <c r="AH56" s="35">
        <v>585.14341500000012</v>
      </c>
      <c r="AI56" s="52">
        <f>[51]DNL!$D$15</f>
        <v>3.6028606389225154E-3</v>
      </c>
      <c r="AJ56" s="35">
        <f>[51]DNL!$D$61</f>
        <v>8.8918959137957145</v>
      </c>
      <c r="AK56" s="23">
        <f>(Data6[[#This Row],[DNL (%)]]/100)*Data6[[#This Row],[VLDL (umol/L)]]</f>
        <v>52.030343408229712</v>
      </c>
      <c r="AL56" s="66">
        <f>[4]SAMPLES!$L$147</f>
        <v>28.50227298687107</v>
      </c>
      <c r="AM56" s="58">
        <f>(Data6[[#This Row],[Gluconeogensis (%)]]/100)*Data6[[#This Row],[Glucose (mmol/L)]]</f>
        <v>1.5257266729872083</v>
      </c>
      <c r="AN56" s="61">
        <f>Data6[[#This Row],[Glucose (mmol/L)]]-Data6[[#This Row],[Gluconeogenesis (mmol/L)]]</f>
        <v>3.8272733270127914</v>
      </c>
      <c r="AO56" s="61" t="s">
        <v>535</v>
      </c>
      <c r="AP56" s="33"/>
    </row>
    <row r="57" spans="1:42" s="7" customFormat="1" x14ac:dyDescent="0.25">
      <c r="A57" s="7">
        <v>68</v>
      </c>
      <c r="B57" s="7" t="s">
        <v>113</v>
      </c>
      <c r="C57" s="7" t="s">
        <v>114</v>
      </c>
      <c r="G57" s="7" t="s">
        <v>227</v>
      </c>
      <c r="H57" s="7">
        <v>56</v>
      </c>
      <c r="I57" s="7" t="s">
        <v>229</v>
      </c>
      <c r="K57" s="7">
        <v>157</v>
      </c>
      <c r="L57" s="7">
        <v>65.3</v>
      </c>
      <c r="M57" s="8">
        <f>L57/((K57/100)*(K57/100))</f>
        <v>26.491946934966933</v>
      </c>
      <c r="N57" s="7">
        <v>86</v>
      </c>
      <c r="O57" s="7">
        <v>101</v>
      </c>
      <c r="P57" s="9">
        <f>Data6[[#This Row],[Waist_Circumference]]/Data6[[#This Row],[Hip_circumference]]</f>
        <v>0.85148514851485146</v>
      </c>
      <c r="Q57" s="10">
        <v>23460</v>
      </c>
      <c r="R57" s="10">
        <v>38390</v>
      </c>
      <c r="S57" s="10">
        <f>Q57+R57</f>
        <v>61850</v>
      </c>
      <c r="T57" s="9">
        <f>(Data6[[#This Row],[Total_fat_g]]/Data6[[#This Row],[Total_mass_g]])*100</f>
        <v>37.930476960388035</v>
      </c>
      <c r="U57" s="9">
        <f>(Data6[[#This Row],[Lean_mass_g]]/Data6[[#This Row],[Total_mass_g]])*100</f>
        <v>62.069523039611965</v>
      </c>
      <c r="V57" s="9"/>
      <c r="W57" s="9">
        <v>0.46</v>
      </c>
      <c r="X57" s="9">
        <v>4.78</v>
      </c>
      <c r="Y57" s="9">
        <v>9.93</v>
      </c>
      <c r="Z57" s="21">
        <f>(Data6[[#This Row],[Glucose (mmol/L)]]*Data6[[#This Row],[Insulin (umol/L)]])/22.5</f>
        <v>2.1095733333333335</v>
      </c>
      <c r="AA57" s="9">
        <v>702.04</v>
      </c>
      <c r="AB57" s="9">
        <v>664.55</v>
      </c>
      <c r="AC57" s="9">
        <v>77.55</v>
      </c>
      <c r="AD57" s="9">
        <v>5.4</v>
      </c>
      <c r="AE57" s="9">
        <v>1.63</v>
      </c>
      <c r="AF57" s="9">
        <f>Data6[[#This Row],[total_chol (umol/L)]]-Data6[[#This Row],[HDL_chol (umol/L)]]</f>
        <v>3.7700000000000005</v>
      </c>
      <c r="AG57" s="9">
        <f>Data6[[#This Row],[Non_HDL (umol/L)]]-(Data6[[#This Row],[TAG (umol/L)]]/2200)</f>
        <v>3.4679318181818188</v>
      </c>
      <c r="AH57" s="9">
        <v>162.26</v>
      </c>
      <c r="AI57" s="51">
        <v>5.4769570922502502E-3</v>
      </c>
      <c r="AJ57" s="9">
        <v>11.257818962018103</v>
      </c>
      <c r="AK57" s="23">
        <f>(Data6[[#This Row],[DNL (%)]]/100)*Data6[[#This Row],[VLDL (umol/L)]]</f>
        <v>18.266937047770572</v>
      </c>
      <c r="AL57" s="9">
        <f>[4]SAMPLES!$L$29</f>
        <v>59.717984556117507</v>
      </c>
      <c r="AM57" s="57">
        <f>(Data6[[#This Row],[Gluconeogensis (%)]]/100)*Data6[[#This Row],[Glucose (mmol/L)]]</f>
        <v>2.8545196617824171</v>
      </c>
      <c r="AN57" s="61">
        <f>Data6[[#This Row],[Glucose (mmol/L)]]-Data6[[#This Row],[Gluconeogenesis (mmol/L)]]</f>
        <v>1.9254803382175831</v>
      </c>
      <c r="AO57" s="61" t="s">
        <v>535</v>
      </c>
    </row>
    <row r="58" spans="1:42" s="33" customFormat="1" x14ac:dyDescent="0.25">
      <c r="A58" s="7">
        <v>88</v>
      </c>
      <c r="B58" s="7" t="s">
        <v>148</v>
      </c>
      <c r="C58" s="7" t="s">
        <v>149</v>
      </c>
      <c r="D58" s="7"/>
      <c r="E58" s="7"/>
      <c r="F58" s="7"/>
      <c r="G58" s="7" t="s">
        <v>227</v>
      </c>
      <c r="H58" s="7">
        <v>38</v>
      </c>
      <c r="I58" s="7" t="s">
        <v>146</v>
      </c>
      <c r="J58" s="7"/>
      <c r="K58" s="7">
        <v>161.5</v>
      </c>
      <c r="L58" s="7">
        <v>63</v>
      </c>
      <c r="M58" s="8">
        <f>L58/((K58/100)*(K58/100))</f>
        <v>24.154357848728541</v>
      </c>
      <c r="N58" s="7">
        <v>83</v>
      </c>
      <c r="O58" s="7">
        <v>92</v>
      </c>
      <c r="P58" s="9">
        <f>Data6[[#This Row],[Waist_Circumference]]/Data6[[#This Row],[Hip_circumference]]</f>
        <v>0.90217391304347827</v>
      </c>
      <c r="Q58" s="10">
        <v>14490</v>
      </c>
      <c r="R58" s="10">
        <v>45680</v>
      </c>
      <c r="S58" s="10">
        <f>Q58+R58</f>
        <v>60170</v>
      </c>
      <c r="T58" s="9">
        <f>(Data6[[#This Row],[Total_fat_g]]/Data6[[#This Row],[Total_mass_g]])*100</f>
        <v>24.081768323084592</v>
      </c>
      <c r="U58" s="9">
        <f>(Data6[[#This Row],[Lean_mass_g]]/Data6[[#This Row],[Total_mass_g]])*100</f>
        <v>75.918231676915411</v>
      </c>
      <c r="V58" s="9"/>
      <c r="W58" s="9">
        <v>0.56000000000000005</v>
      </c>
      <c r="X58" s="9">
        <v>6.16</v>
      </c>
      <c r="Y58" s="9">
        <v>9.94</v>
      </c>
      <c r="Z58" s="21">
        <f>(Data6[[#This Row],[Glucose (mmol/L)]]*Data6[[#This Row],[Insulin (umol/L)]])/22.5</f>
        <v>2.7213511111111108</v>
      </c>
      <c r="AA58" s="9">
        <v>131.93</v>
      </c>
      <c r="AB58" s="9">
        <v>672.65</v>
      </c>
      <c r="AC58" s="9">
        <v>33.85</v>
      </c>
      <c r="AD58" s="9">
        <v>4.7</v>
      </c>
      <c r="AE58" s="9">
        <v>1.67</v>
      </c>
      <c r="AF58" s="9">
        <f>Data6[[#This Row],[total_chol (umol/L)]]-Data6[[#This Row],[HDL_chol (umol/L)]]</f>
        <v>3.0300000000000002</v>
      </c>
      <c r="AG58" s="9">
        <f>Data6[[#This Row],[Non_HDL (umol/L)]]-(Data6[[#This Row],[TAG (umol/L)]]/2200)</f>
        <v>2.7242500000000005</v>
      </c>
      <c r="AH58" s="9">
        <v>96.77</v>
      </c>
      <c r="AI58" s="51">
        <v>4.2385500191714567E-3</v>
      </c>
      <c r="AJ58" s="9">
        <v>4.7883012949371446</v>
      </c>
      <c r="AK58" s="23">
        <f>(Data6[[#This Row],[DNL (%)]]/100)*Data6[[#This Row],[VLDL (umol/L)]]</f>
        <v>4.6336391631106748</v>
      </c>
      <c r="AL58" s="9">
        <f>[4]SAMPLES!$L$71</f>
        <v>13.534691800456248</v>
      </c>
      <c r="AM58" s="57">
        <f>(Data6[[#This Row],[Gluconeogensis (%)]]/100)*Data6[[#This Row],[Glucose (mmol/L)]]</f>
        <v>0.83373701490810481</v>
      </c>
      <c r="AN58" s="61">
        <f>Data6[[#This Row],[Glucose (mmol/L)]]-Data6[[#This Row],[Gluconeogenesis (mmol/L)]]</f>
        <v>5.326262985091895</v>
      </c>
      <c r="AO58" s="61" t="s">
        <v>535</v>
      </c>
      <c r="AP58" s="7"/>
    </row>
    <row r="59" spans="1:42" s="33" customFormat="1" x14ac:dyDescent="0.25">
      <c r="A59" s="7">
        <v>74</v>
      </c>
      <c r="B59" s="7" t="s">
        <v>123</v>
      </c>
      <c r="C59" s="7" t="s">
        <v>124</v>
      </c>
      <c r="D59" s="7"/>
      <c r="E59" s="7"/>
      <c r="F59" s="7"/>
      <c r="G59" s="7" t="s">
        <v>227</v>
      </c>
      <c r="H59" s="7">
        <v>57</v>
      </c>
      <c r="I59" s="7" t="s">
        <v>146</v>
      </c>
      <c r="J59" s="7"/>
      <c r="K59" s="7">
        <v>169</v>
      </c>
      <c r="L59" s="7">
        <v>85.1</v>
      </c>
      <c r="M59" s="8">
        <f>L59/((K59/100)*(K59/100))</f>
        <v>29.795875494555514</v>
      </c>
      <c r="N59" s="7">
        <v>95</v>
      </c>
      <c r="O59" s="7">
        <v>109</v>
      </c>
      <c r="P59" s="9">
        <f>Data6[[#This Row],[Waist_Circumference]]/Data6[[#This Row],[Hip_circumference]]</f>
        <v>0.87155963302752293</v>
      </c>
      <c r="Q59" s="10">
        <v>34140</v>
      </c>
      <c r="R59" s="10">
        <v>43630</v>
      </c>
      <c r="S59" s="10">
        <f>Q59+R59</f>
        <v>77770</v>
      </c>
      <c r="T59" s="9">
        <f>(Data6[[#This Row],[Total_fat_g]]/Data6[[#This Row],[Total_mass_g]])*100</f>
        <v>43.898675581843897</v>
      </c>
      <c r="U59" s="9">
        <f>(Data6[[#This Row],[Lean_mass_g]]/Data6[[#This Row],[Total_mass_g]])*100</f>
        <v>56.101324418156103</v>
      </c>
      <c r="V59" s="9"/>
      <c r="W59" s="9">
        <v>5.37</v>
      </c>
      <c r="X59" s="9">
        <v>5.05</v>
      </c>
      <c r="Y59" s="9">
        <v>10.06</v>
      </c>
      <c r="Z59" s="21">
        <f>(Data6[[#This Row],[Glucose (mmol/L)]]*Data6[[#This Row],[Insulin (umol/L)]])/22.5</f>
        <v>2.257911111111111</v>
      </c>
      <c r="AA59" s="9">
        <v>986.81</v>
      </c>
      <c r="AB59" s="9">
        <v>1370.1</v>
      </c>
      <c r="AC59" s="9">
        <v>177.25</v>
      </c>
      <c r="AD59" s="9">
        <v>6.3</v>
      </c>
      <c r="AE59" s="9">
        <v>1.52</v>
      </c>
      <c r="AF59" s="9">
        <f>Data6[[#This Row],[total_chol (umol/L)]]-Data6[[#This Row],[HDL_chol (umol/L)]]</f>
        <v>4.7799999999999994</v>
      </c>
      <c r="AG59" s="9">
        <f>Data6[[#This Row],[Non_HDL (umol/L)]]-(Data6[[#This Row],[TAG (umol/L)]]/2200)</f>
        <v>4.1572272727272725</v>
      </c>
      <c r="AH59" s="9">
        <v>482.99</v>
      </c>
      <c r="AI59" s="51">
        <v>5.343762457156751E-3</v>
      </c>
      <c r="AJ59" s="9">
        <v>0.9553927959092392</v>
      </c>
      <c r="AK59" s="23">
        <f>(Data6[[#This Row],[DNL (%)]]/100)*Data6[[#This Row],[VLDL (umol/L)]]</f>
        <v>4.6144516649620346</v>
      </c>
      <c r="AL59" s="9">
        <f>[4]SAMPLES!$L$35</f>
        <v>27.650864034437824</v>
      </c>
      <c r="AM59" s="57">
        <f>(Data6[[#This Row],[Gluconeogensis (%)]]/100)*Data6[[#This Row],[Glucose (mmol/L)]]</f>
        <v>1.3963686337391099</v>
      </c>
      <c r="AN59" s="61">
        <f>Data6[[#This Row],[Glucose (mmol/L)]]-Data6[[#This Row],[Gluconeogenesis (mmol/L)]]</f>
        <v>3.6536313662608899</v>
      </c>
      <c r="AO59" s="61" t="s">
        <v>535</v>
      </c>
      <c r="AP59" s="7"/>
    </row>
    <row r="60" spans="1:42" s="33" customFormat="1" x14ac:dyDescent="0.25">
      <c r="A60" s="7">
        <v>111</v>
      </c>
      <c r="B60" s="7" t="s">
        <v>190</v>
      </c>
      <c r="C60" s="7" t="s">
        <v>191</v>
      </c>
      <c r="D60" s="7"/>
      <c r="E60" s="7"/>
      <c r="F60" s="7"/>
      <c r="G60" s="7" t="s">
        <v>227</v>
      </c>
      <c r="H60" s="7">
        <v>55</v>
      </c>
      <c r="I60" s="7" t="s">
        <v>229</v>
      </c>
      <c r="J60" s="7"/>
      <c r="K60" s="7">
        <v>174</v>
      </c>
      <c r="L60" s="7">
        <v>73.3</v>
      </c>
      <c r="M60" s="8">
        <f>L60/((K60/100)*(K60/100))</f>
        <v>24.210595851499537</v>
      </c>
      <c r="N60" s="7">
        <v>84</v>
      </c>
      <c r="O60" s="7">
        <v>103</v>
      </c>
      <c r="P60" s="9">
        <f>Data6[[#This Row],[Waist_Circumference]]/Data6[[#This Row],[Hip_circumference]]</f>
        <v>0.81553398058252424</v>
      </c>
      <c r="Q60" s="10">
        <v>27430</v>
      </c>
      <c r="R60" s="10">
        <v>43000</v>
      </c>
      <c r="S60" s="10">
        <f>Q60+R60</f>
        <v>70430</v>
      </c>
      <c r="T60" s="9">
        <f>(Data6[[#This Row],[Total_fat_g]]/Data6[[#This Row],[Total_mass_g]])*100</f>
        <v>38.946471674002559</v>
      </c>
      <c r="U60" s="9">
        <f>(Data6[[#This Row],[Lean_mass_g]]/Data6[[#This Row],[Total_mass_g]])*100</f>
        <v>61.053528325997441</v>
      </c>
      <c r="V60" s="9"/>
      <c r="W60" s="9">
        <v>0.67</v>
      </c>
      <c r="X60" s="9">
        <v>5.28</v>
      </c>
      <c r="Y60" s="9">
        <v>10.18</v>
      </c>
      <c r="Z60" s="21">
        <f>(Data6[[#This Row],[Glucose (mmol/L)]]*Data6[[#This Row],[Insulin (umol/L)]])/22.5</f>
        <v>2.3889066666666667</v>
      </c>
      <c r="AA60" s="9">
        <v>257</v>
      </c>
      <c r="AB60" s="9">
        <v>863.65</v>
      </c>
      <c r="AC60" s="9">
        <v>41.15</v>
      </c>
      <c r="AD60" s="9">
        <v>6.6</v>
      </c>
      <c r="AE60" s="9">
        <v>1.98</v>
      </c>
      <c r="AF60" s="9">
        <f>Data6[[#This Row],[total_chol (umol/L)]]-Data6[[#This Row],[HDL_chol (umol/L)]]</f>
        <v>4.6199999999999992</v>
      </c>
      <c r="AG60" s="9">
        <f>Data6[[#This Row],[Non_HDL (umol/L)]]-(Data6[[#This Row],[TAG (umol/L)]]/2200)</f>
        <v>4.2274318181818176</v>
      </c>
      <c r="AH60" s="9">
        <v>202.12</v>
      </c>
      <c r="AI60" s="51">
        <v>3.8364966859803706E-3</v>
      </c>
      <c r="AJ60" s="9">
        <v>4.1503424097478483</v>
      </c>
      <c r="AK60" s="23">
        <f>(Data6[[#This Row],[DNL (%)]]/100)*Data6[[#This Row],[VLDL (umol/L)]]</f>
        <v>8.388672078582351</v>
      </c>
      <c r="AL60" s="9">
        <f>[4]SAMPLES!$L$259</f>
        <v>26.548360750548632</v>
      </c>
      <c r="AM60" s="57">
        <f>(Data6[[#This Row],[Gluconeogensis (%)]]/100)*Data6[[#This Row],[Glucose (mmol/L)]]</f>
        <v>1.4017534476289679</v>
      </c>
      <c r="AN60" s="61">
        <f>Data6[[#This Row],[Glucose (mmol/L)]]-Data6[[#This Row],[Gluconeogenesis (mmol/L)]]</f>
        <v>3.8782465523710323</v>
      </c>
      <c r="AO60" s="61" t="s">
        <v>535</v>
      </c>
      <c r="AP60" s="7"/>
    </row>
    <row r="61" spans="1:42" s="33" customFormat="1" x14ac:dyDescent="0.25">
      <c r="A61" s="7">
        <v>91</v>
      </c>
      <c r="B61" s="7" t="s">
        <v>154</v>
      </c>
      <c r="C61" s="7" t="s">
        <v>155</v>
      </c>
      <c r="D61" s="7"/>
      <c r="E61" s="7"/>
      <c r="F61" s="7"/>
      <c r="G61" s="7" t="s">
        <v>227</v>
      </c>
      <c r="H61" s="7">
        <v>42</v>
      </c>
      <c r="I61" s="7"/>
      <c r="J61" s="7"/>
      <c r="K61" s="7">
        <v>163</v>
      </c>
      <c r="L61" s="7">
        <v>55.9</v>
      </c>
      <c r="M61" s="8">
        <f>L61/((K61/100)*(K61/100))</f>
        <v>21.039557378900223</v>
      </c>
      <c r="N61" s="7">
        <v>77</v>
      </c>
      <c r="O61" s="7">
        <v>89</v>
      </c>
      <c r="P61" s="9">
        <f>Data6[[#This Row],[Waist_Circumference]]/Data6[[#This Row],[Hip_circumference]]</f>
        <v>0.8651685393258427</v>
      </c>
      <c r="Q61" s="10">
        <v>13220</v>
      </c>
      <c r="R61" s="10">
        <v>39190</v>
      </c>
      <c r="S61" s="10">
        <f>Q61+R61</f>
        <v>52410</v>
      </c>
      <c r="T61" s="9">
        <f>(Data6[[#This Row],[Total_fat_g]]/Data6[[#This Row],[Total_mass_g]])*100</f>
        <v>25.224193856134324</v>
      </c>
      <c r="U61" s="9">
        <f>(Data6[[#This Row],[Lean_mass_g]]/Data6[[#This Row],[Total_mass_g]])*100</f>
        <v>74.77580614386568</v>
      </c>
      <c r="V61" s="9"/>
      <c r="W61" s="9">
        <v>0.27</v>
      </c>
      <c r="X61" s="9">
        <v>4.88</v>
      </c>
      <c r="Y61" s="9">
        <v>10.210000000000001</v>
      </c>
      <c r="Z61" s="21">
        <f>(Data6[[#This Row],[Glucose (mmol/L)]]*Data6[[#This Row],[Insulin (umol/L)]])/22.5</f>
        <v>2.2144355555555557</v>
      </c>
      <c r="AA61" s="9">
        <v>710.56</v>
      </c>
      <c r="AB61" s="9">
        <v>610.75</v>
      </c>
      <c r="AC61" s="9">
        <v>69.599999999999994</v>
      </c>
      <c r="AD61" s="9">
        <v>5.6</v>
      </c>
      <c r="AE61" s="9">
        <v>2.61</v>
      </c>
      <c r="AF61" s="9">
        <f>Data6[[#This Row],[total_chol (umol/L)]]-Data6[[#This Row],[HDL_chol (umol/L)]]</f>
        <v>2.9899999999999998</v>
      </c>
      <c r="AG61" s="9">
        <f>Data6[[#This Row],[Non_HDL (umol/L)]]-(Data6[[#This Row],[TAG (umol/L)]]/2200)</f>
        <v>2.7123863636363632</v>
      </c>
      <c r="AH61" s="9">
        <v>75.209999999999994</v>
      </c>
      <c r="AI61" s="51">
        <v>4.0487797281077188E-3</v>
      </c>
      <c r="AJ61" s="9">
        <v>3.362404793011295</v>
      </c>
      <c r="AK61" s="23">
        <f>(Data6[[#This Row],[DNL (%)]]/100)*Data6[[#This Row],[VLDL (umol/L)]]</f>
        <v>2.5288646448237948</v>
      </c>
      <c r="AL61" s="9">
        <f>[4]SAMPLES!$L$240</f>
        <v>24.717424485795167</v>
      </c>
      <c r="AM61" s="57">
        <f>(Data6[[#This Row],[Gluconeogensis (%)]]/100)*Data6[[#This Row],[Glucose (mmol/L)]]</f>
        <v>1.2062103149068042</v>
      </c>
      <c r="AN61" s="61">
        <f>Data6[[#This Row],[Glucose (mmol/L)]]-Data6[[#This Row],[Gluconeogenesis (mmol/L)]]</f>
        <v>3.6737896850931957</v>
      </c>
      <c r="AO61" s="61" t="s">
        <v>535</v>
      </c>
      <c r="AP61" s="7"/>
    </row>
    <row r="62" spans="1:42" s="33" customFormat="1" x14ac:dyDescent="0.25">
      <c r="A62" s="15">
        <v>32</v>
      </c>
      <c r="B62" s="15" t="s">
        <v>71</v>
      </c>
      <c r="C62" s="15" t="s">
        <v>72</v>
      </c>
      <c r="D62" s="15" t="s">
        <v>386</v>
      </c>
      <c r="E62" s="15"/>
      <c r="F62" s="15">
        <v>4514</v>
      </c>
      <c r="G62" s="15" t="s">
        <v>228</v>
      </c>
      <c r="H62" s="15">
        <v>45</v>
      </c>
      <c r="I62" s="15" t="s">
        <v>229</v>
      </c>
      <c r="J62" s="15"/>
      <c r="K62" s="15">
        <v>174</v>
      </c>
      <c r="L62" s="15">
        <v>80.900000000000006</v>
      </c>
      <c r="M62" s="16">
        <f>L62/((K62/100)*(K62/100))</f>
        <v>26.720834984806448</v>
      </c>
      <c r="N62" s="15">
        <v>88</v>
      </c>
      <c r="O62" s="15">
        <v>99</v>
      </c>
      <c r="P62" s="17">
        <f>Data6[[#This Row],[Waist_Circumference]]/Data6[[#This Row],[Hip_circumference]]</f>
        <v>0.88888888888888884</v>
      </c>
      <c r="Q62" s="18">
        <f>'[1]Anthro data'!$AG$27</f>
        <v>21533.601827184</v>
      </c>
      <c r="R62" s="18">
        <f>'[1]Anthro data'!$AG$28</f>
        <v>54974.172077575</v>
      </c>
      <c r="S62" s="18">
        <f>Q62+R62</f>
        <v>76507.773904759</v>
      </c>
      <c r="T62" s="17">
        <f>(Data6[[#This Row],[Total_fat_g]]/Data6[[#This Row],[Total_mass_g]])*100</f>
        <v>28.145638969956423</v>
      </c>
      <c r="U62" s="17">
        <f>(Data6[[#This Row],[Lean_mass_g]]/Data6[[#This Row],[Total_mass_g]])*100</f>
        <v>71.854361030043577</v>
      </c>
      <c r="V62" s="17">
        <v>1161.7770029999999</v>
      </c>
      <c r="W62" s="17">
        <v>6.5</v>
      </c>
      <c r="X62" s="17">
        <f>[1]Glucose!$AG$3</f>
        <v>5.0999999999999996</v>
      </c>
      <c r="Y62" s="17">
        <f>'[1]Insulin+HOMA'!$AG$3</f>
        <v>10.216000000000001</v>
      </c>
      <c r="Z62" s="21">
        <f>(Data6[[#This Row],[Glucose (mmol/L)]]*Data6[[#This Row],[Insulin (umol/L)]])/22.5</f>
        <v>2.3156266666666667</v>
      </c>
      <c r="AA62" s="17">
        <f>[1]NEFA!$AG$3</f>
        <v>362.8</v>
      </c>
      <c r="AB62" s="17">
        <f>[1]TAG!$AG$3</f>
        <v>1400.8</v>
      </c>
      <c r="AC62" s="17">
        <f>'[1]3-OHB'!$AG$3</f>
        <v>44.3</v>
      </c>
      <c r="AD62" s="17">
        <f>'[36]Apo B, HDL, Cholesterol, ALT'!$F$6</f>
        <v>6.64</v>
      </c>
      <c r="AE62" s="17">
        <f>'[36]Apo B, HDL, Cholesterol, ALT'!$M$6</f>
        <v>1.23</v>
      </c>
      <c r="AF62" s="17">
        <f>Data6[[#This Row],[total_chol (umol/L)]]-Data6[[#This Row],[HDL_chol (umol/L)]]</f>
        <v>5.41</v>
      </c>
      <c r="AG62" s="17">
        <f>Data6[[#This Row],[Non_HDL (umol/L)]]-(Data6[[#This Row],[TAG (umol/L)]]/2200)</f>
        <v>4.7732727272727278</v>
      </c>
      <c r="AH62" s="17">
        <v>1125.5231700000002</v>
      </c>
      <c r="AI62" s="50">
        <f>'[28]plasma H2O'!$K$4</f>
        <v>3.069720843640435E-3</v>
      </c>
      <c r="AJ62" s="17">
        <f>[1]DNL_160!$AG$5</f>
        <v>11.574391529586288</v>
      </c>
      <c r="AK62" s="23">
        <f>(Data6[[#This Row],[DNL (%)]]/100)*Data6[[#This Row],[VLDL (umol/L)]]</f>
        <v>130.27245845201111</v>
      </c>
      <c r="AL62" s="17">
        <f>[4]SAMPLES!$L$51</f>
        <v>48.20074451215681</v>
      </c>
      <c r="AM62" s="56">
        <f>(Data6[[#This Row],[Gluconeogensis (%)]]/100)*Data6[[#This Row],[Glucose (mmol/L)]]</f>
        <v>2.4582379701199972</v>
      </c>
      <c r="AN62" s="61">
        <f>Data6[[#This Row],[Glucose (mmol/L)]]-Data6[[#This Row],[Gluconeogenesis (mmol/L)]]</f>
        <v>2.6417620298800024</v>
      </c>
      <c r="AO62" s="61" t="s">
        <v>535</v>
      </c>
      <c r="AP62" s="15"/>
    </row>
    <row r="63" spans="1:42" s="33" customFormat="1" x14ac:dyDescent="0.25">
      <c r="A63" s="23">
        <v>15</v>
      </c>
      <c r="B63" s="23" t="s">
        <v>46</v>
      </c>
      <c r="C63" s="23" t="s">
        <v>32</v>
      </c>
      <c r="D63" s="23"/>
      <c r="E63" s="23"/>
      <c r="F63" s="23">
        <v>4514</v>
      </c>
      <c r="G63" s="23" t="s">
        <v>228</v>
      </c>
      <c r="H63" s="26">
        <v>44</v>
      </c>
      <c r="I63" s="23" t="s">
        <v>229</v>
      </c>
      <c r="J63" s="23"/>
      <c r="K63" s="23">
        <v>174</v>
      </c>
      <c r="L63" s="23">
        <v>82.1</v>
      </c>
      <c r="M63" s="24">
        <f>L63/((K63/100)*(K63/100))</f>
        <v>27.117188532170694</v>
      </c>
      <c r="N63" s="23">
        <v>93</v>
      </c>
      <c r="O63" s="23">
        <v>100</v>
      </c>
      <c r="P63" s="25">
        <f>Data6[[#This Row],[Waist_Circumference]]/Data6[[#This Row],[Hip_circumference]]</f>
        <v>0.93</v>
      </c>
      <c r="Q63" s="26">
        <f>'[1]Anthro data'!$P$27</f>
        <v>22191</v>
      </c>
      <c r="R63" s="26">
        <f>'[1]Anthro data'!$P$28</f>
        <v>55044</v>
      </c>
      <c r="S63" s="26">
        <f>Q63+R63</f>
        <v>77235</v>
      </c>
      <c r="T63" s="25">
        <f>(Data6[[#This Row],[Total_fat_g]]/Data6[[#This Row],[Total_mass_g]])*100</f>
        <v>28.731792581083702</v>
      </c>
      <c r="U63" s="25">
        <f>(Data6[[#This Row],[Lean_mass_g]]/Data6[[#This Row],[Total_mass_g]])*100</f>
        <v>71.26820741891629</v>
      </c>
      <c r="V63" s="25">
        <v>977</v>
      </c>
      <c r="W63" s="25">
        <v>4.1340254840000004</v>
      </c>
      <c r="X63" s="25">
        <f>[1]Glucose!$P$3</f>
        <v>5.266</v>
      </c>
      <c r="Y63" s="25">
        <f>'[1]Insulin+HOMA'!$P$3</f>
        <v>10.282</v>
      </c>
      <c r="Z63" s="21">
        <f>(Data6[[#This Row],[Glucose (mmol/L)]]*Data6[[#This Row],[Insulin (umol/L)]])/22.5</f>
        <v>2.4064449777777779</v>
      </c>
      <c r="AA63" s="25">
        <f>[1]NEFA!$P$3</f>
        <v>414.8</v>
      </c>
      <c r="AB63" s="25">
        <f>[1]TAG!$P$3</f>
        <v>1332.8999999999999</v>
      </c>
      <c r="AC63" s="25">
        <f>'[1]3-OHB'!$P$3</f>
        <v>52.7</v>
      </c>
      <c r="AD63" s="25">
        <f>'[18]Basal ApoB,Chol,HDL,ALT'!$F$2</f>
        <v>6.11</v>
      </c>
      <c r="AE63" s="25">
        <f>'[18]Basal ApoB,Chol,HDL,ALT'!$J$2</f>
        <v>1.04</v>
      </c>
      <c r="AF63" s="25">
        <f>Data6[[#This Row],[total_chol (umol/L)]]-Data6[[#This Row],[HDL_chol (umol/L)]]</f>
        <v>5.07</v>
      </c>
      <c r="AG63" s="25">
        <f>Data6[[#This Row],[Non_HDL (umol/L)]]-(Data6[[#This Row],[TAG (umol/L)]]/2200)</f>
        <v>4.4641363636363636</v>
      </c>
      <c r="AH63" s="25">
        <v>999.96092999999973</v>
      </c>
      <c r="AI63" s="49">
        <f>[3]MJ15!$B$3</f>
        <v>3.3365763146757316E-3</v>
      </c>
      <c r="AJ63" s="25">
        <f>[1]DNL_160!$P$5</f>
        <v>1.8988804401714372</v>
      </c>
      <c r="AK63" s="23">
        <f>(Data6[[#This Row],[DNL (%)]]/100)*Data6[[#This Row],[VLDL (umol/L)]]</f>
        <v>18.98806250912639</v>
      </c>
      <c r="AL63" s="25">
        <f>[4]SAMPLES!$L$17</f>
        <v>33.971234064737253</v>
      </c>
      <c r="AM63" s="55">
        <f>(Data6[[#This Row],[Gluconeogensis (%)]]/100)*Data6[[#This Row],[Glucose (mmol/L)]]</f>
        <v>1.7889251858490638</v>
      </c>
      <c r="AN63" s="61">
        <f>Data6[[#This Row],[Glucose (mmol/L)]]-Data6[[#This Row],[Gluconeogenesis (mmol/L)]]</f>
        <v>3.477074814150936</v>
      </c>
      <c r="AO63" s="61" t="s">
        <v>535</v>
      </c>
      <c r="AP63" s="23"/>
    </row>
    <row r="64" spans="1:42" s="33" customFormat="1" x14ac:dyDescent="0.25">
      <c r="A64" s="11">
        <v>184</v>
      </c>
      <c r="B64" s="11" t="s">
        <v>294</v>
      </c>
      <c r="C64" s="11" t="s">
        <v>233</v>
      </c>
      <c r="D64" s="11">
        <v>1</v>
      </c>
      <c r="E64" s="11"/>
      <c r="F64" s="11" t="s">
        <v>398</v>
      </c>
      <c r="G64" s="11" t="s">
        <v>228</v>
      </c>
      <c r="H64" s="11">
        <f>[63]Characteristics!$J$8</f>
        <v>45</v>
      </c>
      <c r="I64" s="11"/>
      <c r="J64" s="11"/>
      <c r="K64" s="11">
        <f>'[63]Anthro, DXA, Liver fat'!$J$6</f>
        <v>180</v>
      </c>
      <c r="L64" s="11">
        <f>'[63]Anthro, DXA, Liver fat'!$J$5</f>
        <v>80.2</v>
      </c>
      <c r="M64" s="12">
        <f>L64/((K64/100)*(K64/100))</f>
        <v>24.753086419753085</v>
      </c>
      <c r="N64" s="11">
        <f>'[63]Anthro, DXA, Liver fat'!$J$8</f>
        <v>90</v>
      </c>
      <c r="O64" s="11"/>
      <c r="P64" s="13" t="e">
        <f>Data6[[#This Row],[Waist_Circumference]]/Data6[[#This Row],[Hip_circumference]]</f>
        <v>#DIV/0!</v>
      </c>
      <c r="Q64" s="14">
        <f>'[63]Anthro, DXA, Liver fat'!$J$19</f>
        <v>21692.878159070999</v>
      </c>
      <c r="R64" s="14">
        <f>'[63]Anthro, DXA, Liver fat'!$J$20</f>
        <v>54920.472689157999</v>
      </c>
      <c r="S64" s="14">
        <f>Q64+R64</f>
        <v>76613.350848228991</v>
      </c>
      <c r="T64" s="13">
        <f>(Data6[[#This Row],[Total_fat_g]]/Data6[[#This Row],[Total_mass_g]])*100</f>
        <v>28.314749216549188</v>
      </c>
      <c r="U64" s="13">
        <f>(Data6[[#This Row],[Lean_mass_g]]/Data6[[#This Row],[Total_mass_g]])*100</f>
        <v>71.685250783450826</v>
      </c>
      <c r="V64" s="13">
        <f>'[63]Anthro, DXA, Liver fat'!$J$27</f>
        <v>1127.3825293934999</v>
      </c>
      <c r="W64" s="13">
        <f>'[64]IHTG Corrected'!$D$18</f>
        <v>1.7130874565484364</v>
      </c>
      <c r="X64" s="13">
        <f>[63]Glucose!$J$7</f>
        <v>4.83</v>
      </c>
      <c r="Y64" s="13">
        <f>[73]Insulin!$I$3</f>
        <v>10.323499999999999</v>
      </c>
      <c r="Z64" s="21">
        <f>(Data6[[#This Row],[Glucose (mmol/L)]]*Data6[[#This Row],[Insulin (umol/L)]])/22.5</f>
        <v>2.2161113333333331</v>
      </c>
      <c r="AA64" s="13">
        <f>[63]NEFA!$J$7</f>
        <v>339.9</v>
      </c>
      <c r="AB64" s="13">
        <f>[63]TAG!$J$7</f>
        <v>1153</v>
      </c>
      <c r="AC64" s="13">
        <f>'[63]3-OHB'!$J$7</f>
        <v>106.7</v>
      </c>
      <c r="AD64" s="13">
        <f>'[63]Apo B, Cholesterol, HDL, ALT'!$J$17</f>
        <v>3.95</v>
      </c>
      <c r="AE64" s="13">
        <f>'[63]Apo B, Cholesterol, HDL, ALT'!$J$27</f>
        <v>0.73</v>
      </c>
      <c r="AF64" s="13">
        <f>Data6[[#This Row],[total_chol (umol/L)]]-Data6[[#This Row],[HDL_chol (umol/L)]]</f>
        <v>3.22</v>
      </c>
      <c r="AG64" s="13">
        <f>Data6[[#This Row],[Non_HDL (umol/L)]]-(Data6[[#This Row],[TAG (umol/L)]]/2200)</f>
        <v>2.6959090909090913</v>
      </c>
      <c r="AH64" s="13">
        <f>[66]Data!$AQ$163</f>
        <v>271.96287354444547</v>
      </c>
      <c r="AI64" s="53">
        <f>'[63]DNL_Bounds Visit A'!$J$16</f>
        <v>3.1165525573768667E-3</v>
      </c>
      <c r="AJ64" s="13">
        <f>'[63]DNL_Bounds Visit A'!$J$24</f>
        <v>10.434802176977733</v>
      </c>
      <c r="AK64" s="23">
        <f>(Data6[[#This Row],[DNL (%)]]/100)*Data6[[#This Row],[VLDL (umol/L)]]</f>
        <v>28.378787849186999</v>
      </c>
      <c r="AL64" s="13">
        <f>[4]SAMPLES!$L$118</f>
        <v>32.205762588276841</v>
      </c>
      <c r="AM64" s="60">
        <f>(Data6[[#This Row],[Gluconeogensis (%)]]/100)*Data6[[#This Row],[Glucose (mmol/L)]]</f>
        <v>1.5555383330137715</v>
      </c>
      <c r="AN64" s="61">
        <f>Data6[[#This Row],[Glucose (mmol/L)]]-Data6[[#This Row],[Gluconeogenesis (mmol/L)]]</f>
        <v>3.2744616669862285</v>
      </c>
      <c r="AO64" s="61" t="s">
        <v>535</v>
      </c>
      <c r="AP64" s="11"/>
    </row>
    <row r="65" spans="1:42" s="33" customFormat="1" x14ac:dyDescent="0.25">
      <c r="A65" s="7">
        <v>112</v>
      </c>
      <c r="B65" s="7" t="s">
        <v>192</v>
      </c>
      <c r="C65" s="7" t="s">
        <v>193</v>
      </c>
      <c r="D65" s="7"/>
      <c r="E65" s="7"/>
      <c r="F65" s="7"/>
      <c r="G65" s="7" t="s">
        <v>227</v>
      </c>
      <c r="H65" s="7">
        <v>35</v>
      </c>
      <c r="I65" s="7" t="s">
        <v>146</v>
      </c>
      <c r="J65" s="7"/>
      <c r="K65" s="7">
        <v>170</v>
      </c>
      <c r="L65" s="7">
        <v>72.599999999999994</v>
      </c>
      <c r="M65" s="8">
        <f>L65/((K65/100)*(K65/100))</f>
        <v>25.121107266435988</v>
      </c>
      <c r="N65" s="7">
        <v>85</v>
      </c>
      <c r="O65" s="7">
        <v>99</v>
      </c>
      <c r="P65" s="9">
        <f>Data6[[#This Row],[Waist_Circumference]]/Data6[[#This Row],[Hip_circumference]]</f>
        <v>0.85858585858585856</v>
      </c>
      <c r="Q65" s="10">
        <v>26790</v>
      </c>
      <c r="R65" s="10">
        <v>41570</v>
      </c>
      <c r="S65" s="10">
        <f>Q65+R65</f>
        <v>68360</v>
      </c>
      <c r="T65" s="9">
        <f>(Data6[[#This Row],[Total_fat_g]]/Data6[[#This Row],[Total_mass_g]])*100</f>
        <v>39.189584552369809</v>
      </c>
      <c r="U65" s="9">
        <f>(Data6[[#This Row],[Lean_mass_g]]/Data6[[#This Row],[Total_mass_g]])*100</f>
        <v>60.810415447630191</v>
      </c>
      <c r="V65" s="9">
        <v>779</v>
      </c>
      <c r="W65" s="9">
        <v>0.85</v>
      </c>
      <c r="X65" s="9">
        <v>5.66</v>
      </c>
      <c r="Y65" s="9">
        <v>10.35</v>
      </c>
      <c r="Z65" s="21">
        <f>(Data6[[#This Row],[Glucose (mmol/L)]]*Data6[[#This Row],[Insulin (umol/L)]])/22.5</f>
        <v>2.6035999999999997</v>
      </c>
      <c r="AA65" s="9">
        <v>362.45</v>
      </c>
      <c r="AB65" s="9">
        <v>669.45</v>
      </c>
      <c r="AC65" s="9">
        <v>44.15</v>
      </c>
      <c r="AD65" s="9">
        <v>5.13</v>
      </c>
      <c r="AE65" s="9">
        <v>1.34</v>
      </c>
      <c r="AF65" s="9">
        <f>Data6[[#This Row],[total_chol (umol/L)]]-Data6[[#This Row],[HDL_chol (umol/L)]]</f>
        <v>3.79</v>
      </c>
      <c r="AG65" s="9">
        <f>Data6[[#This Row],[Non_HDL (umol/L)]]-(Data6[[#This Row],[TAG (umol/L)]]/2200)</f>
        <v>3.4857045454545457</v>
      </c>
      <c r="AH65" s="9">
        <v>244.64</v>
      </c>
      <c r="AI65" s="51">
        <v>3.8057372602212786E-3</v>
      </c>
      <c r="AJ65" s="9">
        <v>5.1800167478377528</v>
      </c>
      <c r="AK65" s="23">
        <f>(Data6[[#This Row],[DNL (%)]]/100)*Data6[[#This Row],[VLDL (umol/L)]]</f>
        <v>12.672392971910277</v>
      </c>
      <c r="AL65" s="9">
        <f>[4]SAMPLES!$L$260</f>
        <v>24.985600512308487</v>
      </c>
      <c r="AM65" s="57">
        <f>(Data6[[#This Row],[Gluconeogensis (%)]]/100)*Data6[[#This Row],[Glucose (mmol/L)]]</f>
        <v>1.4141849889966605</v>
      </c>
      <c r="AN65" s="61">
        <f>Data6[[#This Row],[Glucose (mmol/L)]]-Data6[[#This Row],[Gluconeogenesis (mmol/L)]]</f>
        <v>4.2458150110033399</v>
      </c>
      <c r="AO65" s="61" t="s">
        <v>535</v>
      </c>
      <c r="AP65" s="7"/>
    </row>
    <row r="66" spans="1:42" s="33" customFormat="1" x14ac:dyDescent="0.25">
      <c r="A66" s="7">
        <v>71</v>
      </c>
      <c r="B66" s="7" t="s">
        <v>101</v>
      </c>
      <c r="C66" s="7" t="s">
        <v>119</v>
      </c>
      <c r="D66" s="7"/>
      <c r="E66" s="7"/>
      <c r="F66" s="7"/>
      <c r="G66" s="7" t="s">
        <v>227</v>
      </c>
      <c r="H66" s="7">
        <v>59</v>
      </c>
      <c r="I66" s="7" t="s">
        <v>230</v>
      </c>
      <c r="J66" s="7"/>
      <c r="K66" s="7">
        <v>150.5</v>
      </c>
      <c r="L66" s="7">
        <v>58.8</v>
      </c>
      <c r="M66" s="8">
        <f>L66/((K66/100)*(K66/100))</f>
        <v>25.959978366684698</v>
      </c>
      <c r="N66" s="7">
        <v>76</v>
      </c>
      <c r="O66" s="7">
        <v>98</v>
      </c>
      <c r="P66" s="9">
        <f>Data6[[#This Row],[Waist_Circumference]]/Data6[[#This Row],[Hip_circumference]]</f>
        <v>0.77551020408163263</v>
      </c>
      <c r="Q66" s="10">
        <v>21620</v>
      </c>
      <c r="R66" s="10">
        <v>34880</v>
      </c>
      <c r="S66" s="10">
        <f>Q66+R66</f>
        <v>56500</v>
      </c>
      <c r="T66" s="9">
        <f>(Data6[[#This Row],[Total_fat_g]]/Data6[[#This Row],[Total_mass_g]])*100</f>
        <v>38.265486725663713</v>
      </c>
      <c r="U66" s="9">
        <f>(Data6[[#This Row],[Lean_mass_g]]/Data6[[#This Row],[Total_mass_g]])*100</f>
        <v>61.73451327433628</v>
      </c>
      <c r="V66" s="9"/>
      <c r="W66" s="9">
        <v>1.63</v>
      </c>
      <c r="X66" s="9">
        <v>4.5</v>
      </c>
      <c r="Y66" s="9">
        <v>10.38</v>
      </c>
      <c r="Z66" s="21">
        <f>(Data6[[#This Row],[Glucose (mmol/L)]]*Data6[[#This Row],[Insulin (umol/L)]])/22.5</f>
        <v>2.0760000000000001</v>
      </c>
      <c r="AA66" s="9">
        <v>708.23</v>
      </c>
      <c r="AB66" s="9">
        <v>545.1</v>
      </c>
      <c r="AC66" s="9">
        <v>55.7</v>
      </c>
      <c r="AD66" s="9">
        <v>5.4</v>
      </c>
      <c r="AE66" s="9">
        <v>1.96</v>
      </c>
      <c r="AF66" s="9">
        <f>Data6[[#This Row],[total_chol (umol/L)]]-Data6[[#This Row],[HDL_chol (umol/L)]]</f>
        <v>3.4400000000000004</v>
      </c>
      <c r="AG66" s="9">
        <f>Data6[[#This Row],[Non_HDL (umol/L)]]-(Data6[[#This Row],[TAG (umol/L)]]/2200)</f>
        <v>3.1922272727272731</v>
      </c>
      <c r="AH66" s="9">
        <v>82.36</v>
      </c>
      <c r="AI66" s="51">
        <v>5.0014823504457833E-3</v>
      </c>
      <c r="AJ66" s="9">
        <v>3.2961069686543563</v>
      </c>
      <c r="AK66" s="23">
        <f>(Data6[[#This Row],[DNL (%)]]/100)*Data6[[#This Row],[VLDL (umol/L)]]</f>
        <v>2.7146736993837277</v>
      </c>
      <c r="AL66" s="9">
        <f>[4]SAMPLES!$L$32</f>
        <v>38.826755464470445</v>
      </c>
      <c r="AM66" s="57">
        <f>(Data6[[#This Row],[Gluconeogensis (%)]]/100)*Data6[[#This Row],[Glucose (mmol/L)]]</f>
        <v>1.74720399590117</v>
      </c>
      <c r="AN66" s="61">
        <f>Data6[[#This Row],[Glucose (mmol/L)]]-Data6[[#This Row],[Gluconeogenesis (mmol/L)]]</f>
        <v>2.7527960040988297</v>
      </c>
      <c r="AO66" s="61" t="s">
        <v>535</v>
      </c>
      <c r="AP66" s="7"/>
    </row>
    <row r="67" spans="1:42" s="33" customFormat="1" x14ac:dyDescent="0.25">
      <c r="A67" s="7">
        <v>105</v>
      </c>
      <c r="B67" s="7" t="s">
        <v>96</v>
      </c>
      <c r="C67" s="7" t="s">
        <v>180</v>
      </c>
      <c r="D67" s="7"/>
      <c r="E67" s="7"/>
      <c r="F67" s="7"/>
      <c r="G67" s="7" t="s">
        <v>227</v>
      </c>
      <c r="H67" s="7">
        <v>60</v>
      </c>
      <c r="I67" s="7"/>
      <c r="J67" s="7"/>
      <c r="K67" s="7">
        <v>161</v>
      </c>
      <c r="L67" s="7">
        <v>70.3</v>
      </c>
      <c r="M67" s="8">
        <f>L67/((K67/100)*(K67/100))</f>
        <v>27.120867250491877</v>
      </c>
      <c r="N67" s="7">
        <v>93</v>
      </c>
      <c r="O67" s="7">
        <v>104</v>
      </c>
      <c r="P67" s="9">
        <f>Data6[[#This Row],[Waist_Circumference]]/Data6[[#This Row],[Hip_circumference]]</f>
        <v>0.89423076923076927</v>
      </c>
      <c r="Q67" s="10">
        <v>28900</v>
      </c>
      <c r="R67" s="10">
        <v>38570</v>
      </c>
      <c r="S67" s="10">
        <f>Q67+R67</f>
        <v>67470</v>
      </c>
      <c r="T67" s="9">
        <f>(Data6[[#This Row],[Total_fat_g]]/Data6[[#This Row],[Total_mass_g]])*100</f>
        <v>42.833852082406999</v>
      </c>
      <c r="U67" s="9">
        <f>(Data6[[#This Row],[Lean_mass_g]]/Data6[[#This Row],[Total_mass_g]])*100</f>
        <v>57.166147917593001</v>
      </c>
      <c r="V67" s="9"/>
      <c r="W67" s="9">
        <v>0.95</v>
      </c>
      <c r="X67" s="9">
        <v>4.99</v>
      </c>
      <c r="Y67" s="9">
        <v>10.4</v>
      </c>
      <c r="Z67" s="21">
        <f>(Data6[[#This Row],[Glucose (mmol/L)]]*Data6[[#This Row],[Insulin (umol/L)]])/22.5</f>
        <v>2.306488888888889</v>
      </c>
      <c r="AA67" s="9">
        <v>552.11</v>
      </c>
      <c r="AB67" s="9">
        <v>1006.15</v>
      </c>
      <c r="AC67" s="9">
        <v>56.35</v>
      </c>
      <c r="AD67" s="9">
        <v>5.5</v>
      </c>
      <c r="AE67" s="9">
        <v>1.26</v>
      </c>
      <c r="AF67" s="9">
        <f>Data6[[#This Row],[total_chol (umol/L)]]-Data6[[#This Row],[HDL_chol (umol/L)]]</f>
        <v>4.24</v>
      </c>
      <c r="AG67" s="9">
        <f>Data6[[#This Row],[Non_HDL (umol/L)]]-(Data6[[#This Row],[TAG (umol/L)]]/2200)</f>
        <v>3.7826590909090911</v>
      </c>
      <c r="AH67" s="9">
        <v>297.08</v>
      </c>
      <c r="AI67" s="51">
        <v>3.7322686690240375E-3</v>
      </c>
      <c r="AJ67" s="9">
        <v>7.2683981351394467</v>
      </c>
      <c r="AK67" s="23">
        <f>(Data6[[#This Row],[DNL (%)]]/100)*Data6[[#This Row],[VLDL (umol/L)]]</f>
        <v>21.592957179872265</v>
      </c>
      <c r="AL67" s="9">
        <f>[4]SAMPLES!$L$254</f>
        <v>22.888621551444331</v>
      </c>
      <c r="AM67" s="57">
        <f>(Data6[[#This Row],[Gluconeogensis (%)]]/100)*Data6[[#This Row],[Glucose (mmol/L)]]</f>
        <v>1.1421422154170722</v>
      </c>
      <c r="AN67" s="61">
        <f>Data6[[#This Row],[Glucose (mmol/L)]]-Data6[[#This Row],[Gluconeogenesis (mmol/L)]]</f>
        <v>3.8478577845829278</v>
      </c>
      <c r="AO67" s="61" t="s">
        <v>535</v>
      </c>
      <c r="AP67" s="7"/>
    </row>
    <row r="68" spans="1:42" s="33" customFormat="1" x14ac:dyDescent="0.25">
      <c r="A68" s="23">
        <v>6</v>
      </c>
      <c r="B68" s="23" t="s">
        <v>37</v>
      </c>
      <c r="C68" s="23" t="s">
        <v>32</v>
      </c>
      <c r="D68" s="23"/>
      <c r="E68" s="23"/>
      <c r="F68" s="23">
        <v>4513</v>
      </c>
      <c r="G68" s="23" t="s">
        <v>228</v>
      </c>
      <c r="H68" s="26">
        <v>38.799999999999997</v>
      </c>
      <c r="I68" s="23" t="s">
        <v>146</v>
      </c>
      <c r="J68" s="23"/>
      <c r="K68" s="23">
        <v>175</v>
      </c>
      <c r="L68" s="23">
        <v>80.900000000000006</v>
      </c>
      <c r="M68" s="24">
        <f>L68/((K68/100)*(K68/100))</f>
        <v>26.416326530612245</v>
      </c>
      <c r="N68" s="23">
        <v>91</v>
      </c>
      <c r="O68" s="23">
        <v>99</v>
      </c>
      <c r="P68" s="25">
        <f>Data6[[#This Row],[Waist_Circumference]]/Data6[[#This Row],[Hip_circumference]]</f>
        <v>0.91919191919191923</v>
      </c>
      <c r="Q68" s="26">
        <f>'[1]Anthro data'!$G$27</f>
        <v>23153</v>
      </c>
      <c r="R68" s="26">
        <f>'[1]Anthro data'!$G$28</f>
        <v>52363</v>
      </c>
      <c r="S68" s="26">
        <f>Q68+R68</f>
        <v>75516</v>
      </c>
      <c r="T68" s="25">
        <f>(Data6[[#This Row],[Total_fat_g]]/Data6[[#This Row],[Total_mass_g]])*100</f>
        <v>30.659727739816727</v>
      </c>
      <c r="U68" s="25">
        <f>(Data6[[#This Row],[Lean_mass_g]]/Data6[[#This Row],[Total_mass_g]])*100</f>
        <v>69.340272260183283</v>
      </c>
      <c r="V68" s="25">
        <v>1545</v>
      </c>
      <c r="W68" s="25">
        <v>6.4417791099999997</v>
      </c>
      <c r="X68" s="25">
        <f>[1]Glucose!$G$3</f>
        <v>5.0999999999999996</v>
      </c>
      <c r="Y68" s="25">
        <f>'[1]Insulin+HOMA'!$G$3</f>
        <v>10.4215</v>
      </c>
      <c r="Z68" s="21">
        <f>(Data6[[#This Row],[Glucose (mmol/L)]]*Data6[[#This Row],[Insulin (umol/L)]])/22.5</f>
        <v>2.3622066666666663</v>
      </c>
      <c r="AA68" s="25">
        <f>[1]NEFA!$G$3</f>
        <v>689.7</v>
      </c>
      <c r="AB68" s="25">
        <f>[1]TAG!$G$3</f>
        <v>3932.7</v>
      </c>
      <c r="AC68" s="25">
        <f>'[1]3-OHB'!$G$3</f>
        <v>167.8</v>
      </c>
      <c r="AD68" s="25">
        <f>'[9]Basal ApoB,Chol,HDL,ALT'!$F$2</f>
        <v>5.54</v>
      </c>
      <c r="AE68" s="25">
        <f>'[9]Basal ApoB,Chol,HDL,ALT'!$J$2</f>
        <v>1.08</v>
      </c>
      <c r="AF68" s="25">
        <f>Data6[[#This Row],[total_chol (umol/L)]]-Data6[[#This Row],[HDL_chol (umol/L)]]</f>
        <v>4.46</v>
      </c>
      <c r="AG68" s="25">
        <f>Data6[[#This Row],[Non_HDL (umol/L)]]-(Data6[[#This Row],[TAG (umol/L)]]/2200)</f>
        <v>2.672409090909091</v>
      </c>
      <c r="AH68" s="25">
        <v>1570.21</v>
      </c>
      <c r="AI68" s="49">
        <f>[3]ML6!$B$3</f>
        <v>3.4605689735661528E-3</v>
      </c>
      <c r="AJ68" s="25">
        <f>[1]DNL_160!$G$5</f>
        <v>3.9102222742884405</v>
      </c>
      <c r="AK68" s="23">
        <f>(Data6[[#This Row],[DNL (%)]]/100)*Data6[[#This Row],[VLDL (umol/L)]]</f>
        <v>61.398701173104527</v>
      </c>
      <c r="AL68" s="25">
        <f>[4]SAMPLES!$L$8</f>
        <v>34.231632719000451</v>
      </c>
      <c r="AM68" s="55">
        <f>(Data6[[#This Row],[Gluconeogensis (%)]]/100)*Data6[[#This Row],[Glucose (mmol/L)]]</f>
        <v>1.7458132686690229</v>
      </c>
      <c r="AN68" s="61">
        <f>Data6[[#This Row],[Glucose (mmol/L)]]-Data6[[#This Row],[Gluconeogenesis (mmol/L)]]</f>
        <v>3.3541867313309766</v>
      </c>
      <c r="AO68" s="61" t="s">
        <v>535</v>
      </c>
      <c r="AP68" s="23"/>
    </row>
    <row r="69" spans="1:42" s="33" customFormat="1" x14ac:dyDescent="0.25">
      <c r="A69" s="7">
        <v>85</v>
      </c>
      <c r="B69" s="7" t="s">
        <v>97</v>
      </c>
      <c r="C69" s="7" t="s">
        <v>143</v>
      </c>
      <c r="D69" s="7"/>
      <c r="E69" s="7"/>
      <c r="F69" s="7"/>
      <c r="G69" s="7" t="s">
        <v>227</v>
      </c>
      <c r="H69" s="7">
        <v>59</v>
      </c>
      <c r="I69" s="7" t="s">
        <v>146</v>
      </c>
      <c r="J69" s="7"/>
      <c r="K69" s="7">
        <v>177</v>
      </c>
      <c r="L69" s="7">
        <v>80.2</v>
      </c>
      <c r="M69" s="8">
        <f>L69/((K69/100)*(K69/100))</f>
        <v>25.599285007501038</v>
      </c>
      <c r="N69" s="7">
        <v>89</v>
      </c>
      <c r="O69" s="7">
        <v>105</v>
      </c>
      <c r="P69" s="9">
        <f>Data6[[#This Row],[Waist_Circumference]]/Data6[[#This Row],[Hip_circumference]]</f>
        <v>0.84761904761904761</v>
      </c>
      <c r="Q69" s="10">
        <v>29290</v>
      </c>
      <c r="R69" s="10">
        <v>45550</v>
      </c>
      <c r="S69" s="10">
        <f>Q69+R69</f>
        <v>74840</v>
      </c>
      <c r="T69" s="9">
        <f>(Data6[[#This Row],[Total_fat_g]]/Data6[[#This Row],[Total_mass_g]])*100</f>
        <v>39.136825227151256</v>
      </c>
      <c r="U69" s="9">
        <f>(Data6[[#This Row],[Lean_mass_g]]/Data6[[#This Row],[Total_mass_g]])*100</f>
        <v>60.863174772848751</v>
      </c>
      <c r="V69" s="9"/>
      <c r="W69" s="9">
        <v>1.5</v>
      </c>
      <c r="X69" s="9">
        <v>5.88</v>
      </c>
      <c r="Y69" s="9">
        <v>10.43</v>
      </c>
      <c r="Z69" s="21">
        <f>(Data6[[#This Row],[Glucose (mmol/L)]]*Data6[[#This Row],[Insulin (umol/L)]])/22.5</f>
        <v>2.7257066666666665</v>
      </c>
      <c r="AA69" s="9">
        <v>584.86</v>
      </c>
      <c r="AB69" s="9">
        <v>767.45</v>
      </c>
      <c r="AC69" s="9">
        <v>69.650000000000006</v>
      </c>
      <c r="AD69" s="9">
        <v>5.8</v>
      </c>
      <c r="AE69" s="9">
        <v>1.62</v>
      </c>
      <c r="AF69" s="9">
        <f>Data6[[#This Row],[total_chol (umol/L)]]-Data6[[#This Row],[HDL_chol (umol/L)]]</f>
        <v>4.18</v>
      </c>
      <c r="AG69" s="9">
        <f>Data6[[#This Row],[Non_HDL (umol/L)]]-(Data6[[#This Row],[TAG (umol/L)]]/2200)</f>
        <v>3.8311590909090905</v>
      </c>
      <c r="AH69" s="9">
        <v>180.59</v>
      </c>
      <c r="AI69" s="51">
        <v>5.2456420356865943E-3</v>
      </c>
      <c r="AJ69" s="9">
        <v>6.8758374232947252</v>
      </c>
      <c r="AK69" s="23">
        <f>(Data6[[#This Row],[DNL (%)]]/100)*Data6[[#This Row],[VLDL (umol/L)]]</f>
        <v>12.417074802727946</v>
      </c>
      <c r="AL69" s="9">
        <f>[4]SAMPLES!$L$68</f>
        <v>24.216856965153553</v>
      </c>
      <c r="AM69" s="57">
        <f>(Data6[[#This Row],[Gluconeogensis (%)]]/100)*Data6[[#This Row],[Glucose (mmol/L)]]</f>
        <v>1.4239511895510291</v>
      </c>
      <c r="AN69" s="61">
        <f>Data6[[#This Row],[Glucose (mmol/L)]]-Data6[[#This Row],[Gluconeogenesis (mmol/L)]]</f>
        <v>4.4560488104489711</v>
      </c>
      <c r="AO69" s="61" t="s">
        <v>535</v>
      </c>
      <c r="AP69" s="7"/>
    </row>
    <row r="70" spans="1:42" s="33" customFormat="1" x14ac:dyDescent="0.25">
      <c r="A70" s="7">
        <v>80</v>
      </c>
      <c r="B70" s="7" t="s">
        <v>134</v>
      </c>
      <c r="C70" s="7" t="s">
        <v>135</v>
      </c>
      <c r="D70" s="7"/>
      <c r="E70" s="7"/>
      <c r="F70" s="7"/>
      <c r="G70" s="7" t="s">
        <v>227</v>
      </c>
      <c r="H70" s="7">
        <v>38</v>
      </c>
      <c r="I70" s="7"/>
      <c r="J70" s="7"/>
      <c r="K70" s="7">
        <v>176</v>
      </c>
      <c r="L70" s="7">
        <v>96.7</v>
      </c>
      <c r="M70" s="8">
        <f>L70/((K70/100)*(K70/100))</f>
        <v>31.217716942148762</v>
      </c>
      <c r="N70" s="7">
        <v>109</v>
      </c>
      <c r="O70" s="7">
        <v>116</v>
      </c>
      <c r="P70" s="9">
        <f>Data6[[#This Row],[Waist_Circumference]]/Data6[[#This Row],[Hip_circumference]]</f>
        <v>0.93965517241379315</v>
      </c>
      <c r="Q70" s="10">
        <v>36370</v>
      </c>
      <c r="R70" s="10">
        <v>54630</v>
      </c>
      <c r="S70" s="10">
        <f>Q70+R70</f>
        <v>91000</v>
      </c>
      <c r="T70" s="9">
        <f>(Data6[[#This Row],[Total_fat_g]]/Data6[[#This Row],[Total_mass_g]])*100</f>
        <v>39.967032967032964</v>
      </c>
      <c r="U70" s="9">
        <f>(Data6[[#This Row],[Lean_mass_g]]/Data6[[#This Row],[Total_mass_g]])*100</f>
        <v>60.032967032967036</v>
      </c>
      <c r="V70" s="9">
        <v>498</v>
      </c>
      <c r="W70" s="9">
        <v>1.18</v>
      </c>
      <c r="X70" s="9">
        <v>4.74</v>
      </c>
      <c r="Y70" s="9">
        <v>10.49</v>
      </c>
      <c r="Z70" s="21">
        <f>(Data6[[#This Row],[Glucose (mmol/L)]]*Data6[[#This Row],[Insulin (umol/L)]])/22.5</f>
        <v>2.2098933333333335</v>
      </c>
      <c r="AA70" s="9">
        <v>691.16</v>
      </c>
      <c r="AB70" s="9">
        <v>1135.5</v>
      </c>
      <c r="AC70" s="9">
        <v>28.15</v>
      </c>
      <c r="AD70" s="9">
        <v>4.4000000000000004</v>
      </c>
      <c r="AE70" s="9">
        <v>1.73</v>
      </c>
      <c r="AF70" s="9">
        <f>Data6[[#This Row],[total_chol (umol/L)]]-Data6[[#This Row],[HDL_chol (umol/L)]]</f>
        <v>2.6700000000000004</v>
      </c>
      <c r="AG70" s="9">
        <f>Data6[[#This Row],[Non_HDL (umol/L)]]-(Data6[[#This Row],[TAG (umol/L)]]/2200)</f>
        <v>2.1538636363636368</v>
      </c>
      <c r="AH70" s="9">
        <v>528.64</v>
      </c>
      <c r="AI70" s="51">
        <v>5.0072525346752886E-3</v>
      </c>
      <c r="AJ70" s="9">
        <v>35.475814811861298</v>
      </c>
      <c r="AK70" s="23">
        <f>(Data6[[#This Row],[DNL (%)]]/100)*Data6[[#This Row],[VLDL (umol/L)]]</f>
        <v>187.53934742142357</v>
      </c>
      <c r="AL70" s="65">
        <f>[4]SAMPLES!$L$41</f>
        <v>13.745488070476716</v>
      </c>
      <c r="AM70" s="57">
        <f>(Data6[[#This Row],[Gluconeogensis (%)]]/100)*Data6[[#This Row],[Glucose (mmol/L)]]</f>
        <v>0.65153613454059633</v>
      </c>
      <c r="AN70" s="61">
        <f>Data6[[#This Row],[Glucose (mmol/L)]]-Data6[[#This Row],[Gluconeogenesis (mmol/L)]]</f>
        <v>4.0884638654594037</v>
      </c>
      <c r="AO70" s="61" t="s">
        <v>535</v>
      </c>
      <c r="AP70" s="7"/>
    </row>
    <row r="71" spans="1:42" s="33" customFormat="1" x14ac:dyDescent="0.25">
      <c r="A71" s="7">
        <v>83</v>
      </c>
      <c r="B71" s="7" t="s">
        <v>139</v>
      </c>
      <c r="C71" s="7" t="s">
        <v>140</v>
      </c>
      <c r="D71" s="7"/>
      <c r="E71" s="7"/>
      <c r="F71" s="7"/>
      <c r="G71" s="7" t="s">
        <v>227</v>
      </c>
      <c r="H71" s="7">
        <v>35</v>
      </c>
      <c r="I71" s="7" t="s">
        <v>229</v>
      </c>
      <c r="J71" s="7"/>
      <c r="K71" s="7">
        <v>159</v>
      </c>
      <c r="L71" s="7">
        <v>56.5</v>
      </c>
      <c r="M71" s="8">
        <f>L71/((K71/100)*(K71/100))</f>
        <v>22.348799493690912</v>
      </c>
      <c r="N71" s="7">
        <v>69</v>
      </c>
      <c r="O71" s="7">
        <v>93</v>
      </c>
      <c r="P71" s="9">
        <f>Data6[[#This Row],[Waist_Circumference]]/Data6[[#This Row],[Hip_circumference]]</f>
        <v>0.74193548387096775</v>
      </c>
      <c r="Q71" s="10">
        <v>13050</v>
      </c>
      <c r="R71" s="10">
        <v>37320</v>
      </c>
      <c r="S71" s="10">
        <f>Q71+R71</f>
        <v>50370</v>
      </c>
      <c r="T71" s="9">
        <f>(Data6[[#This Row],[Total_fat_g]]/Data6[[#This Row],[Total_mass_g]])*100</f>
        <v>25.908278737343661</v>
      </c>
      <c r="U71" s="9">
        <f>(Data6[[#This Row],[Lean_mass_g]]/Data6[[#This Row],[Total_mass_g]])*100</f>
        <v>74.091721262656336</v>
      </c>
      <c r="V71" s="9">
        <v>87</v>
      </c>
      <c r="W71" s="9">
        <v>0.41</v>
      </c>
      <c r="X71" s="9">
        <v>4.3099999999999996</v>
      </c>
      <c r="Y71" s="9">
        <v>10.51</v>
      </c>
      <c r="Z71" s="21">
        <f>(Data6[[#This Row],[Glucose (mmol/L)]]*Data6[[#This Row],[Insulin (umol/L)]])/22.5</f>
        <v>2.0132488888888886</v>
      </c>
      <c r="AA71" s="9">
        <v>669.06</v>
      </c>
      <c r="AB71" s="9">
        <v>331.15</v>
      </c>
      <c r="AC71" s="9">
        <v>30.15</v>
      </c>
      <c r="AD71" s="9">
        <v>4.3</v>
      </c>
      <c r="AE71" s="9">
        <v>1.52</v>
      </c>
      <c r="AF71" s="9">
        <f>Data6[[#This Row],[total_chol (umol/L)]]-Data6[[#This Row],[HDL_chol (umol/L)]]</f>
        <v>2.78</v>
      </c>
      <c r="AG71" s="9">
        <f>Data6[[#This Row],[Non_HDL (umol/L)]]-(Data6[[#This Row],[TAG (umol/L)]]/2200)</f>
        <v>2.6294772727272724</v>
      </c>
      <c r="AH71" s="9">
        <v>38.53</v>
      </c>
      <c r="AI71" s="51">
        <v>4.3370674872932552E-3</v>
      </c>
      <c r="AJ71" s="9">
        <v>5.5598941990837174</v>
      </c>
      <c r="AK71" s="23">
        <f>(Data6[[#This Row],[DNL (%)]]/100)*Data6[[#This Row],[VLDL (umol/L)]]</f>
        <v>2.1422272349069562</v>
      </c>
      <c r="AL71" s="9">
        <f>[4]SAMPLES!$L$66</f>
        <v>18.92882408492201</v>
      </c>
      <c r="AM71" s="57">
        <f>(Data6[[#This Row],[Gluconeogensis (%)]]/100)*Data6[[#This Row],[Glucose (mmol/L)]]</f>
        <v>0.81583231806013856</v>
      </c>
      <c r="AN71" s="61">
        <f>Data6[[#This Row],[Glucose (mmol/L)]]-Data6[[#This Row],[Gluconeogenesis (mmol/L)]]</f>
        <v>3.494167681939861</v>
      </c>
      <c r="AO71" s="61" t="s">
        <v>535</v>
      </c>
      <c r="AP71" s="7"/>
    </row>
    <row r="72" spans="1:42" s="33" customFormat="1" x14ac:dyDescent="0.25">
      <c r="A72" s="7">
        <v>69</v>
      </c>
      <c r="B72" s="7" t="s">
        <v>115</v>
      </c>
      <c r="C72" s="7" t="s">
        <v>116</v>
      </c>
      <c r="D72" s="7"/>
      <c r="E72" s="7"/>
      <c r="F72" s="7"/>
      <c r="G72" s="7" t="s">
        <v>227</v>
      </c>
      <c r="H72" s="7">
        <v>56</v>
      </c>
      <c r="I72" s="7" t="s">
        <v>229</v>
      </c>
      <c r="J72" s="7"/>
      <c r="K72" s="7">
        <v>168.5</v>
      </c>
      <c r="L72" s="7">
        <v>72.5</v>
      </c>
      <c r="M72" s="8">
        <f>L72/((K72/100)*(K72/100))</f>
        <v>25.535137229349555</v>
      </c>
      <c r="N72" s="7">
        <v>92</v>
      </c>
      <c r="O72" s="7">
        <v>99</v>
      </c>
      <c r="P72" s="9">
        <f>Data6[[#This Row],[Waist_Circumference]]/Data6[[#This Row],[Hip_circumference]]</f>
        <v>0.92929292929292928</v>
      </c>
      <c r="Q72" s="10">
        <v>24910</v>
      </c>
      <c r="R72" s="10">
        <v>45970</v>
      </c>
      <c r="S72" s="10">
        <f>Q72+R72</f>
        <v>70880</v>
      </c>
      <c r="T72" s="9">
        <f>(Data6[[#This Row],[Total_fat_g]]/Data6[[#This Row],[Total_mass_g]])*100</f>
        <v>35.143905191873586</v>
      </c>
      <c r="U72" s="9">
        <f>(Data6[[#This Row],[Lean_mass_g]]/Data6[[#This Row],[Total_mass_g]])*100</f>
        <v>64.856094808126414</v>
      </c>
      <c r="V72" s="9"/>
      <c r="W72" s="9">
        <v>6.79</v>
      </c>
      <c r="X72" s="9">
        <v>5.1100000000000003</v>
      </c>
      <c r="Y72" s="9">
        <v>10.52</v>
      </c>
      <c r="Z72" s="21">
        <f>(Data6[[#This Row],[Glucose (mmol/L)]]*Data6[[#This Row],[Insulin (umol/L)]])/22.5</f>
        <v>2.3892088888888892</v>
      </c>
      <c r="AA72" s="9">
        <v>542.27</v>
      </c>
      <c r="AB72" s="9">
        <v>2481.4</v>
      </c>
      <c r="AC72" s="9">
        <v>26</v>
      </c>
      <c r="AD72" s="9">
        <v>7.9</v>
      </c>
      <c r="AE72" s="9">
        <v>1.25</v>
      </c>
      <c r="AF72" s="9">
        <f>Data6[[#This Row],[total_chol (umol/L)]]-Data6[[#This Row],[HDL_chol (umol/L)]]</f>
        <v>6.65</v>
      </c>
      <c r="AG72" s="9">
        <f>Data6[[#This Row],[Non_HDL (umol/L)]]-(Data6[[#This Row],[TAG (umol/L)]]/2200)</f>
        <v>5.5220909090909096</v>
      </c>
      <c r="AH72" s="9">
        <v>1090.27</v>
      </c>
      <c r="AI72" s="51">
        <v>4.9563384427968246E-3</v>
      </c>
      <c r="AJ72" s="9">
        <v>19.060798022935053</v>
      </c>
      <c r="AK72" s="23">
        <f>(Data6[[#This Row],[DNL (%)]]/100)*Data6[[#This Row],[VLDL (umol/L)]]</f>
        <v>207.814162604654</v>
      </c>
      <c r="AL72" s="9">
        <f>[4]SAMPLES!$L$30</f>
        <v>46.002866972534925</v>
      </c>
      <c r="AM72" s="57">
        <f>(Data6[[#This Row],[Gluconeogensis (%)]]/100)*Data6[[#This Row],[Glucose (mmol/L)]]</f>
        <v>2.3507465022965346</v>
      </c>
      <c r="AN72" s="61">
        <f>Data6[[#This Row],[Glucose (mmol/L)]]-Data6[[#This Row],[Gluconeogenesis (mmol/L)]]</f>
        <v>2.7592534977034657</v>
      </c>
      <c r="AO72" s="61" t="s">
        <v>535</v>
      </c>
      <c r="AP72" s="7"/>
    </row>
    <row r="73" spans="1:42" s="33" customFormat="1" x14ac:dyDescent="0.25">
      <c r="A73" s="15">
        <v>40</v>
      </c>
      <c r="B73" s="15" t="s">
        <v>87</v>
      </c>
      <c r="C73" s="15" t="s">
        <v>88</v>
      </c>
      <c r="D73" s="15" t="s">
        <v>386</v>
      </c>
      <c r="E73" s="15"/>
      <c r="F73" s="15">
        <v>2704</v>
      </c>
      <c r="G73" s="15" t="s">
        <v>228</v>
      </c>
      <c r="H73" s="15">
        <v>45</v>
      </c>
      <c r="I73" s="15" t="s">
        <v>146</v>
      </c>
      <c r="J73" s="15"/>
      <c r="K73" s="15">
        <v>179</v>
      </c>
      <c r="L73" s="15">
        <v>96.7</v>
      </c>
      <c r="M73" s="16">
        <f>L73/((K73/100)*(K73/100))</f>
        <v>30.18008177023189</v>
      </c>
      <c r="N73" s="15">
        <v>103</v>
      </c>
      <c r="O73" s="15">
        <v>106</v>
      </c>
      <c r="P73" s="17">
        <f>Data6[[#This Row],[Waist_Circumference]]/Data6[[#This Row],[Hip_circumference]]</f>
        <v>0.97169811320754718</v>
      </c>
      <c r="Q73" s="18">
        <f>'[1]Anthro data'!$AO$27</f>
        <v>29697</v>
      </c>
      <c r="R73" s="18">
        <f>'[1]Anthro data'!$AO$28</f>
        <v>65505</v>
      </c>
      <c r="S73" s="18">
        <f>Q73+R73</f>
        <v>95202</v>
      </c>
      <c r="T73" s="17">
        <f>(Data6[[#This Row],[Total_fat_g]]/Data6[[#This Row],[Total_mass_g]])*100</f>
        <v>31.193672401840299</v>
      </c>
      <c r="U73" s="17">
        <f>(Data6[[#This Row],[Lean_mass_g]]/Data6[[#This Row],[Total_mass_g]])*100</f>
        <v>68.806327598159697</v>
      </c>
      <c r="V73" s="17">
        <v>1794</v>
      </c>
      <c r="W73" s="17">
        <v>5.8</v>
      </c>
      <c r="X73" s="17">
        <f>[1]Glucose!$AO$3</f>
        <v>5.4089999999999998</v>
      </c>
      <c r="Y73" s="17">
        <f>'[1]Insulin+HOMA'!$AO$3</f>
        <v>10.619</v>
      </c>
      <c r="Z73" s="21">
        <f>(Data6[[#This Row],[Glucose (mmol/L)]]*Data6[[#This Row],[Insulin (umol/L)]])/22.5</f>
        <v>2.5528076</v>
      </c>
      <c r="AA73" s="17">
        <f>[1]NEFA!$AO$3</f>
        <v>513</v>
      </c>
      <c r="AB73" s="17">
        <f>[1]TAG!$AO$3</f>
        <v>2448.7000000000003</v>
      </c>
      <c r="AC73" s="17">
        <f>'[1]3-OHB'!$AO$3</f>
        <v>46</v>
      </c>
      <c r="AD73" s="17">
        <f>'[44]Apo B, HDL, Cholesterol, ALT'!$F$6</f>
        <v>5.57</v>
      </c>
      <c r="AE73" s="17">
        <f>'[44]Apo B, HDL, Cholesterol, ALT'!$M$6</f>
        <v>1.08</v>
      </c>
      <c r="AF73" s="17">
        <f>Data6[[#This Row],[total_chol (umol/L)]]-Data6[[#This Row],[HDL_chol (umol/L)]]</f>
        <v>4.49</v>
      </c>
      <c r="AG73" s="17">
        <f>Data6[[#This Row],[Non_HDL (umol/L)]]-(Data6[[#This Row],[TAG (umol/L)]]/2200)</f>
        <v>3.3769545454545455</v>
      </c>
      <c r="AH73" s="17">
        <v>1641.2204325000002</v>
      </c>
      <c r="AI73" s="50">
        <f>'[28]plasma H2O'!$S$4</f>
        <v>3.1389021086097512E-3</v>
      </c>
      <c r="AJ73" s="17">
        <f>[1]DNL_160!$AO$5</f>
        <v>5.1193307099529992</v>
      </c>
      <c r="AK73" s="23">
        <f>(Data6[[#This Row],[DNL (%)]]/100)*Data6[[#This Row],[VLDL (umol/L)]]</f>
        <v>84.019501618995946</v>
      </c>
      <c r="AL73" s="17">
        <f>[4]SAMPLES!$L$59</f>
        <v>42.810769593382567</v>
      </c>
      <c r="AM73" s="56">
        <f>(Data6[[#This Row],[Gluconeogensis (%)]]/100)*Data6[[#This Row],[Glucose (mmol/L)]]</f>
        <v>2.315634527306063</v>
      </c>
      <c r="AN73" s="61">
        <f>Data6[[#This Row],[Glucose (mmol/L)]]-Data6[[#This Row],[Gluconeogenesis (mmol/L)]]</f>
        <v>3.0933654726939368</v>
      </c>
      <c r="AO73" s="61" t="s">
        <v>535</v>
      </c>
      <c r="AP73" s="15"/>
    </row>
    <row r="74" spans="1:42" s="27" customFormat="1" x14ac:dyDescent="0.25">
      <c r="A74" s="23">
        <v>5</v>
      </c>
      <c r="B74" s="23" t="s">
        <v>36</v>
      </c>
      <c r="C74" s="23" t="s">
        <v>32</v>
      </c>
      <c r="D74" s="23"/>
      <c r="E74" s="23"/>
      <c r="F74" s="23">
        <v>4607</v>
      </c>
      <c r="G74" s="23" t="s">
        <v>228</v>
      </c>
      <c r="H74" s="26">
        <v>49.2</v>
      </c>
      <c r="I74" s="23" t="s">
        <v>229</v>
      </c>
      <c r="J74" s="23"/>
      <c r="K74" s="23">
        <v>172</v>
      </c>
      <c r="L74" s="23">
        <v>80.599999999999994</v>
      </c>
      <c r="M74" s="24">
        <f>L74/((K74/100)*(K74/100))</f>
        <v>27.244456462952947</v>
      </c>
      <c r="N74" s="23">
        <v>89</v>
      </c>
      <c r="O74" s="23">
        <v>97</v>
      </c>
      <c r="P74" s="25">
        <f>Data6[[#This Row],[Waist_Circumference]]/Data6[[#This Row],[Hip_circumference]]</f>
        <v>0.91752577319587625</v>
      </c>
      <c r="Q74" s="26">
        <f>'[1]Anthro data'!$F$27</f>
        <v>20396</v>
      </c>
      <c r="R74" s="26">
        <f>'[1]Anthro data'!$F$28</f>
        <v>57057</v>
      </c>
      <c r="S74" s="26">
        <f>Q74+R74</f>
        <v>77453</v>
      </c>
      <c r="T74" s="25">
        <f>(Data6[[#This Row],[Total_fat_g]]/Data6[[#This Row],[Total_mass_g]])*100</f>
        <v>26.333389281241526</v>
      </c>
      <c r="U74" s="25">
        <f>(Data6[[#This Row],[Lean_mass_g]]/Data6[[#This Row],[Total_mass_g]])*100</f>
        <v>73.666610718758477</v>
      </c>
      <c r="V74" s="25">
        <v>1122</v>
      </c>
      <c r="W74" s="25">
        <v>6.3485082610000001</v>
      </c>
      <c r="X74" s="25">
        <f>[1]Glucose!$F$3</f>
        <v>4.1349999999999998</v>
      </c>
      <c r="Y74" s="25">
        <f>'[1]Insulin+HOMA'!$F$3</f>
        <v>10.856000000000002</v>
      </c>
      <c r="Z74" s="21">
        <f>(Data6[[#This Row],[Glucose (mmol/L)]]*Data6[[#This Row],[Insulin (umol/L)]])/22.5</f>
        <v>1.9950915555555557</v>
      </c>
      <c r="AA74" s="25">
        <f>[1]NEFA!$F$3</f>
        <v>363.3</v>
      </c>
      <c r="AB74" s="25">
        <f>[1]TAG!$F$3</f>
        <v>1727.3999999999999</v>
      </c>
      <c r="AC74" s="25">
        <f>'[1]3-OHB'!$F$3</f>
        <v>32.200000000000003</v>
      </c>
      <c r="AD74" s="25">
        <f>'[8]Basal ApoB,Chol,HDL,ALT'!$D$2</f>
        <v>5.0199999999999996</v>
      </c>
      <c r="AE74" s="25">
        <f>'[8]Basal ApoB,Chol,HDL,ALT'!$F$2</f>
        <v>1.07</v>
      </c>
      <c r="AF74" s="25">
        <f>Data6[[#This Row],[total_chol (umol/L)]]-Data6[[#This Row],[HDL_chol (umol/L)]]</f>
        <v>3.9499999999999993</v>
      </c>
      <c r="AG74" s="25">
        <f>Data6[[#This Row],[Non_HDL (umol/L)]]-(Data6[[#This Row],[TAG (umol/L)]]/2200)</f>
        <v>3.1648181818181813</v>
      </c>
      <c r="AH74" s="25">
        <v>860.60405250000008</v>
      </c>
      <c r="AI74" s="49">
        <f>[3]RS5!$B$3</f>
        <v>2.9766437924845183E-3</v>
      </c>
      <c r="AJ74" s="25">
        <f>[1]DNL_160!$F$5</f>
        <v>16.447249947212111</v>
      </c>
      <c r="AK74" s="23">
        <f>(Data6[[#This Row],[DNL (%)]]/100)*Data6[[#This Row],[VLDL (umol/L)]]</f>
        <v>141.54569957051154</v>
      </c>
      <c r="AL74" s="25">
        <f>[4]SAMPLES!$L$7</f>
        <v>50.969100088514196</v>
      </c>
      <c r="AM74" s="55">
        <f>(Data6[[#This Row],[Gluconeogensis (%)]]/100)*Data6[[#This Row],[Glucose (mmol/L)]]</f>
        <v>2.1075722886600619</v>
      </c>
      <c r="AN74" s="61">
        <f>Data6[[#This Row],[Glucose (mmol/L)]]-Data6[[#This Row],[Gluconeogenesis (mmol/L)]]</f>
        <v>2.0274277113399379</v>
      </c>
      <c r="AO74" s="61" t="s">
        <v>535</v>
      </c>
      <c r="AP74" s="23"/>
    </row>
    <row r="75" spans="1:42" s="27" customFormat="1" x14ac:dyDescent="0.25">
      <c r="A75" s="7">
        <v>104</v>
      </c>
      <c r="B75" s="7" t="s">
        <v>178</v>
      </c>
      <c r="C75" s="7" t="s">
        <v>179</v>
      </c>
      <c r="D75" s="7"/>
      <c r="E75" s="7"/>
      <c r="F75" s="7"/>
      <c r="G75" s="7" t="s">
        <v>227</v>
      </c>
      <c r="H75" s="7">
        <v>40</v>
      </c>
      <c r="I75" s="7" t="s">
        <v>229</v>
      </c>
      <c r="J75" s="7"/>
      <c r="K75" s="7">
        <v>166</v>
      </c>
      <c r="L75" s="7">
        <v>53.8</v>
      </c>
      <c r="M75" s="8">
        <f>L75/((K75/100)*(K75/100))</f>
        <v>19.523878647118597</v>
      </c>
      <c r="N75" s="7">
        <v>75</v>
      </c>
      <c r="O75" s="7">
        <v>86</v>
      </c>
      <c r="P75" s="9">
        <f>Data6[[#This Row],[Waist_Circumference]]/Data6[[#This Row],[Hip_circumference]]</f>
        <v>0.87209302325581395</v>
      </c>
      <c r="Q75" s="10">
        <v>12890</v>
      </c>
      <c r="R75" s="10">
        <v>38150</v>
      </c>
      <c r="S75" s="10">
        <f>Q75+R75</f>
        <v>51040</v>
      </c>
      <c r="T75" s="9">
        <f>(Data6[[#This Row],[Total_fat_g]]/Data6[[#This Row],[Total_mass_g]])*100</f>
        <v>25.254702194357364</v>
      </c>
      <c r="U75" s="9">
        <f>(Data6[[#This Row],[Lean_mass_g]]/Data6[[#This Row],[Total_mass_g]])*100</f>
        <v>74.745297805642636</v>
      </c>
      <c r="V75" s="9"/>
      <c r="W75" s="9">
        <v>0.87</v>
      </c>
      <c r="X75" s="9">
        <v>4.9000000000000004</v>
      </c>
      <c r="Y75" s="9">
        <v>10.92</v>
      </c>
      <c r="Z75" s="21">
        <f>(Data6[[#This Row],[Glucose (mmol/L)]]*Data6[[#This Row],[Insulin (umol/L)]])/22.5</f>
        <v>2.3781333333333334</v>
      </c>
      <c r="AA75" s="9">
        <v>719.2</v>
      </c>
      <c r="AB75" s="9">
        <v>666.5</v>
      </c>
      <c r="AC75" s="9">
        <v>53.65</v>
      </c>
      <c r="AD75" s="9">
        <v>5.5</v>
      </c>
      <c r="AE75" s="9">
        <v>2.2999999999999998</v>
      </c>
      <c r="AF75" s="9">
        <f>Data6[[#This Row],[total_chol (umol/L)]]-Data6[[#This Row],[HDL_chol (umol/L)]]</f>
        <v>3.2</v>
      </c>
      <c r="AG75" s="9">
        <f>Data6[[#This Row],[Non_HDL (umol/L)]]-(Data6[[#This Row],[TAG (umol/L)]]/2200)</f>
        <v>2.8970454545454549</v>
      </c>
      <c r="AH75" s="9">
        <v>94.49</v>
      </c>
      <c r="AI75" s="51">
        <v>3.066702768892658E-3</v>
      </c>
      <c r="AJ75" s="9">
        <v>7.3203700719334908</v>
      </c>
      <c r="AK75" s="23">
        <f>(Data6[[#This Row],[DNL (%)]]/100)*Data6[[#This Row],[VLDL (umol/L)]]</f>
        <v>6.9170176809699546</v>
      </c>
      <c r="AL75" s="9">
        <f>[4]SAMPLES!$L$253</f>
        <v>29.461486048467812</v>
      </c>
      <c r="AM75" s="57">
        <f>(Data6[[#This Row],[Gluconeogensis (%)]]/100)*Data6[[#This Row],[Glucose (mmol/L)]]</f>
        <v>1.4436128163749229</v>
      </c>
      <c r="AN75" s="61">
        <f>Data6[[#This Row],[Glucose (mmol/L)]]-Data6[[#This Row],[Gluconeogenesis (mmol/L)]]</f>
        <v>3.4563871836250772</v>
      </c>
      <c r="AO75" s="61" t="s">
        <v>535</v>
      </c>
      <c r="AP75" s="7"/>
    </row>
    <row r="76" spans="1:42" s="27" customFormat="1" x14ac:dyDescent="0.25">
      <c r="A76" s="7">
        <v>96</v>
      </c>
      <c r="B76" s="7" t="s">
        <v>164</v>
      </c>
      <c r="C76" s="7" t="s">
        <v>165</v>
      </c>
      <c r="D76" s="7"/>
      <c r="E76" s="7"/>
      <c r="F76" s="7"/>
      <c r="G76" s="7" t="s">
        <v>227</v>
      </c>
      <c r="H76" s="7">
        <v>59</v>
      </c>
      <c r="I76" s="7" t="s">
        <v>229</v>
      </c>
      <c r="J76" s="7"/>
      <c r="K76" s="7">
        <v>163</v>
      </c>
      <c r="L76" s="7">
        <v>57.15</v>
      </c>
      <c r="M76" s="8">
        <f>L76/((K76/100)*(K76/100))</f>
        <v>21.510030486657385</v>
      </c>
      <c r="N76" s="7">
        <v>71</v>
      </c>
      <c r="O76" s="7">
        <v>92</v>
      </c>
      <c r="P76" s="9">
        <f>Data6[[#This Row],[Waist_Circumference]]/Data6[[#This Row],[Hip_circumference]]</f>
        <v>0.77173913043478259</v>
      </c>
      <c r="Q76" s="10">
        <v>20380</v>
      </c>
      <c r="R76" s="10">
        <v>33940</v>
      </c>
      <c r="S76" s="10">
        <f>Q76+R76</f>
        <v>54320</v>
      </c>
      <c r="T76" s="9">
        <f>(Data6[[#This Row],[Total_fat_g]]/Data6[[#This Row],[Total_mass_g]])*100</f>
        <v>37.518409425625919</v>
      </c>
      <c r="U76" s="9">
        <f>(Data6[[#This Row],[Lean_mass_g]]/Data6[[#This Row],[Total_mass_g]])*100</f>
        <v>62.481590574374081</v>
      </c>
      <c r="V76" s="9"/>
      <c r="W76" s="9">
        <v>0.62</v>
      </c>
      <c r="X76" s="9">
        <v>4.24</v>
      </c>
      <c r="Y76" s="9">
        <v>10.96</v>
      </c>
      <c r="Z76" s="21">
        <f>(Data6[[#This Row],[Glucose (mmol/L)]]*Data6[[#This Row],[Insulin (umol/L)]])/22.5</f>
        <v>2.0653511111111111</v>
      </c>
      <c r="AA76" s="9">
        <v>417.96</v>
      </c>
      <c r="AB76" s="9">
        <v>1157.2</v>
      </c>
      <c r="AC76" s="9">
        <v>22.45</v>
      </c>
      <c r="AD76" s="9">
        <v>6.8</v>
      </c>
      <c r="AE76" s="9">
        <v>1.41</v>
      </c>
      <c r="AF76" s="9">
        <f>Data6[[#This Row],[total_chol (umol/L)]]-Data6[[#This Row],[HDL_chol (umol/L)]]</f>
        <v>5.39</v>
      </c>
      <c r="AG76" s="9">
        <f>Data6[[#This Row],[Non_HDL (umol/L)]]-(Data6[[#This Row],[TAG (umol/L)]]/2200)</f>
        <v>4.8639999999999999</v>
      </c>
      <c r="AH76" s="9">
        <v>419.89</v>
      </c>
      <c r="AI76" s="51">
        <v>5.196424340378817E-3</v>
      </c>
      <c r="AJ76" s="9">
        <v>16.567225799444088</v>
      </c>
      <c r="AK76" s="23">
        <f>(Data6[[#This Row],[DNL (%)]]/100)*Data6[[#This Row],[VLDL (umol/L)]]</f>
        <v>69.564124409285782</v>
      </c>
      <c r="AL76" s="9">
        <f>[4]SAMPLES!$L$245</f>
        <v>16.54043276443204</v>
      </c>
      <c r="AM76" s="57">
        <f>(Data6[[#This Row],[Gluconeogensis (%)]]/100)*Data6[[#This Row],[Glucose (mmol/L)]]</f>
        <v>0.70131434921191849</v>
      </c>
      <c r="AN76" s="61">
        <f>Data6[[#This Row],[Glucose (mmol/L)]]-Data6[[#This Row],[Gluconeogenesis (mmol/L)]]</f>
        <v>3.5386856507880817</v>
      </c>
      <c r="AO76" s="61" t="s">
        <v>535</v>
      </c>
      <c r="AP76" s="7"/>
    </row>
    <row r="77" spans="1:42" s="27" customFormat="1" x14ac:dyDescent="0.25">
      <c r="A77" s="11">
        <v>186</v>
      </c>
      <c r="B77" s="11" t="s">
        <v>295</v>
      </c>
      <c r="C77" s="11" t="s">
        <v>233</v>
      </c>
      <c r="D77" s="11">
        <v>1</v>
      </c>
      <c r="E77" s="11"/>
      <c r="F77" s="11" t="s">
        <v>399</v>
      </c>
      <c r="G77" s="11" t="s">
        <v>227</v>
      </c>
      <c r="H77" s="11">
        <f>[63]Characteristics!$K$8</f>
        <v>50</v>
      </c>
      <c r="I77" s="11"/>
      <c r="J77" s="11"/>
      <c r="K77" s="11">
        <f>'[63]Anthro, DXA, Liver fat'!$K$6</f>
        <v>169</v>
      </c>
      <c r="L77" s="11">
        <f>'[63]Anthro, DXA, Liver fat'!$K$5</f>
        <v>73</v>
      </c>
      <c r="M77" s="12">
        <f>L77/((K77/100)*(K77/100))</f>
        <v>25.559329155141629</v>
      </c>
      <c r="N77" s="11">
        <f>'[63]Anthro, DXA, Liver fat'!$K$8</f>
        <v>87</v>
      </c>
      <c r="O77" s="11"/>
      <c r="P77" s="13" t="e">
        <f>Data6[[#This Row],[Waist_Circumference]]/Data6[[#This Row],[Hip_circumference]]</f>
        <v>#DIV/0!</v>
      </c>
      <c r="Q77" s="14">
        <f>'[63]Anthro, DXA, Liver fat'!$K$19</f>
        <v>29886.621720990999</v>
      </c>
      <c r="R77" s="14">
        <f>'[63]Anthro, DXA, Liver fat'!$K$20</f>
        <v>40250.981458141003</v>
      </c>
      <c r="S77" s="14">
        <f>Q77+R77</f>
        <v>70137.603179131998</v>
      </c>
      <c r="T77" s="13">
        <f>(Data6[[#This Row],[Total_fat_g]]/Data6[[#This Row],[Total_mass_g]])*100</f>
        <v>42.611410094326047</v>
      </c>
      <c r="U77" s="13">
        <f>(Data6[[#This Row],[Lean_mass_g]]/Data6[[#This Row],[Total_mass_g]])*100</f>
        <v>57.38858990567396</v>
      </c>
      <c r="V77" s="13">
        <f>'[63]Anthro, DXA, Liver fat'!$K$27</f>
        <v>441.72048109870002</v>
      </c>
      <c r="W77" s="13">
        <f>'[64]IHTG Corrected'!$D$20</f>
        <v>2.8518256781942486</v>
      </c>
      <c r="X77" s="13">
        <f>[63]Glucose!$K$7</f>
        <v>3.4239999999999999</v>
      </c>
      <c r="Y77" s="13">
        <f>[74]Insulin!$I$3</f>
        <v>11.028</v>
      </c>
      <c r="Z77" s="21">
        <f>(Data6[[#This Row],[Glucose (mmol/L)]]*Data6[[#This Row],[Insulin (umol/L)]])/22.5</f>
        <v>1.6782165333333334</v>
      </c>
      <c r="AA77" s="13">
        <f>[63]NEFA!$K$7</f>
        <v>602.70000000000005</v>
      </c>
      <c r="AB77" s="13">
        <f>[63]TAG!$K$7</f>
        <v>321.20000000000005</v>
      </c>
      <c r="AC77" s="13">
        <f>'[63]3-OHB'!$K$7</f>
        <v>311.5</v>
      </c>
      <c r="AD77" s="13">
        <f>'[63]Apo B, Cholesterol, HDL, ALT'!$K$17</f>
        <v>3.26</v>
      </c>
      <c r="AE77" s="13">
        <f>'[63]Apo B, Cholesterol, HDL, ALT'!$K$27</f>
        <v>0.86</v>
      </c>
      <c r="AF77" s="13">
        <f>Data6[[#This Row],[total_chol (umol/L)]]-Data6[[#This Row],[HDL_chol (umol/L)]]</f>
        <v>2.4</v>
      </c>
      <c r="AG77" s="13">
        <f>Data6[[#This Row],[Non_HDL (umol/L)]]-(Data6[[#This Row],[TAG (umol/L)]]/2200)</f>
        <v>2.254</v>
      </c>
      <c r="AH77" s="13">
        <f>[66]Data!$AQ$183</f>
        <v>181.02301933130985</v>
      </c>
      <c r="AI77" s="53">
        <f>'[63]DNL_Bounds Visit A'!$K$16</f>
        <v>4.074478159026753E-3</v>
      </c>
      <c r="AJ77" s="13">
        <f>'[63]DNL_Bounds Visit A'!$K$24</f>
        <v>5.2686793137225143</v>
      </c>
      <c r="AK77" s="23">
        <f>(Data6[[#This Row],[DNL (%)]]/100)*Data6[[#This Row],[VLDL (umol/L)]]</f>
        <v>9.5375223725846308</v>
      </c>
      <c r="AL77" s="13">
        <f>[4]SAMPLES!$L$120</f>
        <v>29.06265780313106</v>
      </c>
      <c r="AM77" s="60">
        <f>(Data6[[#This Row],[Gluconeogensis (%)]]/100)*Data6[[#This Row],[Glucose (mmol/L)]]</f>
        <v>0.99510540317920748</v>
      </c>
      <c r="AN77" s="61">
        <f>Data6[[#This Row],[Glucose (mmol/L)]]-Data6[[#This Row],[Gluconeogenesis (mmol/L)]]</f>
        <v>2.4288945968207925</v>
      </c>
      <c r="AO77" s="61" t="s">
        <v>535</v>
      </c>
      <c r="AP77" s="11"/>
    </row>
    <row r="78" spans="1:42" s="27" customFormat="1" x14ac:dyDescent="0.25">
      <c r="A78" s="7">
        <v>108</v>
      </c>
      <c r="B78" s="7" t="s">
        <v>185</v>
      </c>
      <c r="C78" s="7" t="s">
        <v>186</v>
      </c>
      <c r="D78" s="7"/>
      <c r="E78" s="7"/>
      <c r="F78" s="7"/>
      <c r="G78" s="7" t="s">
        <v>227</v>
      </c>
      <c r="H78" s="7">
        <v>56</v>
      </c>
      <c r="I78" s="7"/>
      <c r="J78" s="7"/>
      <c r="K78" s="7">
        <v>162</v>
      </c>
      <c r="L78" s="7">
        <v>66.900000000000006</v>
      </c>
      <c r="M78" s="8">
        <f>L78/((K78/100)*(K78/100))</f>
        <v>25.491540923639686</v>
      </c>
      <c r="N78" s="7">
        <v>82</v>
      </c>
      <c r="O78" s="7">
        <v>99</v>
      </c>
      <c r="P78" s="9">
        <f>Data6[[#This Row],[Waist_Circumference]]/Data6[[#This Row],[Hip_circumference]]</f>
        <v>0.82828282828282829</v>
      </c>
      <c r="Q78" s="10">
        <v>22690</v>
      </c>
      <c r="R78" s="10">
        <v>41500</v>
      </c>
      <c r="S78" s="10">
        <f>Q78+R78</f>
        <v>64190</v>
      </c>
      <c r="T78" s="9">
        <f>(Data6[[#This Row],[Total_fat_g]]/Data6[[#This Row],[Total_mass_g]])*100</f>
        <v>35.348185075556941</v>
      </c>
      <c r="U78" s="9">
        <f>(Data6[[#This Row],[Lean_mass_g]]/Data6[[#This Row],[Total_mass_g]])*100</f>
        <v>64.651814924443059</v>
      </c>
      <c r="V78" s="9"/>
      <c r="W78" s="9">
        <v>1.17</v>
      </c>
      <c r="X78" s="9">
        <v>5.38</v>
      </c>
      <c r="Y78" s="9">
        <v>11.07</v>
      </c>
      <c r="Z78" s="21">
        <f>(Data6[[#This Row],[Glucose (mmol/L)]]*Data6[[#This Row],[Insulin (umol/L)]])/22.5</f>
        <v>2.64696</v>
      </c>
      <c r="AA78" s="9">
        <v>629.79999999999995</v>
      </c>
      <c r="AB78" s="9">
        <v>823.8</v>
      </c>
      <c r="AC78" s="9">
        <v>32.450000000000003</v>
      </c>
      <c r="AD78" s="9">
        <v>5.2</v>
      </c>
      <c r="AE78" s="9">
        <v>1.29</v>
      </c>
      <c r="AF78" s="9">
        <f>Data6[[#This Row],[total_chol (umol/L)]]-Data6[[#This Row],[HDL_chol (umol/L)]]</f>
        <v>3.91</v>
      </c>
      <c r="AG78" s="9">
        <f>Data6[[#This Row],[Non_HDL (umol/L)]]-(Data6[[#This Row],[TAG (umol/L)]]/2200)</f>
        <v>3.5355454545454545</v>
      </c>
      <c r="AH78" s="9">
        <v>219.54</v>
      </c>
      <c r="AI78" s="51">
        <v>3.241770139209202E-3</v>
      </c>
      <c r="AJ78" s="9">
        <v>0.46730051181548654</v>
      </c>
      <c r="AK78" s="23">
        <f>(Data6[[#This Row],[DNL (%)]]/100)*Data6[[#This Row],[VLDL (umol/L)]]</f>
        <v>1.025911543639719</v>
      </c>
      <c r="AL78" s="9">
        <f>[4]SAMPLES!$L$257</f>
        <v>29.572001908902291</v>
      </c>
      <c r="AM78" s="57">
        <f>(Data6[[#This Row],[Gluconeogensis (%)]]/100)*Data6[[#This Row],[Glucose (mmol/L)]]</f>
        <v>1.5909737026989432</v>
      </c>
      <c r="AN78" s="61">
        <f>Data6[[#This Row],[Glucose (mmol/L)]]-Data6[[#This Row],[Gluconeogenesis (mmol/L)]]</f>
        <v>3.7890262973010564</v>
      </c>
      <c r="AO78" s="61" t="s">
        <v>535</v>
      </c>
      <c r="AP78" s="7"/>
    </row>
    <row r="79" spans="1:42" s="27" customFormat="1" x14ac:dyDescent="0.25">
      <c r="A79" s="7">
        <v>66</v>
      </c>
      <c r="B79" s="7" t="s">
        <v>109</v>
      </c>
      <c r="C79" s="7" t="s">
        <v>110</v>
      </c>
      <c r="D79" s="7"/>
      <c r="E79" s="7"/>
      <c r="F79" s="7"/>
      <c r="G79" s="7" t="s">
        <v>227</v>
      </c>
      <c r="H79" s="7">
        <v>42</v>
      </c>
      <c r="I79" s="7"/>
      <c r="J79" s="7"/>
      <c r="K79" s="7">
        <v>170</v>
      </c>
      <c r="L79" s="7">
        <v>65.7</v>
      </c>
      <c r="M79" s="8">
        <f>L79/((K79/100)*(K79/100))</f>
        <v>22.733564013840834</v>
      </c>
      <c r="N79" s="7">
        <v>81</v>
      </c>
      <c r="O79" s="7">
        <v>101</v>
      </c>
      <c r="P79" s="9">
        <f>Data6[[#This Row],[Waist_Circumference]]/Data6[[#This Row],[Hip_circumference]]</f>
        <v>0.80198019801980203</v>
      </c>
      <c r="Q79" s="10">
        <v>19400</v>
      </c>
      <c r="R79" s="10">
        <v>43060</v>
      </c>
      <c r="S79" s="10">
        <f>Q79+R79</f>
        <v>62460</v>
      </c>
      <c r="T79" s="9">
        <f>(Data6[[#This Row],[Total_fat_g]]/Data6[[#This Row],[Total_mass_g]])*100</f>
        <v>31.05987832212616</v>
      </c>
      <c r="U79" s="9">
        <f>(Data6[[#This Row],[Lean_mass_g]]/Data6[[#This Row],[Total_mass_g]])*100</f>
        <v>68.940121677873847</v>
      </c>
      <c r="V79" s="9">
        <v>191</v>
      </c>
      <c r="W79" s="9">
        <v>1.27</v>
      </c>
      <c r="X79" s="9">
        <v>4.74</v>
      </c>
      <c r="Y79" s="9">
        <v>11.1</v>
      </c>
      <c r="Z79" s="21">
        <f>(Data6[[#This Row],[Glucose (mmol/L)]]*Data6[[#This Row],[Insulin (umol/L)]])/22.5</f>
        <v>2.3384</v>
      </c>
      <c r="AA79" s="9">
        <v>720.33</v>
      </c>
      <c r="AB79" s="9">
        <v>493.1</v>
      </c>
      <c r="AC79" s="9">
        <v>86.6</v>
      </c>
      <c r="AD79" s="9">
        <v>5.5</v>
      </c>
      <c r="AE79" s="9">
        <v>1.76</v>
      </c>
      <c r="AF79" s="9">
        <f>Data6[[#This Row],[total_chol (umol/L)]]-Data6[[#This Row],[HDL_chol (umol/L)]]</f>
        <v>3.74</v>
      </c>
      <c r="AG79" s="9">
        <f>Data6[[#This Row],[Non_HDL (umol/L)]]-(Data6[[#This Row],[TAG (umol/L)]]/2200)</f>
        <v>3.5158636363636364</v>
      </c>
      <c r="AH79" s="9">
        <v>76.73</v>
      </c>
      <c r="AI79" s="51">
        <v>3.7003429861167197E-3</v>
      </c>
      <c r="AJ79" s="9">
        <v>5.757408413193196</v>
      </c>
      <c r="AK79" s="23">
        <f>(Data6[[#This Row],[DNL (%)]]/100)*Data6[[#This Row],[VLDL (umol/L)]]</f>
        <v>4.4176594754431395</v>
      </c>
      <c r="AL79" s="9">
        <f>[4]SAMPLES!$L$27</f>
        <v>15.452422744157248</v>
      </c>
      <c r="AM79" s="57">
        <f>(Data6[[#This Row],[Gluconeogensis (%)]]/100)*Data6[[#This Row],[Glucose (mmol/L)]]</f>
        <v>0.73244483807305361</v>
      </c>
      <c r="AN79" s="61">
        <f>Data6[[#This Row],[Glucose (mmol/L)]]-Data6[[#This Row],[Gluconeogenesis (mmol/L)]]</f>
        <v>4.0075551619269465</v>
      </c>
      <c r="AO79" s="61" t="s">
        <v>535</v>
      </c>
      <c r="AP79" s="7"/>
    </row>
    <row r="80" spans="1:42" s="27" customFormat="1" x14ac:dyDescent="0.25">
      <c r="A80" s="33">
        <v>126</v>
      </c>
      <c r="B80" s="33" t="s">
        <v>214</v>
      </c>
      <c r="C80" s="33" t="s">
        <v>226</v>
      </c>
      <c r="D80" s="33" t="s">
        <v>386</v>
      </c>
      <c r="E80" s="33" t="s">
        <v>23</v>
      </c>
      <c r="F80" s="33"/>
      <c r="G80" s="33" t="s">
        <v>227</v>
      </c>
      <c r="H80" s="33">
        <v>47</v>
      </c>
      <c r="I80" s="33" t="s">
        <v>229</v>
      </c>
      <c r="J80" s="33"/>
      <c r="K80" s="33">
        <v>171</v>
      </c>
      <c r="L80" s="33">
        <v>79.400000000000006</v>
      </c>
      <c r="M80" s="34">
        <f>L80/((K80/100)*(K80/100))</f>
        <v>27.153654115796318</v>
      </c>
      <c r="N80" s="33">
        <v>94</v>
      </c>
      <c r="O80" s="33">
        <v>109</v>
      </c>
      <c r="P80" s="35">
        <f>Data6[[#This Row],[Waist_Circumference]]/Data6[[#This Row],[Hip_circumference]]</f>
        <v>0.86238532110091748</v>
      </c>
      <c r="Q80" s="36">
        <f>[50]Antropometrics!$F$16</f>
        <v>32646</v>
      </c>
      <c r="R80" s="36">
        <f>[50]Antropometrics!$F$17</f>
        <v>42894</v>
      </c>
      <c r="S80" s="36">
        <f>Q80+R80</f>
        <v>75540</v>
      </c>
      <c r="T80" s="35">
        <f>(Data6[[#This Row],[Total_fat_g]]/Data6[[#This Row],[Total_mass_g]])*100</f>
        <v>43.21683876092137</v>
      </c>
      <c r="U80" s="35">
        <f>(Data6[[#This Row],[Lean_mass_g]]/Data6[[#This Row],[Total_mass_g]])*100</f>
        <v>56.783161239078638</v>
      </c>
      <c r="V80" s="35">
        <v>649</v>
      </c>
      <c r="W80" s="35">
        <v>1.48909379521234</v>
      </c>
      <c r="X80" s="35">
        <f>[51]Glucose!$F$7</f>
        <v>4.5750000000000002</v>
      </c>
      <c r="Y80" s="35">
        <f>[51]Insulin!$F$7</f>
        <v>11.121</v>
      </c>
      <c r="Z80" s="21">
        <f>(Data6[[#This Row],[Glucose (mmol/L)]]*Data6[[#This Row],[Insulin (umol/L)]])/22.5</f>
        <v>2.2612700000000001</v>
      </c>
      <c r="AA80" s="35">
        <f>[51]NEFA!$F$7</f>
        <v>496.6</v>
      </c>
      <c r="AB80" s="35">
        <f>[51]TAG!$F$7</f>
        <v>1050.9000000000001</v>
      </c>
      <c r="AC80" s="35">
        <f>'[51]3OHB'!$F$7</f>
        <v>65.099999999999994</v>
      </c>
      <c r="AD80" s="35">
        <f>'[51]Chol, HDL'!$F$7</f>
        <v>4.78</v>
      </c>
      <c r="AE80" s="35">
        <f>'[51]Chol, HDL'!$F$24</f>
        <v>1.54</v>
      </c>
      <c r="AF80" s="35">
        <f>Data6[[#This Row],[total_chol (umol/L)]]-Data6[[#This Row],[HDL_chol (umol/L)]]</f>
        <v>3.24</v>
      </c>
      <c r="AG80" s="35">
        <f>Data6[[#This Row],[Non_HDL (umol/L)]]-(Data6[[#This Row],[TAG (umol/L)]]/2200)</f>
        <v>2.7623181818181819</v>
      </c>
      <c r="AH80" s="35">
        <v>677.19553124999993</v>
      </c>
      <c r="AI80" s="52">
        <f>[51]DNL!$F$5</f>
        <v>3.6394114864659027E-3</v>
      </c>
      <c r="AJ80" s="35">
        <f>[51]DNL!$F$49</f>
        <v>4.1766700483134178</v>
      </c>
      <c r="AK80" s="23">
        <f>(Data6[[#This Row],[DNL (%)]]/100)*Data6[[#This Row],[VLDL (umol/L)]]</f>
        <v>28.284222922235678</v>
      </c>
      <c r="AL80" s="35">
        <f>[4]SAMPLES!$L$149</f>
        <v>30.81701515280082</v>
      </c>
      <c r="AM80" s="58">
        <f>(Data6[[#This Row],[Gluconeogensis (%)]]/100)*Data6[[#This Row],[Glucose (mmol/L)]]</f>
        <v>1.4098784432406375</v>
      </c>
      <c r="AN80" s="61">
        <f>Data6[[#This Row],[Glucose (mmol/L)]]-Data6[[#This Row],[Gluconeogenesis (mmol/L)]]</f>
        <v>3.1651215567593627</v>
      </c>
      <c r="AO80" s="61" t="s">
        <v>535</v>
      </c>
      <c r="AP80" s="33"/>
    </row>
    <row r="81" spans="1:42" s="27" customFormat="1" x14ac:dyDescent="0.25">
      <c r="A81" s="11">
        <v>182</v>
      </c>
      <c r="B81" s="11" t="s">
        <v>293</v>
      </c>
      <c r="C81" s="11" t="s">
        <v>233</v>
      </c>
      <c r="D81" s="11">
        <v>1</v>
      </c>
      <c r="E81" s="11"/>
      <c r="F81" s="11" t="s">
        <v>397</v>
      </c>
      <c r="G81" s="11" t="s">
        <v>228</v>
      </c>
      <c r="H81" s="11">
        <f>[63]Characteristics!$I$8</f>
        <v>47</v>
      </c>
      <c r="I81" s="11"/>
      <c r="J81" s="11"/>
      <c r="K81" s="11">
        <f>'[63]Anthro, DXA, Liver fat'!$I$6</f>
        <v>184</v>
      </c>
      <c r="L81" s="11">
        <f>'[63]Anthro, DXA, Liver fat'!$I$5</f>
        <v>105.7</v>
      </c>
      <c r="M81" s="12">
        <f>L81/((K81/100)*(K81/100))</f>
        <v>31.220463137996219</v>
      </c>
      <c r="N81" s="11">
        <f>'[63]Anthro, DXA, Liver fat'!$I$8</f>
        <v>105</v>
      </c>
      <c r="O81" s="11"/>
      <c r="P81" s="13" t="e">
        <f>Data6[[#This Row],[Waist_Circumference]]/Data6[[#This Row],[Hip_circumference]]</f>
        <v>#DIV/0!</v>
      </c>
      <c r="Q81" s="14">
        <f>'[63]Anthro, DXA, Liver fat'!$I$19</f>
        <v>33884.635297781002</v>
      </c>
      <c r="R81" s="14">
        <f>'[63]Anthro, DXA, Liver fat'!$I$20</f>
        <v>67575.288749337997</v>
      </c>
      <c r="S81" s="14">
        <f>Q81+R81</f>
        <v>101459.924047119</v>
      </c>
      <c r="T81" s="13">
        <f>(Data6[[#This Row],[Total_fat_g]]/Data6[[#This Row],[Total_mass_g]])*100</f>
        <v>33.397063536184632</v>
      </c>
      <c r="U81" s="13">
        <f>(Data6[[#This Row],[Lean_mass_g]]/Data6[[#This Row],[Total_mass_g]])*100</f>
        <v>66.602936463815368</v>
      </c>
      <c r="V81" s="13">
        <f>'[63]Anthro, DXA, Liver fat'!$I$27</f>
        <v>2099.9199084451998</v>
      </c>
      <c r="W81" s="13">
        <f>'[64]IHTG Corrected'!$D$16</f>
        <v>4.3729280712400396</v>
      </c>
      <c r="X81" s="13">
        <f>[63]Glucose!$I$7</f>
        <v>5.7149999999999999</v>
      </c>
      <c r="Y81" s="13">
        <f>[72]Insulin!$I$3</f>
        <v>11.161999999999999</v>
      </c>
      <c r="Z81" s="21">
        <f>(Data6[[#This Row],[Glucose (mmol/L)]]*Data6[[#This Row],[Insulin (umol/L)]])/22.5</f>
        <v>2.8351479999999998</v>
      </c>
      <c r="AA81" s="13">
        <f>[63]NEFA!$I$7</f>
        <v>589.9</v>
      </c>
      <c r="AB81" s="13">
        <f>[63]TAG!$I$7</f>
        <v>1263.9000000000001</v>
      </c>
      <c r="AC81" s="13">
        <f>'[63]3-OHB'!$I$7</f>
        <v>153.1</v>
      </c>
      <c r="AD81" s="13">
        <f>'[63]Apo B, Cholesterol, HDL, ALT'!$I$17</f>
        <v>5.34</v>
      </c>
      <c r="AE81" s="13">
        <f>'[63]Apo B, Cholesterol, HDL, ALT'!$I$27</f>
        <v>0.88</v>
      </c>
      <c r="AF81" s="13">
        <f>Data6[[#This Row],[total_chol (umol/L)]]-Data6[[#This Row],[HDL_chol (umol/L)]]</f>
        <v>4.46</v>
      </c>
      <c r="AG81" s="13">
        <f>Data6[[#This Row],[Non_HDL (umol/L)]]-(Data6[[#This Row],[TAG (umol/L)]]/2200)</f>
        <v>3.8855</v>
      </c>
      <c r="AH81" s="13">
        <f>[66]Data!$AQ$143</f>
        <v>376.38064756596009</v>
      </c>
      <c r="AI81" s="53">
        <f>'[63]DNL_Bounds Visit A'!$I$16</f>
        <v>4.7159381146575606E-3</v>
      </c>
      <c r="AJ81" s="13">
        <f>'[63]DNL_Bounds Visit A'!$I$24</f>
        <v>3.4602616037070848</v>
      </c>
      <c r="AK81" s="23">
        <f>(Data6[[#This Row],[DNL (%)]]/100)*Data6[[#This Row],[VLDL (umol/L)]]</f>
        <v>13.023755031509001</v>
      </c>
      <c r="AL81" s="13">
        <f>[4]SAMPLES!$L$116</f>
        <v>26.047019318455611</v>
      </c>
      <c r="AM81" s="60">
        <f>(Data6[[#This Row],[Gluconeogensis (%)]]/100)*Data6[[#This Row],[Glucose (mmol/L)]]</f>
        <v>1.4885871540497382</v>
      </c>
      <c r="AN81" s="61">
        <f>Data6[[#This Row],[Glucose (mmol/L)]]-Data6[[#This Row],[Gluconeogenesis (mmol/L)]]</f>
        <v>4.2264128459502617</v>
      </c>
      <c r="AO81" s="61" t="s">
        <v>535</v>
      </c>
      <c r="AP81" s="11"/>
    </row>
    <row r="82" spans="1:42" s="27" customFormat="1" x14ac:dyDescent="0.25">
      <c r="A82" s="15">
        <v>28</v>
      </c>
      <c r="B82" s="15" t="s">
        <v>63</v>
      </c>
      <c r="C82" s="15" t="s">
        <v>64</v>
      </c>
      <c r="D82" s="15" t="s">
        <v>386</v>
      </c>
      <c r="E82" s="15"/>
      <c r="F82" s="15">
        <v>5115</v>
      </c>
      <c r="G82" s="15" t="s">
        <v>228</v>
      </c>
      <c r="H82" s="15">
        <v>44</v>
      </c>
      <c r="I82" s="15" t="s">
        <v>146</v>
      </c>
      <c r="J82" s="15"/>
      <c r="K82" s="15">
        <v>180</v>
      </c>
      <c r="L82" s="15">
        <v>73.900000000000006</v>
      </c>
      <c r="M82" s="16">
        <f>L82/((K82/100)*(K82/100))</f>
        <v>22.808641975308642</v>
      </c>
      <c r="N82" s="15">
        <v>86</v>
      </c>
      <c r="O82" s="15">
        <v>93</v>
      </c>
      <c r="P82" s="17">
        <f>Data6[[#This Row],[Waist_Circumference]]/Data6[[#This Row],[Hip_circumference]]</f>
        <v>0.92473118279569888</v>
      </c>
      <c r="Q82" s="18">
        <f>'[1]Anthro data'!$AC$27</f>
        <v>19394.161588927</v>
      </c>
      <c r="R82" s="18">
        <f>'[1]Anthro data'!$AC$28</f>
        <v>52379.039246018998</v>
      </c>
      <c r="S82" s="18">
        <f>Q82+R82</f>
        <v>71773.200834945994</v>
      </c>
      <c r="T82" s="17">
        <f>(Data6[[#This Row],[Total_fat_g]]/Data6[[#This Row],[Total_mass_g]])*100</f>
        <v>27.021452803152794</v>
      </c>
      <c r="U82" s="17">
        <f>(Data6[[#This Row],[Lean_mass_g]]/Data6[[#This Row],[Total_mass_g]])*100</f>
        <v>72.978547196847217</v>
      </c>
      <c r="V82" s="17">
        <v>1102.645301</v>
      </c>
      <c r="W82" s="17">
        <v>1.7</v>
      </c>
      <c r="X82" s="17">
        <f>[1]Glucose!$AC$3</f>
        <v>4.8650000000000002</v>
      </c>
      <c r="Y82" s="17">
        <f>'[1]Insulin+HOMA'!$AC$3</f>
        <v>11.297499999999999</v>
      </c>
      <c r="Z82" s="21">
        <f>(Data6[[#This Row],[Glucose (mmol/L)]]*Data6[[#This Row],[Insulin (umol/L)]])/22.5</f>
        <v>2.4427705555555552</v>
      </c>
      <c r="AA82" s="17">
        <f>[1]NEFA!$AC$3</f>
        <v>364.7</v>
      </c>
      <c r="AB82" s="17">
        <f>[1]TAG!$AC$3</f>
        <v>2204</v>
      </c>
      <c r="AC82" s="17">
        <f>'[1]3-OHB'!$AC$3</f>
        <v>38.9</v>
      </c>
      <c r="AD82" s="17">
        <f>'[32]Apo B, HDL, Cholesterol, ALT'!$F$6</f>
        <v>5.03</v>
      </c>
      <c r="AE82" s="17">
        <f>'[32]Apo B, HDL, Cholesterol, ALT'!$M$6</f>
        <v>1.02</v>
      </c>
      <c r="AF82" s="17">
        <f>Data6[[#This Row],[total_chol (umol/L)]]-Data6[[#This Row],[HDL_chol (umol/L)]]</f>
        <v>4.01</v>
      </c>
      <c r="AG82" s="17">
        <f>Data6[[#This Row],[Non_HDL (umol/L)]]-(Data6[[#This Row],[TAG (umol/L)]]/2200)</f>
        <v>3.0081818181818178</v>
      </c>
      <c r="AH82" s="17">
        <v>1457.9</v>
      </c>
      <c r="AI82" s="50">
        <f>'[28]plasma H2O'!$G$4</f>
        <v>3.5153016715580134E-3</v>
      </c>
      <c r="AJ82" s="17">
        <f>[1]DNL_160!$AC$5</f>
        <v>5.8665133351554672</v>
      </c>
      <c r="AK82" s="23">
        <f>(Data6[[#This Row],[DNL (%)]]/100)*Data6[[#This Row],[VLDL (umol/L)]]</f>
        <v>85.52789791323157</v>
      </c>
      <c r="AL82" s="17">
        <f>[4]SAMPLES!$L$47</f>
        <v>24.736674126970019</v>
      </c>
      <c r="AM82" s="56">
        <f>(Data6[[#This Row],[Gluconeogensis (%)]]/100)*Data6[[#This Row],[Glucose (mmol/L)]]</f>
        <v>1.2034391962770914</v>
      </c>
      <c r="AN82" s="61">
        <f>Data6[[#This Row],[Glucose (mmol/L)]]-Data6[[#This Row],[Gluconeogenesis (mmol/L)]]</f>
        <v>3.6615608037229088</v>
      </c>
      <c r="AO82" s="61" t="s">
        <v>535</v>
      </c>
      <c r="AP82" s="15"/>
    </row>
    <row r="83" spans="1:42" s="11" customFormat="1" x14ac:dyDescent="0.25">
      <c r="A83" s="7">
        <v>97</v>
      </c>
      <c r="B83" s="7" t="s">
        <v>166</v>
      </c>
      <c r="C83" s="7" t="s">
        <v>167</v>
      </c>
      <c r="D83" s="7"/>
      <c r="E83" s="7"/>
      <c r="F83" s="7"/>
      <c r="G83" s="7" t="s">
        <v>227</v>
      </c>
      <c r="H83" s="7">
        <v>61</v>
      </c>
      <c r="I83" s="7" t="s">
        <v>146</v>
      </c>
      <c r="J83" s="7"/>
      <c r="K83" s="7">
        <v>166</v>
      </c>
      <c r="L83" s="7">
        <v>62.2</v>
      </c>
      <c r="M83" s="8">
        <f>L83/((K83/100)*(K83/100))</f>
        <v>22.572216577151984</v>
      </c>
      <c r="N83" s="7">
        <v>78</v>
      </c>
      <c r="O83" s="7">
        <v>102</v>
      </c>
      <c r="P83" s="9">
        <f>Data6[[#This Row],[Waist_Circumference]]/Data6[[#This Row],[Hip_circumference]]</f>
        <v>0.76470588235294112</v>
      </c>
      <c r="Q83" s="10">
        <v>20960</v>
      </c>
      <c r="R83" s="10">
        <v>36530</v>
      </c>
      <c r="S83" s="10">
        <f>Q83+R83</f>
        <v>57490</v>
      </c>
      <c r="T83" s="9">
        <f>(Data6[[#This Row],[Total_fat_g]]/Data6[[#This Row],[Total_mass_g]])*100</f>
        <v>36.458514524265091</v>
      </c>
      <c r="U83" s="9">
        <f>(Data6[[#This Row],[Lean_mass_g]]/Data6[[#This Row],[Total_mass_g]])*100</f>
        <v>63.541485475734916</v>
      </c>
      <c r="V83" s="9"/>
      <c r="W83" s="9">
        <v>0.84</v>
      </c>
      <c r="X83" s="9">
        <v>5.04</v>
      </c>
      <c r="Y83" s="9">
        <v>11.33</v>
      </c>
      <c r="Z83" s="21">
        <f>(Data6[[#This Row],[Glucose (mmol/L)]]*Data6[[#This Row],[Insulin (umol/L)]])/22.5</f>
        <v>2.5379200000000002</v>
      </c>
      <c r="AA83" s="9">
        <v>728.46</v>
      </c>
      <c r="AB83" s="9">
        <v>872.25</v>
      </c>
      <c r="AC83" s="9">
        <v>66.25</v>
      </c>
      <c r="AD83" s="9">
        <v>5.3</v>
      </c>
      <c r="AE83" s="9">
        <v>1.49</v>
      </c>
      <c r="AF83" s="9">
        <f>Data6[[#This Row],[total_chol (umol/L)]]-Data6[[#This Row],[HDL_chol (umol/L)]]</f>
        <v>3.8099999999999996</v>
      </c>
      <c r="AG83" s="9">
        <f>Data6[[#This Row],[Non_HDL (umol/L)]]-(Data6[[#This Row],[TAG (umol/L)]]/2200)</f>
        <v>3.4135227272727269</v>
      </c>
      <c r="AH83" s="9">
        <v>152.6</v>
      </c>
      <c r="AI83" s="51">
        <v>3.3057923255605075E-3</v>
      </c>
      <c r="AJ83" s="9">
        <v>0.94187294814668587</v>
      </c>
      <c r="AK83" s="23">
        <f>(Data6[[#This Row],[DNL (%)]]/100)*Data6[[#This Row],[VLDL (umol/L)]]</f>
        <v>1.4372981188718426</v>
      </c>
      <c r="AL83" s="9">
        <f>[4]SAMPLES!$L$246</f>
        <v>32.488771999192686</v>
      </c>
      <c r="AM83" s="57">
        <f>(Data6[[#This Row],[Gluconeogensis (%)]]/100)*Data6[[#This Row],[Glucose (mmol/L)]]</f>
        <v>1.6374341087593112</v>
      </c>
      <c r="AN83" s="61">
        <f>Data6[[#This Row],[Glucose (mmol/L)]]-Data6[[#This Row],[Gluconeogenesis (mmol/L)]]</f>
        <v>3.4025658912406889</v>
      </c>
      <c r="AO83" s="61" t="s">
        <v>535</v>
      </c>
      <c r="AP83" s="7"/>
    </row>
    <row r="84" spans="1:42" s="11" customFormat="1" x14ac:dyDescent="0.25">
      <c r="A84" s="7">
        <v>114</v>
      </c>
      <c r="B84" s="7" t="s">
        <v>195</v>
      </c>
      <c r="C84" s="7" t="s">
        <v>196</v>
      </c>
      <c r="D84" s="7"/>
      <c r="E84" s="7"/>
      <c r="F84" s="7"/>
      <c r="G84" s="7" t="s">
        <v>227</v>
      </c>
      <c r="H84" s="7">
        <v>59</v>
      </c>
      <c r="I84" s="7"/>
      <c r="J84" s="7"/>
      <c r="K84" s="7">
        <v>160</v>
      </c>
      <c r="L84" s="7">
        <v>72.95</v>
      </c>
      <c r="M84" s="8">
        <f>L84/((K84/100)*(K84/100))</f>
        <v>28.496093749999996</v>
      </c>
      <c r="N84" s="7">
        <v>92</v>
      </c>
      <c r="O84" s="7">
        <v>108</v>
      </c>
      <c r="P84" s="9">
        <f>Data6[[#This Row],[Waist_Circumference]]/Data6[[#This Row],[Hip_circumference]]</f>
        <v>0.85185185185185186</v>
      </c>
      <c r="Q84" s="10">
        <v>28800</v>
      </c>
      <c r="R84" s="10">
        <v>37920</v>
      </c>
      <c r="S84" s="10">
        <f>Q84+R84</f>
        <v>66720</v>
      </c>
      <c r="T84" s="9">
        <f>(Data6[[#This Row],[Total_fat_g]]/Data6[[#This Row],[Total_mass_g]])*100</f>
        <v>43.165467625899282</v>
      </c>
      <c r="U84" s="9">
        <f>(Data6[[#This Row],[Lean_mass_g]]/Data6[[#This Row],[Total_mass_g]])*100</f>
        <v>56.834532374100718</v>
      </c>
      <c r="V84" s="9"/>
      <c r="W84" s="9">
        <v>1.49</v>
      </c>
      <c r="X84" s="9">
        <v>5.22</v>
      </c>
      <c r="Y84" s="9">
        <v>11.33</v>
      </c>
      <c r="Z84" s="21">
        <f>(Data6[[#This Row],[Glucose (mmol/L)]]*Data6[[#This Row],[Insulin (umol/L)]])/22.5</f>
        <v>2.6285599999999998</v>
      </c>
      <c r="AA84" s="9">
        <v>458.15</v>
      </c>
      <c r="AB84" s="9">
        <v>1563.1</v>
      </c>
      <c r="AC84" s="9">
        <v>81.7</v>
      </c>
      <c r="AD84" s="9">
        <v>6.7</v>
      </c>
      <c r="AE84" s="9">
        <v>1.25</v>
      </c>
      <c r="AF84" s="9">
        <f>Data6[[#This Row],[total_chol (umol/L)]]-Data6[[#This Row],[HDL_chol (umol/L)]]</f>
        <v>5.45</v>
      </c>
      <c r="AG84" s="9">
        <f>Data6[[#This Row],[Non_HDL (umol/L)]]-(Data6[[#This Row],[TAG (umol/L)]]/2200)</f>
        <v>4.7395000000000005</v>
      </c>
      <c r="AH84" s="9">
        <v>480.62</v>
      </c>
      <c r="AI84" s="51">
        <v>3.5281269316199508E-3</v>
      </c>
      <c r="AJ84" s="9">
        <v>11.49770885918154</v>
      </c>
      <c r="AK84" s="23">
        <f>(Data6[[#This Row],[DNL (%)]]/100)*Data6[[#This Row],[VLDL (umol/L)]]</f>
        <v>55.260288318998313</v>
      </c>
      <c r="AL84" s="9">
        <f>[4]SAMPLES!$L$262</f>
        <v>28.815633440821859</v>
      </c>
      <c r="AM84" s="57">
        <f>(Data6[[#This Row],[Gluconeogensis (%)]]/100)*Data6[[#This Row],[Glucose (mmol/L)]]</f>
        <v>1.5041760656109009</v>
      </c>
      <c r="AN84" s="61">
        <f>Data6[[#This Row],[Glucose (mmol/L)]]-Data6[[#This Row],[Gluconeogenesis (mmol/L)]]</f>
        <v>3.7158239343890989</v>
      </c>
      <c r="AO84" s="61" t="s">
        <v>535</v>
      </c>
      <c r="AP84" s="7"/>
    </row>
    <row r="85" spans="1:42" s="11" customFormat="1" x14ac:dyDescent="0.25">
      <c r="A85" s="7">
        <v>67</v>
      </c>
      <c r="B85" s="7" t="s">
        <v>111</v>
      </c>
      <c r="C85" s="7" t="s">
        <v>112</v>
      </c>
      <c r="D85" s="7"/>
      <c r="E85" s="7"/>
      <c r="F85" s="7"/>
      <c r="G85" s="7" t="s">
        <v>227</v>
      </c>
      <c r="H85" s="7">
        <v>42</v>
      </c>
      <c r="I85" s="7" t="s">
        <v>146</v>
      </c>
      <c r="J85" s="7"/>
      <c r="K85" s="7">
        <v>161</v>
      </c>
      <c r="L85" s="7">
        <v>61.4</v>
      </c>
      <c r="M85" s="8">
        <f>L85/((K85/100)*(K85/100))</f>
        <v>23.687357740827895</v>
      </c>
      <c r="N85" s="7">
        <v>76</v>
      </c>
      <c r="O85" s="7">
        <v>96</v>
      </c>
      <c r="P85" s="9">
        <f>Data6[[#This Row],[Waist_Circumference]]/Data6[[#This Row],[Hip_circumference]]</f>
        <v>0.79166666666666663</v>
      </c>
      <c r="Q85" s="10">
        <v>20440</v>
      </c>
      <c r="R85" s="10">
        <v>37400</v>
      </c>
      <c r="S85" s="10">
        <f>Q85+R85</f>
        <v>57840</v>
      </c>
      <c r="T85" s="9">
        <f>(Data6[[#This Row],[Total_fat_g]]/Data6[[#This Row],[Total_mass_g]])*100</f>
        <v>35.33886583679115</v>
      </c>
      <c r="U85" s="9">
        <f>(Data6[[#This Row],[Lean_mass_g]]/Data6[[#This Row],[Total_mass_g]])*100</f>
        <v>64.661134163208857</v>
      </c>
      <c r="V85" s="9"/>
      <c r="W85" s="9">
        <v>0.25</v>
      </c>
      <c r="X85" s="9">
        <v>4.49</v>
      </c>
      <c r="Y85" s="9">
        <v>11.41</v>
      </c>
      <c r="Z85" s="21">
        <f>(Data6[[#This Row],[Glucose (mmol/L)]]*Data6[[#This Row],[Insulin (umol/L)]])/22.5</f>
        <v>2.276928888888889</v>
      </c>
      <c r="AA85" s="9">
        <v>619.79999999999995</v>
      </c>
      <c r="AB85" s="9">
        <v>507.75</v>
      </c>
      <c r="AC85" s="9">
        <v>80.45</v>
      </c>
      <c r="AD85" s="9">
        <v>4</v>
      </c>
      <c r="AE85" s="9">
        <v>1.82</v>
      </c>
      <c r="AF85" s="9">
        <f>Data6[[#This Row],[total_chol (umol/L)]]-Data6[[#This Row],[HDL_chol (umol/L)]]</f>
        <v>2.1799999999999997</v>
      </c>
      <c r="AG85" s="9">
        <f>Data6[[#This Row],[Non_HDL (umol/L)]]-(Data6[[#This Row],[TAG (umol/L)]]/2200)</f>
        <v>1.9492045454545452</v>
      </c>
      <c r="AH85" s="9">
        <v>106.12</v>
      </c>
      <c r="AI85" s="51">
        <v>5.066166072970048E-3</v>
      </c>
      <c r="AJ85" s="9">
        <v>4.8586021687719469</v>
      </c>
      <c r="AK85" s="23">
        <f>(Data6[[#This Row],[DNL (%)]]/100)*Data6[[#This Row],[VLDL (umol/L)]]</f>
        <v>5.1559486215007908</v>
      </c>
      <c r="AL85" s="9">
        <f>[4]SAMPLES!$L$28</f>
        <v>19.847583277295865</v>
      </c>
      <c r="AM85" s="57">
        <f>(Data6[[#This Row],[Gluconeogensis (%)]]/100)*Data6[[#This Row],[Glucose (mmol/L)]]</f>
        <v>0.89115648915058443</v>
      </c>
      <c r="AN85" s="61">
        <f>Data6[[#This Row],[Glucose (mmol/L)]]-Data6[[#This Row],[Gluconeogenesis (mmol/L)]]</f>
        <v>3.5988435108494157</v>
      </c>
      <c r="AO85" s="61" t="s">
        <v>535</v>
      </c>
      <c r="AP85" s="7"/>
    </row>
    <row r="86" spans="1:42" s="11" customFormat="1" x14ac:dyDescent="0.25">
      <c r="A86" s="33">
        <v>137</v>
      </c>
      <c r="B86" s="33" t="s">
        <v>225</v>
      </c>
      <c r="C86" s="33" t="s">
        <v>226</v>
      </c>
      <c r="D86" s="33" t="s">
        <v>386</v>
      </c>
      <c r="E86" s="33" t="s">
        <v>407</v>
      </c>
      <c r="F86" s="33"/>
      <c r="G86" s="33" t="s">
        <v>227</v>
      </c>
      <c r="H86" s="33">
        <v>46</v>
      </c>
      <c r="I86" s="33" t="s">
        <v>229</v>
      </c>
      <c r="J86" s="33"/>
      <c r="K86" s="33">
        <v>178</v>
      </c>
      <c r="L86" s="33">
        <v>91.5</v>
      </c>
      <c r="M86" s="34">
        <f>L86/((K86/100)*(K86/100))</f>
        <v>28.878929428102513</v>
      </c>
      <c r="N86" s="33">
        <v>97</v>
      </c>
      <c r="O86" s="33">
        <v>112</v>
      </c>
      <c r="P86" s="35">
        <f>Data6[[#This Row],[Waist_Circumference]]/Data6[[#This Row],[Hip_circumference]]</f>
        <v>0.8660714285714286</v>
      </c>
      <c r="Q86" s="36">
        <f>[50]Antropometrics!$Q$16</f>
        <v>36040</v>
      </c>
      <c r="R86" s="36">
        <f>[50]Antropometrics!$Q$17</f>
        <v>51876</v>
      </c>
      <c r="S86" s="36">
        <f>Q86+R86</f>
        <v>87916</v>
      </c>
      <c r="T86" s="35">
        <f>(Data6[[#This Row],[Total_fat_g]]/Data6[[#This Row],[Total_mass_g]])*100</f>
        <v>40.993675781427726</v>
      </c>
      <c r="U86" s="35">
        <f>(Data6[[#This Row],[Lean_mass_g]]/Data6[[#This Row],[Total_mass_g]])*100</f>
        <v>59.006324218572267</v>
      </c>
      <c r="V86" s="35">
        <v>641</v>
      </c>
      <c r="W86" s="35">
        <v>0.93</v>
      </c>
      <c r="X86" s="35">
        <f>[51]Glucose!$Q$24</f>
        <v>5.8920000000000003</v>
      </c>
      <c r="Y86" s="35">
        <f>[51]Insulin!$Q$24</f>
        <v>11.452999999999999</v>
      </c>
      <c r="Z86" s="21">
        <f>(Data6[[#This Row],[Glucose (mmol/L)]]*Data6[[#This Row],[Insulin (umol/L)]])/22.5</f>
        <v>2.9991589333333333</v>
      </c>
      <c r="AA86" s="35">
        <f>[51]NEFA!$Q$24</f>
        <v>198.5</v>
      </c>
      <c r="AB86" s="35">
        <f>[51]TAG!$Q$24</f>
        <v>421</v>
      </c>
      <c r="AC86" s="35">
        <f>'[51]3OHB'!$Q$24</f>
        <v>62.9</v>
      </c>
      <c r="AD86" s="35">
        <f>'[51]Chol, HDL'!$Q$14</f>
        <v>4.57</v>
      </c>
      <c r="AE86" s="35">
        <f>'[51]Chol, HDL'!$Q$31</f>
        <v>1.39</v>
      </c>
      <c r="AF86" s="35">
        <f>Data6[[#This Row],[total_chol (umol/L)]]-Data6[[#This Row],[HDL_chol (umol/L)]]</f>
        <v>3.1800000000000006</v>
      </c>
      <c r="AG86" s="35">
        <f>Data6[[#This Row],[Non_HDL (umol/L)]]-(Data6[[#This Row],[TAG (umol/L)]]/2200)</f>
        <v>2.9886363636363642</v>
      </c>
      <c r="AH86" s="35">
        <v>302.34723750000006</v>
      </c>
      <c r="AI86" s="52">
        <f>[51]DNL!$Q$15</f>
        <v>3.6600622916999675E-3</v>
      </c>
      <c r="AJ86" s="35">
        <f>[51]DNL!$Q$61</f>
        <v>4.1472820830562762</v>
      </c>
      <c r="AK86" s="23">
        <f>(Data6[[#This Row],[DNL (%)]]/100)*Data6[[#This Row],[VLDL (umol/L)]]</f>
        <v>12.539192809453111</v>
      </c>
      <c r="AL86" s="35">
        <f>[4]SAMPLES!$L$160</f>
        <v>35.919803318302321</v>
      </c>
      <c r="AM86" s="58">
        <f>(Data6[[#This Row],[Gluconeogensis (%)]]/100)*Data6[[#This Row],[Glucose (mmol/L)]]</f>
        <v>2.1163948115143731</v>
      </c>
      <c r="AN86" s="61">
        <f>Data6[[#This Row],[Glucose (mmol/L)]]-Data6[[#This Row],[Gluconeogenesis (mmol/L)]]</f>
        <v>3.7756051884856272</v>
      </c>
      <c r="AO86" s="61" t="s">
        <v>536</v>
      </c>
      <c r="AP86" s="27"/>
    </row>
    <row r="87" spans="1:42" s="11" customFormat="1" x14ac:dyDescent="0.25">
      <c r="A87" s="7">
        <v>73</v>
      </c>
      <c r="B87" s="7" t="s">
        <v>109</v>
      </c>
      <c r="C87" s="7" t="s">
        <v>122</v>
      </c>
      <c r="D87" s="7"/>
      <c r="E87" s="7"/>
      <c r="F87" s="7"/>
      <c r="G87" s="7" t="s">
        <v>227</v>
      </c>
      <c r="H87" s="7">
        <v>35</v>
      </c>
      <c r="I87" s="7" t="s">
        <v>146</v>
      </c>
      <c r="J87" s="7"/>
      <c r="K87" s="7">
        <v>163</v>
      </c>
      <c r="L87" s="7">
        <v>61.1</v>
      </c>
      <c r="M87" s="8">
        <f>L87/((K87/100)*(K87/100))</f>
        <v>22.996725507170012</v>
      </c>
      <c r="N87" s="7">
        <v>75</v>
      </c>
      <c r="O87" s="7">
        <v>96</v>
      </c>
      <c r="P87" s="9">
        <f>Data6[[#This Row],[Waist_Circumference]]/Data6[[#This Row],[Hip_circumference]]</f>
        <v>0.78125</v>
      </c>
      <c r="Q87" s="10">
        <v>23040</v>
      </c>
      <c r="R87" s="10">
        <v>37440</v>
      </c>
      <c r="S87" s="10">
        <f>Q87+R87</f>
        <v>60480</v>
      </c>
      <c r="T87" s="9">
        <f>(Data6[[#This Row],[Total_fat_g]]/Data6[[#This Row],[Total_mass_g]])*100</f>
        <v>38.095238095238095</v>
      </c>
      <c r="U87" s="9">
        <f>(Data6[[#This Row],[Lean_mass_g]]/Data6[[#This Row],[Total_mass_g]])*100</f>
        <v>61.904761904761905</v>
      </c>
      <c r="V87" s="9">
        <v>189</v>
      </c>
      <c r="W87" s="9">
        <v>0.6</v>
      </c>
      <c r="X87" s="9">
        <v>4.8</v>
      </c>
      <c r="Y87" s="9">
        <v>11.55</v>
      </c>
      <c r="Z87" s="21">
        <f>(Data6[[#This Row],[Glucose (mmol/L)]]*Data6[[#This Row],[Insulin (umol/L)]])/22.5</f>
        <v>2.4640000000000004</v>
      </c>
      <c r="AA87" s="9">
        <v>363.09</v>
      </c>
      <c r="AB87" s="9">
        <v>1598.25</v>
      </c>
      <c r="AC87" s="9">
        <v>36.85</v>
      </c>
      <c r="AD87" s="9">
        <v>6.2</v>
      </c>
      <c r="AE87" s="9">
        <v>1.08</v>
      </c>
      <c r="AF87" s="9">
        <f>Data6[[#This Row],[total_chol (umol/L)]]-Data6[[#This Row],[HDL_chol (umol/L)]]</f>
        <v>5.12</v>
      </c>
      <c r="AG87" s="9">
        <f>Data6[[#This Row],[Non_HDL (umol/L)]]-(Data6[[#This Row],[TAG (umol/L)]]/2200)</f>
        <v>4.3935227272727273</v>
      </c>
      <c r="AH87" s="9">
        <v>693.54</v>
      </c>
      <c r="AI87" s="51">
        <v>5.050854081618642E-3</v>
      </c>
      <c r="AJ87" s="9">
        <v>25.684341570628916</v>
      </c>
      <c r="AK87" s="23">
        <f>(Data6[[#This Row],[DNL (%)]]/100)*Data6[[#This Row],[VLDL (umol/L)]]</f>
        <v>178.13118252893977</v>
      </c>
      <c r="AL87" s="9">
        <f>[4]SAMPLES!$L$34</f>
        <v>30.313087475784648</v>
      </c>
      <c r="AM87" s="57">
        <f>(Data6[[#This Row],[Gluconeogensis (%)]]/100)*Data6[[#This Row],[Glucose (mmol/L)]]</f>
        <v>1.4550281988376632</v>
      </c>
      <c r="AN87" s="61">
        <f>Data6[[#This Row],[Glucose (mmol/L)]]-Data6[[#This Row],[Gluconeogenesis (mmol/L)]]</f>
        <v>3.3449718011623366</v>
      </c>
      <c r="AO87" s="61" t="s">
        <v>536</v>
      </c>
      <c r="AP87" s="7"/>
    </row>
    <row r="88" spans="1:42" s="11" customFormat="1" x14ac:dyDescent="0.25">
      <c r="A88" s="7">
        <v>65</v>
      </c>
      <c r="B88" s="7" t="s">
        <v>107</v>
      </c>
      <c r="C88" s="7" t="s">
        <v>108</v>
      </c>
      <c r="D88" s="7"/>
      <c r="E88" s="7"/>
      <c r="F88" s="7"/>
      <c r="G88" s="7" t="s">
        <v>227</v>
      </c>
      <c r="H88" s="7">
        <v>58</v>
      </c>
      <c r="I88" s="7" t="s">
        <v>229</v>
      </c>
      <c r="J88" s="7"/>
      <c r="K88" s="7">
        <v>157</v>
      </c>
      <c r="L88" s="7">
        <v>57.8</v>
      </c>
      <c r="M88" s="8">
        <f>L88/((K88/100)*(K88/100))</f>
        <v>23.449227149174408</v>
      </c>
      <c r="N88" s="7">
        <v>74</v>
      </c>
      <c r="O88" s="7">
        <v>87</v>
      </c>
      <c r="P88" s="9">
        <f>Data6[[#This Row],[Waist_Circumference]]/Data6[[#This Row],[Hip_circumference]]</f>
        <v>0.85057471264367812</v>
      </c>
      <c r="Q88" s="10">
        <v>17040</v>
      </c>
      <c r="R88" s="10">
        <v>39410</v>
      </c>
      <c r="S88" s="10">
        <f>Q88+R88</f>
        <v>56450</v>
      </c>
      <c r="T88" s="9">
        <f>(Data6[[#This Row],[Total_fat_g]]/Data6[[#This Row],[Total_mass_g]])*100</f>
        <v>30.186005314437551</v>
      </c>
      <c r="U88" s="9">
        <f>(Data6[[#This Row],[Lean_mass_g]]/Data6[[#This Row],[Total_mass_g]])*100</f>
        <v>69.813994685562449</v>
      </c>
      <c r="V88" s="9">
        <v>61</v>
      </c>
      <c r="W88" s="9">
        <v>0.53</v>
      </c>
      <c r="X88" s="9">
        <v>4.93</v>
      </c>
      <c r="Y88" s="9">
        <v>11.7</v>
      </c>
      <c r="Z88" s="21">
        <f>(Data6[[#This Row],[Glucose (mmol/L)]]*Data6[[#This Row],[Insulin (umol/L)]])/22.5</f>
        <v>2.5635999999999997</v>
      </c>
      <c r="AA88" s="9">
        <v>582.1</v>
      </c>
      <c r="AB88" s="9">
        <v>520.95000000000005</v>
      </c>
      <c r="AC88" s="9">
        <v>71.400000000000006</v>
      </c>
      <c r="AD88" s="9">
        <v>6</v>
      </c>
      <c r="AE88" s="9">
        <v>2.2200000000000002</v>
      </c>
      <c r="AF88" s="9">
        <f>Data6[[#This Row],[total_chol (umol/L)]]-Data6[[#This Row],[HDL_chol (umol/L)]]</f>
        <v>3.78</v>
      </c>
      <c r="AG88" s="9">
        <f>Data6[[#This Row],[Non_HDL (umol/L)]]-(Data6[[#This Row],[TAG (umol/L)]]/2200)</f>
        <v>3.5432045454545453</v>
      </c>
      <c r="AH88" s="9">
        <v>114.69</v>
      </c>
      <c r="AI88" s="51">
        <v>4.3623716603482764E-3</v>
      </c>
      <c r="AJ88" s="9">
        <v>3.1314084947989143</v>
      </c>
      <c r="AK88" s="23">
        <f>(Data6[[#This Row],[DNL (%)]]/100)*Data6[[#This Row],[VLDL (umol/L)]]</f>
        <v>3.5914124026848748</v>
      </c>
      <c r="AL88" s="9">
        <f>[4]SAMPLES!$L$26</f>
        <v>9.3453372234787757</v>
      </c>
      <c r="AM88" s="57">
        <f>(Data6[[#This Row],[Gluconeogensis (%)]]/100)*Data6[[#This Row],[Glucose (mmol/L)]]</f>
        <v>0.46072512511750358</v>
      </c>
      <c r="AN88" s="61">
        <f>Data6[[#This Row],[Glucose (mmol/L)]]-Data6[[#This Row],[Gluconeogenesis (mmol/L)]]</f>
        <v>4.4692748748824958</v>
      </c>
      <c r="AO88" s="61" t="s">
        <v>536</v>
      </c>
      <c r="AP88" s="7"/>
    </row>
    <row r="89" spans="1:42" s="11" customFormat="1" x14ac:dyDescent="0.25">
      <c r="A89" s="7">
        <v>76</v>
      </c>
      <c r="B89" s="7" t="s">
        <v>126</v>
      </c>
      <c r="C89" s="7" t="s">
        <v>127</v>
      </c>
      <c r="D89" s="7"/>
      <c r="E89" s="7"/>
      <c r="F89" s="7"/>
      <c r="G89" s="7" t="s">
        <v>227</v>
      </c>
      <c r="H89" s="7">
        <v>58</v>
      </c>
      <c r="I89" s="7" t="s">
        <v>146</v>
      </c>
      <c r="J89" s="7"/>
      <c r="K89" s="7">
        <v>150.5</v>
      </c>
      <c r="L89" s="7">
        <v>50.5</v>
      </c>
      <c r="M89" s="8">
        <f>L89/((K89/100)*(K89/100))</f>
        <v>22.295559651659477</v>
      </c>
      <c r="N89" s="7">
        <v>74</v>
      </c>
      <c r="O89" s="7">
        <v>92</v>
      </c>
      <c r="P89" s="9">
        <f>Data6[[#This Row],[Waist_Circumference]]/Data6[[#This Row],[Hip_circumference]]</f>
        <v>0.80434782608695654</v>
      </c>
      <c r="Q89" s="10">
        <v>20020</v>
      </c>
      <c r="R89" s="10">
        <v>27180</v>
      </c>
      <c r="S89" s="10">
        <f>Q89+R89</f>
        <v>47200</v>
      </c>
      <c r="T89" s="9">
        <f>(Data6[[#This Row],[Total_fat_g]]/Data6[[#This Row],[Total_mass_g]])*100</f>
        <v>42.415254237288138</v>
      </c>
      <c r="U89" s="9">
        <f>(Data6[[#This Row],[Lean_mass_g]]/Data6[[#This Row],[Total_mass_g]])*100</f>
        <v>57.584745762711862</v>
      </c>
      <c r="V89" s="9"/>
      <c r="W89" s="9">
        <v>0.88</v>
      </c>
      <c r="X89" s="9">
        <v>5.94</v>
      </c>
      <c r="Y89" s="9">
        <v>11.81</v>
      </c>
      <c r="Z89" s="21">
        <f>(Data6[[#This Row],[Glucose (mmol/L)]]*Data6[[#This Row],[Insulin (umol/L)]])/22.5</f>
        <v>3.1178400000000006</v>
      </c>
      <c r="AA89" s="9">
        <v>698.06</v>
      </c>
      <c r="AB89" s="9">
        <v>965.05</v>
      </c>
      <c r="AC89" s="9">
        <v>90.6</v>
      </c>
      <c r="AD89" s="9">
        <v>5</v>
      </c>
      <c r="AE89" s="9">
        <v>1.65</v>
      </c>
      <c r="AF89" s="9">
        <f>Data6[[#This Row],[total_chol (umol/L)]]-Data6[[#This Row],[HDL_chol (umol/L)]]</f>
        <v>3.35</v>
      </c>
      <c r="AG89" s="9">
        <f>Data6[[#This Row],[Non_HDL (umol/L)]]-(Data6[[#This Row],[TAG (umol/L)]]/2200)</f>
        <v>2.9113409090909093</v>
      </c>
      <c r="AH89" s="9">
        <v>164.58</v>
      </c>
      <c r="AI89" s="51">
        <v>5.1957907482602095E-3</v>
      </c>
      <c r="AJ89" s="9">
        <v>10.08655137446395</v>
      </c>
      <c r="AK89" s="23">
        <f>(Data6[[#This Row],[DNL (%)]]/100)*Data6[[#This Row],[VLDL (umol/L)]]</f>
        <v>16.60044625209277</v>
      </c>
      <c r="AL89" s="65">
        <f>[4]SAMPLES!$L$37</f>
        <v>29.950862917735467</v>
      </c>
      <c r="AM89" s="57">
        <f>(Data6[[#This Row],[Gluconeogensis (%)]]/100)*Data6[[#This Row],[Glucose (mmol/L)]]</f>
        <v>1.7790812573134869</v>
      </c>
      <c r="AN89" s="61">
        <f>Data6[[#This Row],[Glucose (mmol/L)]]-Data6[[#This Row],[Gluconeogenesis (mmol/L)]]</f>
        <v>4.1609187426865137</v>
      </c>
      <c r="AO89" s="61" t="s">
        <v>536</v>
      </c>
      <c r="AP89" s="7"/>
    </row>
    <row r="90" spans="1:42" s="11" customFormat="1" x14ac:dyDescent="0.25">
      <c r="A90" s="7">
        <v>98</v>
      </c>
      <c r="B90" s="7" t="s">
        <v>168</v>
      </c>
      <c r="C90" s="7" t="s">
        <v>169</v>
      </c>
      <c r="D90" s="7"/>
      <c r="E90" s="7"/>
      <c r="F90" s="7"/>
      <c r="G90" s="7" t="s">
        <v>227</v>
      </c>
      <c r="H90" s="7">
        <v>40</v>
      </c>
      <c r="I90" s="7"/>
      <c r="J90" s="7"/>
      <c r="K90" s="7">
        <v>169</v>
      </c>
      <c r="L90" s="7">
        <v>82.15</v>
      </c>
      <c r="M90" s="8">
        <f>L90/((K90/100)*(K90/100))</f>
        <v>28.762998494450478</v>
      </c>
      <c r="N90" s="7">
        <v>97</v>
      </c>
      <c r="O90" s="7">
        <v>104</v>
      </c>
      <c r="P90" s="9">
        <f>Data6[[#This Row],[Waist_Circumference]]/Data6[[#This Row],[Hip_circumference]]</f>
        <v>0.93269230769230771</v>
      </c>
      <c r="Q90" s="10">
        <v>30440</v>
      </c>
      <c r="R90" s="10">
        <v>48090</v>
      </c>
      <c r="S90" s="10">
        <f>Q90+R90</f>
        <v>78530</v>
      </c>
      <c r="T90" s="9">
        <f>(Data6[[#This Row],[Total_fat_g]]/Data6[[#This Row],[Total_mass_g]])*100</f>
        <v>38.762256462498407</v>
      </c>
      <c r="U90" s="9">
        <f>(Data6[[#This Row],[Lean_mass_g]]/Data6[[#This Row],[Total_mass_g]])*100</f>
        <v>61.237743537501586</v>
      </c>
      <c r="V90" s="9"/>
      <c r="W90" s="9">
        <v>1.88</v>
      </c>
      <c r="X90" s="9">
        <v>5.55</v>
      </c>
      <c r="Y90" s="9">
        <v>11.92</v>
      </c>
      <c r="Z90" s="21">
        <f>(Data6[[#This Row],[Glucose (mmol/L)]]*Data6[[#This Row],[Insulin (umol/L)]])/22.5</f>
        <v>2.9402666666666661</v>
      </c>
      <c r="AA90" s="9">
        <v>648.37</v>
      </c>
      <c r="AB90" s="9">
        <v>1794</v>
      </c>
      <c r="AC90" s="9">
        <v>77</v>
      </c>
      <c r="AD90" s="9">
        <v>5.6</v>
      </c>
      <c r="AE90" s="9">
        <v>1.02</v>
      </c>
      <c r="AF90" s="9">
        <f>Data6[[#This Row],[total_chol (umol/L)]]-Data6[[#This Row],[HDL_chol (umol/L)]]</f>
        <v>4.58</v>
      </c>
      <c r="AG90" s="9">
        <f>Data6[[#This Row],[Non_HDL (umol/L)]]-(Data6[[#This Row],[TAG (umol/L)]]/2200)</f>
        <v>3.7645454545454546</v>
      </c>
      <c r="AH90" s="9">
        <v>580.84</v>
      </c>
      <c r="AI90" s="51">
        <v>3.689054983687295E-3</v>
      </c>
      <c r="AJ90" s="9">
        <v>10.602616804735556</v>
      </c>
      <c r="AK90" s="23">
        <f>(Data6[[#This Row],[DNL (%)]]/100)*Data6[[#This Row],[VLDL (umol/L)]]</f>
        <v>61.584239448626001</v>
      </c>
      <c r="AL90" s="9">
        <f>[4]SAMPLES!$L$247</f>
        <v>34.464231805192455</v>
      </c>
      <c r="AM90" s="57">
        <f>(Data6[[#This Row],[Gluconeogensis (%)]]/100)*Data6[[#This Row],[Glucose (mmol/L)]]</f>
        <v>1.912764865188181</v>
      </c>
      <c r="AN90" s="61">
        <f>Data6[[#This Row],[Glucose (mmol/L)]]-Data6[[#This Row],[Gluconeogenesis (mmol/L)]]</f>
        <v>3.637235134811819</v>
      </c>
      <c r="AO90" s="61" t="s">
        <v>536</v>
      </c>
      <c r="AP90" s="7"/>
    </row>
    <row r="91" spans="1:42" s="11" customFormat="1" x14ac:dyDescent="0.25">
      <c r="A91" s="7">
        <v>63</v>
      </c>
      <c r="B91" s="7" t="s">
        <v>99</v>
      </c>
      <c r="C91" s="7" t="s">
        <v>104</v>
      </c>
      <c r="D91" s="7"/>
      <c r="E91" s="7"/>
      <c r="F91" s="19"/>
      <c r="G91" s="7" t="s">
        <v>227</v>
      </c>
      <c r="H91" s="7">
        <v>63</v>
      </c>
      <c r="I91" s="7"/>
      <c r="J91" s="7"/>
      <c r="K91" s="7">
        <v>163</v>
      </c>
      <c r="L91" s="7">
        <v>73.3</v>
      </c>
      <c r="M91" s="8">
        <f>L91/((K91/100)*(K91/100))</f>
        <v>27.588543038879898</v>
      </c>
      <c r="N91" s="7">
        <v>82</v>
      </c>
      <c r="O91" s="7">
        <v>105</v>
      </c>
      <c r="P91" s="9">
        <f>Data6[[#This Row],[Waist_Circumference]]/Data6[[#This Row],[Hip_circumference]]</f>
        <v>0.78095238095238095</v>
      </c>
      <c r="Q91" s="10">
        <v>26730</v>
      </c>
      <c r="R91" s="10">
        <v>43660</v>
      </c>
      <c r="S91" s="10">
        <f>Q91+R91</f>
        <v>70390</v>
      </c>
      <c r="T91" s="9">
        <f>(Data6[[#This Row],[Total_fat_g]]/Data6[[#This Row],[Total_mass_g]])*100</f>
        <v>37.974144054553207</v>
      </c>
      <c r="U91" s="9">
        <f>(Data6[[#This Row],[Lean_mass_g]]/Data6[[#This Row],[Total_mass_g]])*100</f>
        <v>62.025855945446793</v>
      </c>
      <c r="V91" s="9"/>
      <c r="W91" s="9">
        <v>0.68</v>
      </c>
      <c r="X91" s="9">
        <v>5.2</v>
      </c>
      <c r="Y91" s="9">
        <v>11.94</v>
      </c>
      <c r="Z91" s="21">
        <f>(Data6[[#This Row],[Glucose (mmol/L)]]*Data6[[#This Row],[Insulin (umol/L)]])/22.5</f>
        <v>2.7594666666666665</v>
      </c>
      <c r="AA91" s="9">
        <v>446.56</v>
      </c>
      <c r="AB91" s="9">
        <v>452.25</v>
      </c>
      <c r="AC91" s="9">
        <v>58.85</v>
      </c>
      <c r="AD91" s="9">
        <v>5.6</v>
      </c>
      <c r="AE91" s="9">
        <v>2.0299999999999998</v>
      </c>
      <c r="AF91" s="9">
        <f>Data6[[#This Row],[total_chol (umol/L)]]-Data6[[#This Row],[HDL_chol (umol/L)]]</f>
        <v>3.57</v>
      </c>
      <c r="AG91" s="9">
        <f>Data6[[#This Row],[Non_HDL (umol/L)]]-(Data6[[#This Row],[TAG (umol/L)]]/2200)</f>
        <v>3.364431818181818</v>
      </c>
      <c r="AH91" s="9">
        <v>89.53</v>
      </c>
      <c r="AI91" s="51">
        <v>4.6499762041988628E-3</v>
      </c>
      <c r="AJ91" s="9">
        <v>5.0937719322015091</v>
      </c>
      <c r="AK91" s="23">
        <f>(Data6[[#This Row],[DNL (%)]]/100)*Data6[[#This Row],[VLDL (umol/L)]]</f>
        <v>4.5604540109000116</v>
      </c>
      <c r="AL91" s="9">
        <f>[4]SAMPLES!$L$24</f>
        <v>11.486768072295387</v>
      </c>
      <c r="AM91" s="57">
        <f>(Data6[[#This Row],[Gluconeogensis (%)]]/100)*Data6[[#This Row],[Glucose (mmol/L)]]</f>
        <v>0.59731193975936014</v>
      </c>
      <c r="AN91" s="61">
        <f>Data6[[#This Row],[Glucose (mmol/L)]]-Data6[[#This Row],[Gluconeogenesis (mmol/L)]]</f>
        <v>4.6026880602406397</v>
      </c>
      <c r="AO91" s="61" t="s">
        <v>536</v>
      </c>
      <c r="AP91" s="7"/>
    </row>
    <row r="92" spans="1:42" s="11" customFormat="1" x14ac:dyDescent="0.25">
      <c r="A92" s="15">
        <v>38</v>
      </c>
      <c r="B92" s="15" t="s">
        <v>83</v>
      </c>
      <c r="C92" s="15" t="s">
        <v>84</v>
      </c>
      <c r="D92" s="15" t="s">
        <v>386</v>
      </c>
      <c r="E92" s="15"/>
      <c r="F92" s="15">
        <v>6793</v>
      </c>
      <c r="G92" s="15" t="s">
        <v>228</v>
      </c>
      <c r="H92" s="15">
        <v>27</v>
      </c>
      <c r="I92" s="15"/>
      <c r="J92" s="15"/>
      <c r="K92" s="15">
        <v>185</v>
      </c>
      <c r="L92" s="15">
        <v>92.9</v>
      </c>
      <c r="M92" s="16">
        <f>L92/((K92/100)*(K92/100))</f>
        <v>27.143900657414171</v>
      </c>
      <c r="N92" s="15">
        <v>92</v>
      </c>
      <c r="O92" s="15">
        <v>104</v>
      </c>
      <c r="P92" s="17">
        <f>Data6[[#This Row],[Waist_Circumference]]/Data6[[#This Row],[Hip_circumference]]</f>
        <v>0.88461538461538458</v>
      </c>
      <c r="Q92" s="18">
        <f>'[1]Anthro data'!$AM$27</f>
        <v>21062.678204823998</v>
      </c>
      <c r="R92" s="18">
        <f>'[1]Anthro data'!$AM$28</f>
        <v>67952.615830025999</v>
      </c>
      <c r="S92" s="18">
        <f>Q92+R92</f>
        <v>89015.294034849998</v>
      </c>
      <c r="T92" s="17">
        <f>(Data6[[#This Row],[Total_fat_g]]/Data6[[#This Row],[Total_mass_g]])*100</f>
        <v>23.661864439360095</v>
      </c>
      <c r="U92" s="17">
        <f>(Data6[[#This Row],[Lean_mass_g]]/Data6[[#This Row],[Total_mass_g]])*100</f>
        <v>76.338135560639913</v>
      </c>
      <c r="V92" s="17">
        <v>735.1140805</v>
      </c>
      <c r="W92" s="17">
        <v>2.2000000000000002</v>
      </c>
      <c r="X92" s="17">
        <f>[1]Glucose!$AM$3</f>
        <v>4.6879999999999997</v>
      </c>
      <c r="Y92" s="17">
        <f>'[1]Insulin+HOMA'!$AM$3</f>
        <v>12.083500000000001</v>
      </c>
      <c r="Z92" s="21">
        <f>(Data6[[#This Row],[Glucose (mmol/L)]]*Data6[[#This Row],[Insulin (umol/L)]])/22.5</f>
        <v>2.5176643555555556</v>
      </c>
      <c r="AA92" s="17">
        <f>[1]NEFA!$AM$3</f>
        <v>171.7</v>
      </c>
      <c r="AB92" s="17">
        <f>[1]TAG!$AM$3</f>
        <v>1900.5</v>
      </c>
      <c r="AC92" s="17">
        <f>'[1]3-OHB'!$AM$3</f>
        <v>32.5</v>
      </c>
      <c r="AD92" s="17">
        <f>'[42]Apo B, HDL, Cholesterol, ALT'!$F$6</f>
        <v>3.29</v>
      </c>
      <c r="AE92" s="17">
        <f>'[42]Apo B, HDL, Cholesterol, ALT'!$M$6</f>
        <v>0.68</v>
      </c>
      <c r="AF92" s="17">
        <f>Data6[[#This Row],[total_chol (umol/L)]]-Data6[[#This Row],[HDL_chol (umol/L)]]</f>
        <v>2.61</v>
      </c>
      <c r="AG92" s="17">
        <f>Data6[[#This Row],[Non_HDL (umol/L)]]-(Data6[[#This Row],[TAG (umol/L)]]/2200)</f>
        <v>1.7461363636363636</v>
      </c>
      <c r="AH92" s="17">
        <v>1566.2246625000002</v>
      </c>
      <c r="AI92" s="50">
        <f>'[28]plasma H2O'!$Q$4</f>
        <v>2.8375269572662376E-3</v>
      </c>
      <c r="AJ92" s="17">
        <f>[1]DNL_160!$AM$5</f>
        <v>5.5825567288415385</v>
      </c>
      <c r="AK92" s="23">
        <f>(Data6[[#This Row],[DNL (%)]]/100)*Data6[[#This Row],[VLDL (umol/L)]]</f>
        <v>87.435380285169444</v>
      </c>
      <c r="AL92" s="17">
        <f>[4]SAMPLES!$L$57</f>
        <v>32.584316984851249</v>
      </c>
      <c r="AM92" s="56">
        <f>(Data6[[#This Row],[Gluconeogensis (%)]]/100)*Data6[[#This Row],[Glucose (mmol/L)]]</f>
        <v>1.5275527802498263</v>
      </c>
      <c r="AN92" s="61">
        <f>Data6[[#This Row],[Glucose (mmol/L)]]-Data6[[#This Row],[Gluconeogenesis (mmol/L)]]</f>
        <v>3.1604472197501732</v>
      </c>
      <c r="AO92" s="61" t="s">
        <v>536</v>
      </c>
      <c r="AP92" s="15"/>
    </row>
    <row r="93" spans="1:42" s="11" customFormat="1" x14ac:dyDescent="0.25">
      <c r="A93" s="15">
        <v>44</v>
      </c>
      <c r="B93" s="15" t="s">
        <v>359</v>
      </c>
      <c r="C93" s="15" t="s">
        <v>94</v>
      </c>
      <c r="D93" s="15" t="s">
        <v>386</v>
      </c>
      <c r="E93" s="15"/>
      <c r="F93" s="15">
        <v>7145</v>
      </c>
      <c r="G93" s="15" t="s">
        <v>228</v>
      </c>
      <c r="H93" s="15">
        <v>29</v>
      </c>
      <c r="I93" s="15"/>
      <c r="J93" s="15"/>
      <c r="K93" s="15">
        <v>179</v>
      </c>
      <c r="L93" s="15">
        <v>94.6</v>
      </c>
      <c r="M93" s="16">
        <f>L93/((K93/100)*(K93/100))</f>
        <v>29.52467151462189</v>
      </c>
      <c r="N93" s="15">
        <v>106</v>
      </c>
      <c r="O93" s="15">
        <v>103</v>
      </c>
      <c r="P93" s="17">
        <f>Data6[[#This Row],[Waist_Circumference]]/Data6[[#This Row],[Hip_circumference]]</f>
        <v>1.029126213592233</v>
      </c>
      <c r="Q93" s="18">
        <f>'[1]Anthro data'!$AS$27</f>
        <v>37404.261645819999</v>
      </c>
      <c r="R93" s="18">
        <f>'[1]Anthro data'!$AS$28</f>
        <v>57942.709429862</v>
      </c>
      <c r="S93" s="18">
        <f>Q93+R93</f>
        <v>95346.971075681999</v>
      </c>
      <c r="T93" s="17">
        <f>(Data6[[#This Row],[Total_fat_g]]/Data6[[#This Row],[Total_mass_g]])*100</f>
        <v>39.229627563239774</v>
      </c>
      <c r="U93" s="17">
        <f>(Data6[[#This Row],[Lean_mass_g]]/Data6[[#This Row],[Total_mass_g]])*100</f>
        <v>60.770372436760226</v>
      </c>
      <c r="V93" s="17">
        <v>2389.4895569999999</v>
      </c>
      <c r="W93" s="17">
        <v>1.7</v>
      </c>
      <c r="X93" s="17">
        <f>[1]Glucose!$AS$3</f>
        <v>5.6520000000000001</v>
      </c>
      <c r="Y93" s="17">
        <f>'[1]Insulin+HOMA'!$AS$3</f>
        <v>12.0875</v>
      </c>
      <c r="Z93" s="21">
        <f>(Data6[[#This Row],[Glucose (mmol/L)]]*Data6[[#This Row],[Insulin (umol/L)]])/22.5</f>
        <v>3.0363800000000003</v>
      </c>
      <c r="AA93" s="17">
        <f>[1]NEFA!$AS$3</f>
        <v>411.6</v>
      </c>
      <c r="AB93" s="17">
        <f>[1]TAG!$AS$3</f>
        <v>1638.1</v>
      </c>
      <c r="AC93" s="17">
        <f>'[1]3-OHB'!$AS$3</f>
        <v>104.2</v>
      </c>
      <c r="AD93" s="17">
        <f>'[48]Apo B, HDL, Cholesterol, ALT'!$F$6</f>
        <v>5.68</v>
      </c>
      <c r="AE93" s="17">
        <f>'[48]Apo B, HDL, Cholesterol, ALT'!$M$6</f>
        <v>0.94</v>
      </c>
      <c r="AF93" s="17">
        <f>Data6[[#This Row],[total_chol (umol/L)]]-Data6[[#This Row],[HDL_chol (umol/L)]]</f>
        <v>4.74</v>
      </c>
      <c r="AG93" s="17">
        <f>Data6[[#This Row],[Non_HDL (umol/L)]]-(Data6[[#This Row],[TAG (umol/L)]]/2200)</f>
        <v>3.9954090909090914</v>
      </c>
      <c r="AH93" s="17">
        <v>870.66292500000009</v>
      </c>
      <c r="AI93" s="50">
        <f>'[28]plasma H2O'!$W$4</f>
        <v>1.9304021209642773E-3</v>
      </c>
      <c r="AJ93" s="17">
        <f>[1]DNL_160!$AS$5</f>
        <v>5.7307271711598871</v>
      </c>
      <c r="AK93" s="23">
        <f>(Data6[[#This Row],[DNL (%)]]/100)*Data6[[#This Row],[VLDL (umol/L)]]</f>
        <v>49.895316812190437</v>
      </c>
      <c r="AL93" s="17">
        <f>[4]SAMPLES!$L$63</f>
        <v>75.74001494755997</v>
      </c>
      <c r="AM93" s="56">
        <f>(Data6[[#This Row],[Gluconeogensis (%)]]/100)*Data6[[#This Row],[Glucose (mmol/L)]]</f>
        <v>4.2808256448360895</v>
      </c>
      <c r="AN93" s="61">
        <f>Data6[[#This Row],[Glucose (mmol/L)]]-Data6[[#This Row],[Gluconeogenesis (mmol/L)]]</f>
        <v>1.3711743551639106</v>
      </c>
      <c r="AO93" s="61" t="s">
        <v>536</v>
      </c>
      <c r="AP93" s="15"/>
    </row>
    <row r="94" spans="1:42" s="11" customFormat="1" x14ac:dyDescent="0.25">
      <c r="A94" s="7">
        <v>99</v>
      </c>
      <c r="B94" s="7" t="s">
        <v>170</v>
      </c>
      <c r="C94" s="7" t="s">
        <v>171</v>
      </c>
      <c r="D94" s="7"/>
      <c r="E94" s="7"/>
      <c r="F94" s="7"/>
      <c r="G94" s="7" t="s">
        <v>227</v>
      </c>
      <c r="H94" s="7">
        <v>44</v>
      </c>
      <c r="I94" s="7" t="s">
        <v>146</v>
      </c>
      <c r="J94" s="7"/>
      <c r="K94" s="7">
        <v>175</v>
      </c>
      <c r="L94" s="7">
        <v>71</v>
      </c>
      <c r="M94" s="8">
        <f>L94/((K94/100)*(K94/100))</f>
        <v>23.183673469387756</v>
      </c>
      <c r="N94" s="7">
        <v>82</v>
      </c>
      <c r="O94" s="7">
        <v>100</v>
      </c>
      <c r="P94" s="9">
        <f>Data6[[#This Row],[Waist_Circumference]]/Data6[[#This Row],[Hip_circumference]]</f>
        <v>0.82</v>
      </c>
      <c r="Q94" s="10">
        <v>24680</v>
      </c>
      <c r="R94" s="10">
        <v>41790</v>
      </c>
      <c r="S94" s="10">
        <f>Q94+R94</f>
        <v>66470</v>
      </c>
      <c r="T94" s="9">
        <f>(Data6[[#This Row],[Total_fat_g]]/Data6[[#This Row],[Total_mass_g]])*100</f>
        <v>37.129532119753272</v>
      </c>
      <c r="U94" s="9">
        <f>(Data6[[#This Row],[Lean_mass_g]]/Data6[[#This Row],[Total_mass_g]])*100</f>
        <v>62.870467880246728</v>
      </c>
      <c r="V94" s="9"/>
      <c r="W94" s="9">
        <v>0.72</v>
      </c>
      <c r="X94" s="9">
        <v>5.69</v>
      </c>
      <c r="Y94" s="9">
        <v>12.25</v>
      </c>
      <c r="Z94" s="21">
        <f>(Data6[[#This Row],[Glucose (mmol/L)]]*Data6[[#This Row],[Insulin (umol/L)]])/22.5</f>
        <v>3.0978888888888889</v>
      </c>
      <c r="AA94" s="9">
        <v>524.61</v>
      </c>
      <c r="AB94" s="9">
        <v>855.05</v>
      </c>
      <c r="AC94" s="9">
        <v>53.75</v>
      </c>
      <c r="AD94" s="9">
        <v>4.9000000000000004</v>
      </c>
      <c r="AE94" s="9">
        <v>1.24</v>
      </c>
      <c r="AF94" s="9">
        <f>Data6[[#This Row],[total_chol (umol/L)]]-Data6[[#This Row],[HDL_chol (umol/L)]]</f>
        <v>3.66</v>
      </c>
      <c r="AG94" s="9">
        <f>Data6[[#This Row],[Non_HDL (umol/L)]]-(Data6[[#This Row],[TAG (umol/L)]]/2200)</f>
        <v>3.2713409090909091</v>
      </c>
      <c r="AH94" s="9">
        <v>187.3</v>
      </c>
      <c r="AI94" s="51">
        <v>4.0621275519744614E-3</v>
      </c>
      <c r="AJ94" s="9">
        <v>7.625873961593288</v>
      </c>
      <c r="AK94" s="23">
        <f>(Data6[[#This Row],[DNL (%)]]/100)*Data6[[#This Row],[VLDL (umol/L)]]</f>
        <v>14.28326193006423</v>
      </c>
      <c r="AL94" s="9">
        <f>[4]SAMPLES!$L$248</f>
        <v>33.532529640957691</v>
      </c>
      <c r="AM94" s="57">
        <f>(Data6[[#This Row],[Gluconeogensis (%)]]/100)*Data6[[#This Row],[Glucose (mmol/L)]]</f>
        <v>1.9080009365704929</v>
      </c>
      <c r="AN94" s="61">
        <f>Data6[[#This Row],[Glucose (mmol/L)]]-Data6[[#This Row],[Gluconeogenesis (mmol/L)]]</f>
        <v>3.7819990634295078</v>
      </c>
      <c r="AO94" s="61" t="s">
        <v>536</v>
      </c>
      <c r="AP94" s="7"/>
    </row>
    <row r="95" spans="1:42" s="11" customFormat="1" x14ac:dyDescent="0.25">
      <c r="A95" s="7">
        <v>107</v>
      </c>
      <c r="B95" s="7" t="s">
        <v>183</v>
      </c>
      <c r="C95" s="7" t="s">
        <v>184</v>
      </c>
      <c r="D95" s="7"/>
      <c r="E95" s="7"/>
      <c r="F95" s="7"/>
      <c r="G95" s="7" t="s">
        <v>227</v>
      </c>
      <c r="H95" s="7">
        <v>42</v>
      </c>
      <c r="I95" s="7" t="s">
        <v>146</v>
      </c>
      <c r="J95" s="7"/>
      <c r="K95" s="7">
        <v>162</v>
      </c>
      <c r="L95" s="7">
        <v>73.75</v>
      </c>
      <c r="M95" s="8">
        <f>L95/((K95/100)*(K95/100))</f>
        <v>28.101661332114002</v>
      </c>
      <c r="N95" s="7">
        <v>91</v>
      </c>
      <c r="O95" s="7">
        <v>107</v>
      </c>
      <c r="P95" s="9">
        <f>Data6[[#This Row],[Waist_Circumference]]/Data6[[#This Row],[Hip_circumference]]</f>
        <v>0.85046728971962615</v>
      </c>
      <c r="Q95" s="10">
        <v>29080</v>
      </c>
      <c r="R95" s="10">
        <v>42600</v>
      </c>
      <c r="S95" s="10">
        <f>Q95+R95</f>
        <v>71680</v>
      </c>
      <c r="T95" s="9">
        <f>(Data6[[#This Row],[Total_fat_g]]/Data6[[#This Row],[Total_mass_g]])*100</f>
        <v>40.569196428571431</v>
      </c>
      <c r="U95" s="9">
        <f>(Data6[[#This Row],[Lean_mass_g]]/Data6[[#This Row],[Total_mass_g]])*100</f>
        <v>59.430803571428569</v>
      </c>
      <c r="V95" s="9">
        <v>304</v>
      </c>
      <c r="W95" s="9">
        <v>1.3</v>
      </c>
      <c r="X95" s="9">
        <v>5.26</v>
      </c>
      <c r="Y95" s="9">
        <v>12.41</v>
      </c>
      <c r="Z95" s="21">
        <f>(Data6[[#This Row],[Glucose (mmol/L)]]*Data6[[#This Row],[Insulin (umol/L)]])/22.5</f>
        <v>2.9011822222222223</v>
      </c>
      <c r="AA95" s="9">
        <v>544.15</v>
      </c>
      <c r="AB95" s="9">
        <v>1024.6500000000001</v>
      </c>
      <c r="AC95" s="9">
        <v>34.950000000000003</v>
      </c>
      <c r="AD95" s="9">
        <v>3.9</v>
      </c>
      <c r="AE95" s="9">
        <v>1.7</v>
      </c>
      <c r="AF95" s="9">
        <f>Data6[[#This Row],[total_chol (umol/L)]]-Data6[[#This Row],[HDL_chol (umol/L)]]</f>
        <v>2.2000000000000002</v>
      </c>
      <c r="AG95" s="9">
        <f>Data6[[#This Row],[Non_HDL (umol/L)]]-(Data6[[#This Row],[TAG (umol/L)]]/2200)</f>
        <v>1.7342500000000001</v>
      </c>
      <c r="AH95" s="9">
        <v>334.33</v>
      </c>
      <c r="AI95" s="51">
        <v>3.7371449599045044E-3</v>
      </c>
      <c r="AJ95" s="9">
        <v>17.834374595165912</v>
      </c>
      <c r="AK95" s="23">
        <f>(Data6[[#This Row],[DNL (%)]]/100)*Data6[[#This Row],[VLDL (umol/L)]]</f>
        <v>59.625664584018189</v>
      </c>
      <c r="AL95" s="9">
        <f>[4]SAMPLES!$L$256</f>
        <v>25.131105337022465</v>
      </c>
      <c r="AM95" s="57">
        <f>(Data6[[#This Row],[Gluconeogensis (%)]]/100)*Data6[[#This Row],[Glucose (mmol/L)]]</f>
        <v>1.3218961407273815</v>
      </c>
      <c r="AN95" s="61">
        <f>Data6[[#This Row],[Glucose (mmol/L)]]-Data6[[#This Row],[Gluconeogenesis (mmol/L)]]</f>
        <v>3.9381038592726183</v>
      </c>
      <c r="AO95" s="61" t="s">
        <v>536</v>
      </c>
      <c r="AP95" s="7"/>
    </row>
    <row r="96" spans="1:42" s="11" customFormat="1" x14ac:dyDescent="0.25">
      <c r="A96" s="11">
        <v>180</v>
      </c>
      <c r="B96" s="11" t="s">
        <v>292</v>
      </c>
      <c r="C96" s="11" t="s">
        <v>233</v>
      </c>
      <c r="D96" s="11">
        <v>1</v>
      </c>
      <c r="F96" s="11" t="s">
        <v>396</v>
      </c>
      <c r="G96" s="11" t="s">
        <v>227</v>
      </c>
      <c r="H96" s="11">
        <f>[63]Characteristics!$H$8</f>
        <v>49</v>
      </c>
      <c r="K96" s="11">
        <f>'[63]Anthro, DXA, Liver fat'!$H$6</f>
        <v>166</v>
      </c>
      <c r="L96" s="11">
        <f>'[63]Anthro, DXA, Liver fat'!$H$5</f>
        <v>63.5</v>
      </c>
      <c r="M96" s="12">
        <f>L96/((K96/100)*(K96/100))</f>
        <v>23.043983161561911</v>
      </c>
      <c r="N96" s="11">
        <f>'[63]Anthro, DXA, Liver fat'!$H$8</f>
        <v>75</v>
      </c>
      <c r="P96" s="13" t="e">
        <f>Data6[[#This Row],[Waist_Circumference]]/Data6[[#This Row],[Hip_circumference]]</f>
        <v>#DIV/0!</v>
      </c>
      <c r="Q96" s="14">
        <f>'[63]Anthro, DXA, Liver fat'!$H$19</f>
        <v>19569.043729361001</v>
      </c>
      <c r="R96" s="14">
        <f>'[63]Anthro, DXA, Liver fat'!$H$20</f>
        <v>41413.576709948</v>
      </c>
      <c r="S96" s="14">
        <f>Q96+R96</f>
        <v>60982.620439309001</v>
      </c>
      <c r="T96" s="13">
        <f>(Data6[[#This Row],[Total_fat_g]]/Data6[[#This Row],[Total_mass_g]])*100</f>
        <v>32.089542214468239</v>
      </c>
      <c r="U96" s="13">
        <f>(Data6[[#This Row],[Lean_mass_g]]/Data6[[#This Row],[Total_mass_g]])*100</f>
        <v>67.910457785531747</v>
      </c>
      <c r="V96" s="13">
        <f>'[63]Anthro, DXA, Liver fat'!$H$27</f>
        <v>623.77211829369003</v>
      </c>
      <c r="W96" s="13">
        <f>'[64]IHTG Corrected'!$D$14</f>
        <v>1.4468706877171309</v>
      </c>
      <c r="X96" s="13">
        <f>[63]Glucose!$H$7</f>
        <v>5.6340000000000003</v>
      </c>
      <c r="Y96" s="13">
        <f>[71]Insulin!$I$3</f>
        <v>12.521000000000001</v>
      </c>
      <c r="Z96" s="21">
        <f>(Data6[[#This Row],[Glucose (mmol/L)]]*Data6[[#This Row],[Insulin (umol/L)]])/22.5</f>
        <v>3.1352584000000006</v>
      </c>
      <c r="AA96" s="13">
        <f>[63]NEFA!$H$7</f>
        <v>416.1</v>
      </c>
      <c r="AB96" s="13">
        <f>[63]TAG!$H$7</f>
        <v>2034.4999999999998</v>
      </c>
      <c r="AC96" s="13">
        <f>'[63]3-OHB'!$H$7</f>
        <v>31</v>
      </c>
      <c r="AD96" s="13">
        <f>'[63]Apo B, Cholesterol, HDL, ALT'!$H$17</f>
        <v>3.96</v>
      </c>
      <c r="AE96" s="13">
        <f>'[63]Apo B, Cholesterol, HDL, ALT'!$H$27</f>
        <v>0.91</v>
      </c>
      <c r="AF96" s="13">
        <f>Data6[[#This Row],[total_chol (umol/L)]]-Data6[[#This Row],[HDL_chol (umol/L)]]</f>
        <v>3.05</v>
      </c>
      <c r="AG96" s="13">
        <f>Data6[[#This Row],[Non_HDL (umol/L)]]-(Data6[[#This Row],[TAG (umol/L)]]/2200)</f>
        <v>2.1252272727272725</v>
      </c>
      <c r="AH96" s="13">
        <f>[66]Data!$AQ$123</f>
        <v>367.44571939256684</v>
      </c>
      <c r="AI96" s="53">
        <f>'[63]DNL_Bounds Visit A'!$H$16</f>
        <v>5.6078369066862093E-3</v>
      </c>
      <c r="AJ96" s="13">
        <f>'[63]DNL_Bounds Visit A'!$H$24</f>
        <v>4.8781816561912672</v>
      </c>
      <c r="AK96" s="23">
        <f>(Data6[[#This Row],[DNL (%)]]/100)*Data6[[#This Row],[VLDL (umol/L)]]</f>
        <v>17.924669679868234</v>
      </c>
      <c r="AL96" s="13">
        <f>[4]SAMPLES!$L$114</f>
        <v>13.156735399284189</v>
      </c>
      <c r="AM96" s="60">
        <f>(Data6[[#This Row],[Gluconeogensis (%)]]/100)*Data6[[#This Row],[Glucose (mmol/L)]]</f>
        <v>0.74125047239567121</v>
      </c>
      <c r="AN96" s="61">
        <f>Data6[[#This Row],[Glucose (mmol/L)]]-Data6[[#This Row],[Gluconeogenesis (mmol/L)]]</f>
        <v>4.8927495276043294</v>
      </c>
      <c r="AO96" s="61" t="s">
        <v>536</v>
      </c>
    </row>
    <row r="97" spans="1:42" s="11" customFormat="1" x14ac:dyDescent="0.25">
      <c r="A97" s="7">
        <v>103</v>
      </c>
      <c r="B97" s="7" t="s">
        <v>98</v>
      </c>
      <c r="C97" s="7" t="s">
        <v>177</v>
      </c>
      <c r="D97" s="7"/>
      <c r="E97" s="7"/>
      <c r="F97" s="7"/>
      <c r="G97" s="7" t="s">
        <v>227</v>
      </c>
      <c r="H97" s="7">
        <v>45</v>
      </c>
      <c r="I97" s="7" t="s">
        <v>230</v>
      </c>
      <c r="J97" s="7"/>
      <c r="K97" s="7">
        <v>174</v>
      </c>
      <c r="L97" s="7">
        <v>71</v>
      </c>
      <c r="M97" s="8">
        <f>L97/((K97/100)*(K97/100))</f>
        <v>23.450918219051392</v>
      </c>
      <c r="N97" s="7">
        <v>79</v>
      </c>
      <c r="O97" s="7">
        <v>99</v>
      </c>
      <c r="P97" s="9">
        <f>Data6[[#This Row],[Waist_Circumference]]/Data6[[#This Row],[Hip_circumference]]</f>
        <v>0.79797979797979801</v>
      </c>
      <c r="Q97" s="10">
        <v>23030</v>
      </c>
      <c r="R97" s="10">
        <v>44560</v>
      </c>
      <c r="S97" s="10">
        <f>Q97+R97</f>
        <v>67590</v>
      </c>
      <c r="T97" s="9">
        <f>(Data6[[#This Row],[Total_fat_g]]/Data6[[#This Row],[Total_mass_g]])*100</f>
        <v>34.073087734872018</v>
      </c>
      <c r="U97" s="9">
        <f>(Data6[[#This Row],[Lean_mass_g]]/Data6[[#This Row],[Total_mass_g]])*100</f>
        <v>65.926912265127982</v>
      </c>
      <c r="V97" s="9"/>
      <c r="W97" s="9">
        <v>6.3</v>
      </c>
      <c r="X97" s="9">
        <v>5.16</v>
      </c>
      <c r="Y97" s="9">
        <v>12.56</v>
      </c>
      <c r="Z97" s="21">
        <f>(Data6[[#This Row],[Glucose (mmol/L)]]*Data6[[#This Row],[Insulin (umol/L)]])/22.5</f>
        <v>2.8804266666666667</v>
      </c>
      <c r="AA97" s="9">
        <v>498.84</v>
      </c>
      <c r="AB97" s="9">
        <v>619.70000000000005</v>
      </c>
      <c r="AC97" s="9">
        <v>80.400000000000006</v>
      </c>
      <c r="AD97" s="9">
        <v>4.0999999999999996</v>
      </c>
      <c r="AE97" s="9">
        <v>1.36</v>
      </c>
      <c r="AF97" s="9">
        <f>Data6[[#This Row],[total_chol (umol/L)]]-Data6[[#This Row],[HDL_chol (umol/L)]]</f>
        <v>2.7399999999999993</v>
      </c>
      <c r="AG97" s="9">
        <f>Data6[[#This Row],[Non_HDL (umol/L)]]-(Data6[[#This Row],[TAG (umol/L)]]/2200)</f>
        <v>2.4583181818181812</v>
      </c>
      <c r="AH97" s="9">
        <v>137.44</v>
      </c>
      <c r="AI97" s="51">
        <v>3.3378516216965078E-3</v>
      </c>
      <c r="AJ97" s="9">
        <v>0.50759682217964619</v>
      </c>
      <c r="AK97" s="23">
        <f>(Data6[[#This Row],[DNL (%)]]/100)*Data6[[#This Row],[VLDL (umol/L)]]</f>
        <v>0.69764107240370565</v>
      </c>
      <c r="AL97" s="9">
        <f>[4]SAMPLES!$L$252</f>
        <v>38.841542295060158</v>
      </c>
      <c r="AM97" s="57">
        <f>(Data6[[#This Row],[Gluconeogensis (%)]]/100)*Data6[[#This Row],[Glucose (mmol/L)]]</f>
        <v>2.0042235824251042</v>
      </c>
      <c r="AN97" s="61">
        <f>Data6[[#This Row],[Glucose (mmol/L)]]-Data6[[#This Row],[Gluconeogenesis (mmol/L)]]</f>
        <v>3.1557764175748959</v>
      </c>
      <c r="AO97" s="61" t="s">
        <v>536</v>
      </c>
      <c r="AP97" s="7"/>
    </row>
    <row r="98" spans="1:42" s="11" customFormat="1" x14ac:dyDescent="0.25">
      <c r="A98" s="7">
        <v>115</v>
      </c>
      <c r="B98" s="7" t="s">
        <v>197</v>
      </c>
      <c r="C98" s="7" t="s">
        <v>198</v>
      </c>
      <c r="D98" s="7"/>
      <c r="E98" s="7"/>
      <c r="F98" s="7"/>
      <c r="G98" s="7" t="s">
        <v>227</v>
      </c>
      <c r="H98" s="7">
        <v>55</v>
      </c>
      <c r="I98" s="7"/>
      <c r="J98" s="7"/>
      <c r="K98" s="7">
        <v>171</v>
      </c>
      <c r="L98" s="7">
        <v>70.2</v>
      </c>
      <c r="M98" s="8">
        <f>L98/((K98/100)*(K98/100))</f>
        <v>24.007386888273317</v>
      </c>
      <c r="N98" s="7">
        <v>82</v>
      </c>
      <c r="O98" s="7">
        <v>96</v>
      </c>
      <c r="P98" s="9">
        <f>Data6[[#This Row],[Waist_Circumference]]/Data6[[#This Row],[Hip_circumference]]</f>
        <v>0.85416666666666663</v>
      </c>
      <c r="Q98" s="10">
        <v>22720</v>
      </c>
      <c r="R98" s="10">
        <v>45210</v>
      </c>
      <c r="S98" s="10">
        <f>Q98+R98</f>
        <v>67930</v>
      </c>
      <c r="T98" s="9">
        <f>(Data6[[#This Row],[Total_fat_g]]/Data6[[#This Row],[Total_mass_g]])*100</f>
        <v>33.44619461210069</v>
      </c>
      <c r="U98" s="9">
        <f>(Data6[[#This Row],[Lean_mass_g]]/Data6[[#This Row],[Total_mass_g]])*100</f>
        <v>66.553805387899317</v>
      </c>
      <c r="V98" s="9">
        <v>349</v>
      </c>
      <c r="W98" s="9">
        <v>0.69</v>
      </c>
      <c r="X98" s="9">
        <v>5.12</v>
      </c>
      <c r="Y98" s="9">
        <v>12.56</v>
      </c>
      <c r="Z98" s="21">
        <f>(Data6[[#This Row],[Glucose (mmol/L)]]*Data6[[#This Row],[Insulin (umol/L)]])/22.5</f>
        <v>2.8580977777777781</v>
      </c>
      <c r="AA98" s="9">
        <v>282.05</v>
      </c>
      <c r="AB98" s="9">
        <v>634.95000000000005</v>
      </c>
      <c r="AC98" s="9">
        <v>46.3</v>
      </c>
      <c r="AD98" s="9">
        <v>4.9000000000000004</v>
      </c>
      <c r="AE98" s="9">
        <v>1.64</v>
      </c>
      <c r="AF98" s="9">
        <f>Data6[[#This Row],[total_chol (umol/L)]]-Data6[[#This Row],[HDL_chol (umol/L)]]</f>
        <v>3.2600000000000007</v>
      </c>
      <c r="AG98" s="9">
        <f>Data6[[#This Row],[Non_HDL (umol/L)]]-(Data6[[#This Row],[TAG (umol/L)]]/2200)</f>
        <v>2.9713863636363644</v>
      </c>
      <c r="AH98" s="9">
        <v>250.71</v>
      </c>
      <c r="AI98" s="51">
        <v>3.3681137146290428E-3</v>
      </c>
      <c r="AJ98" s="9">
        <v>0.73815853502861029</v>
      </c>
      <c r="AK98" s="23">
        <f>(Data6[[#This Row],[DNL (%)]]/100)*Data6[[#This Row],[VLDL (umol/L)]]</f>
        <v>1.8506372631702288</v>
      </c>
      <c r="AL98" s="9">
        <f>[4]SAMPLES!$L$263</f>
        <v>14.504820670826982</v>
      </c>
      <c r="AM98" s="57">
        <f>(Data6[[#This Row],[Gluconeogensis (%)]]/100)*Data6[[#This Row],[Glucose (mmol/L)]]</f>
        <v>0.7426468183463415</v>
      </c>
      <c r="AN98" s="61">
        <f>Data6[[#This Row],[Glucose (mmol/L)]]-Data6[[#This Row],[Gluconeogenesis (mmol/L)]]</f>
        <v>4.3773531816536586</v>
      </c>
      <c r="AO98" s="61" t="s">
        <v>536</v>
      </c>
      <c r="AP98" s="7"/>
    </row>
    <row r="99" spans="1:42" s="11" customFormat="1" x14ac:dyDescent="0.25">
      <c r="A99" s="23">
        <v>12</v>
      </c>
      <c r="B99" s="23" t="s">
        <v>43</v>
      </c>
      <c r="C99" s="23" t="s">
        <v>32</v>
      </c>
      <c r="D99" s="23"/>
      <c r="E99" s="23"/>
      <c r="F99" s="23">
        <v>4487</v>
      </c>
      <c r="G99" s="23" t="s">
        <v>228</v>
      </c>
      <c r="H99" s="26">
        <v>47.6</v>
      </c>
      <c r="I99" s="23" t="s">
        <v>229</v>
      </c>
      <c r="J99" s="23"/>
      <c r="K99" s="23">
        <v>185</v>
      </c>
      <c r="L99" s="23">
        <v>105.8</v>
      </c>
      <c r="M99" s="24">
        <f>L99/((K99/100)*(K99/100))</f>
        <v>30.913075237399557</v>
      </c>
      <c r="N99" s="23">
        <v>110</v>
      </c>
      <c r="O99" s="23">
        <v>107</v>
      </c>
      <c r="P99" s="25">
        <f>Data6[[#This Row],[Waist_Circumference]]/Data6[[#This Row],[Hip_circumference]]</f>
        <v>1.02803738317757</v>
      </c>
      <c r="Q99" s="26">
        <f>'[1]Anthro data'!$M$27</f>
        <v>37872</v>
      </c>
      <c r="R99" s="26">
        <f>'[1]Anthro data'!$M$28</f>
        <v>61797</v>
      </c>
      <c r="S99" s="26">
        <f>Q99+R99</f>
        <v>99669</v>
      </c>
      <c r="T99" s="25">
        <f>(Data6[[#This Row],[Total_fat_g]]/Data6[[#This Row],[Total_mass_g]])*100</f>
        <v>37.997772627396678</v>
      </c>
      <c r="U99" s="25">
        <f>(Data6[[#This Row],[Lean_mass_g]]/Data6[[#This Row],[Total_mass_g]])*100</f>
        <v>62.002227372603315</v>
      </c>
      <c r="V99" s="25">
        <v>2722</v>
      </c>
      <c r="W99" s="25">
        <v>19.01760363</v>
      </c>
      <c r="X99" s="25">
        <f>[1]Glucose!$M$3</f>
        <v>6.1520000000000001</v>
      </c>
      <c r="Y99" s="25">
        <f>'[1]Insulin+HOMA'!$M$3</f>
        <v>12.6035</v>
      </c>
      <c r="Z99" s="21">
        <f>(Data6[[#This Row],[Glucose (mmol/L)]]*Data6[[#This Row],[Insulin (umol/L)]])/22.5</f>
        <v>3.446076977777778</v>
      </c>
      <c r="AA99" s="25">
        <f>[1]NEFA!$M$3</f>
        <v>393.3</v>
      </c>
      <c r="AB99" s="25">
        <f>[1]TAG!$M$3</f>
        <v>3953.7</v>
      </c>
      <c r="AC99" s="25">
        <f>'[1]3-OHB'!$M$3</f>
        <v>59.4</v>
      </c>
      <c r="AD99" s="25">
        <f>'[15]Basal ApoB,Chol,HDL,ALT'!$F$2</f>
        <v>5.31</v>
      </c>
      <c r="AE99" s="25">
        <f>'[15]Basal ApoB,Chol,HDL,ALT'!$J$2</f>
        <v>1.1000000000000001</v>
      </c>
      <c r="AF99" s="25">
        <f>Data6[[#This Row],[total_chol (umol/L)]]-Data6[[#This Row],[HDL_chol (umol/L)]]</f>
        <v>4.2099999999999991</v>
      </c>
      <c r="AG99" s="25">
        <f>Data6[[#This Row],[Non_HDL (umol/L)]]-(Data6[[#This Row],[TAG (umol/L)]]/2200)</f>
        <v>2.4128636363636353</v>
      </c>
      <c r="AH99" s="25">
        <v>1197.5943525000002</v>
      </c>
      <c r="AI99" s="49">
        <f>[3]DD12!$B$3</f>
        <v>3.4728975507916982E-3</v>
      </c>
      <c r="AJ99" s="25">
        <f>[1]DNL_160!$M$5</f>
        <v>4.9394964680335489</v>
      </c>
      <c r="AK99" s="23">
        <f>(Data6[[#This Row],[DNL (%)]]/100)*Data6[[#This Row],[VLDL (umol/L)]]</f>
        <v>59.15513074310676</v>
      </c>
      <c r="AL99" s="62">
        <f>[4]SAMPLES!$L$14</f>
        <v>20.499287081508957</v>
      </c>
      <c r="AM99" s="55">
        <f>(Data6[[#This Row],[Gluconeogensis (%)]]/100)*Data6[[#This Row],[Glucose (mmol/L)]]</f>
        <v>1.2611161412544312</v>
      </c>
      <c r="AN99" s="61">
        <f>Data6[[#This Row],[Glucose (mmol/L)]]-Data6[[#This Row],[Gluconeogenesis (mmol/L)]]</f>
        <v>4.8908838587455694</v>
      </c>
      <c r="AO99" s="61" t="s">
        <v>536</v>
      </c>
      <c r="AP99" s="23"/>
    </row>
    <row r="100" spans="1:42" s="11" customFormat="1" x14ac:dyDescent="0.25">
      <c r="A100" s="33">
        <v>134</v>
      </c>
      <c r="B100" s="33" t="s">
        <v>222</v>
      </c>
      <c r="C100" s="33" t="s">
        <v>226</v>
      </c>
      <c r="D100" s="33" t="s">
        <v>386</v>
      </c>
      <c r="E100" s="33" t="s">
        <v>407</v>
      </c>
      <c r="F100" s="33"/>
      <c r="G100" s="33" t="s">
        <v>228</v>
      </c>
      <c r="H100" s="33">
        <v>35</v>
      </c>
      <c r="I100" s="33" t="s">
        <v>229</v>
      </c>
      <c r="J100" s="33"/>
      <c r="K100" s="33">
        <v>186</v>
      </c>
      <c r="L100" s="33">
        <v>96.9</v>
      </c>
      <c r="M100" s="34">
        <f>L100/((K100/100)*(K100/100))</f>
        <v>28.009018383628163</v>
      </c>
      <c r="N100" s="33">
        <v>186</v>
      </c>
      <c r="O100" s="33">
        <v>112</v>
      </c>
      <c r="P100" s="35">
        <f>Data6[[#This Row],[Waist_Circumference]]/Data6[[#This Row],[Hip_circumference]]</f>
        <v>1.6607142857142858</v>
      </c>
      <c r="Q100" s="36">
        <f>[50]Antropometrics!$N$16</f>
        <v>26542</v>
      </c>
      <c r="R100" s="36">
        <f>[50]Antropometrics!$N$17</f>
        <v>65166</v>
      </c>
      <c r="S100" s="36">
        <f>Q100+R100</f>
        <v>91708</v>
      </c>
      <c r="T100" s="35">
        <f>(Data6[[#This Row],[Total_fat_g]]/Data6[[#This Row],[Total_mass_g]])*100</f>
        <v>28.941858943603609</v>
      </c>
      <c r="U100" s="35">
        <f>(Data6[[#This Row],[Lean_mass_g]]/Data6[[#This Row],[Total_mass_g]])*100</f>
        <v>71.05814105639638</v>
      </c>
      <c r="V100" s="35">
        <v>655</v>
      </c>
      <c r="W100" s="35">
        <v>0.12</v>
      </c>
      <c r="X100" s="35">
        <f>[51]Glucose!$N$24</f>
        <v>5.2489999999999997</v>
      </c>
      <c r="Y100" s="35">
        <f>[51]Insulin!$N$24</f>
        <v>12.629999999999999</v>
      </c>
      <c r="Z100" s="21">
        <f>(Data6[[#This Row],[Glucose (mmol/L)]]*Data6[[#This Row],[Insulin (umol/L)]])/22.5</f>
        <v>2.946438666666666</v>
      </c>
      <c r="AA100" s="35">
        <f>[51]NEFA!$N$24</f>
        <v>443.4</v>
      </c>
      <c r="AB100" s="35">
        <f>[51]TAG!$N$24</f>
        <v>344</v>
      </c>
      <c r="AC100" s="35">
        <f>'[51]3OHB'!$N$24</f>
        <v>103.1</v>
      </c>
      <c r="AD100" s="35">
        <f>'[51]Chol, HDL'!$N$14</f>
        <v>3.96</v>
      </c>
      <c r="AE100" s="35">
        <f>'[51]Chol, HDL'!$N$31</f>
        <v>1.51</v>
      </c>
      <c r="AF100" s="35">
        <f>Data6[[#This Row],[total_chol (umol/L)]]-Data6[[#This Row],[HDL_chol (umol/L)]]</f>
        <v>2.4500000000000002</v>
      </c>
      <c r="AG100" s="35">
        <f>Data6[[#This Row],[Non_HDL (umol/L)]]-(Data6[[#This Row],[TAG (umol/L)]]/2200)</f>
        <v>2.2936363636363639</v>
      </c>
      <c r="AH100" s="35">
        <v>241.56083249999998</v>
      </c>
      <c r="AI100" s="52">
        <f>[51]DNL!$N$15</f>
        <v>3.1122012604482743E-3</v>
      </c>
      <c r="AJ100" s="35">
        <f>[51]DNL!$N$61</f>
        <v>7.0645569608434879</v>
      </c>
      <c r="AK100" s="23">
        <f>(Data6[[#This Row],[DNL (%)]]/100)*Data6[[#This Row],[VLDL (umol/L)]]</f>
        <v>17.065202607050225</v>
      </c>
      <c r="AL100" s="35">
        <f>[4]SAMPLES!$L$157</f>
        <v>38.290511535539906</v>
      </c>
      <c r="AM100" s="58">
        <f>(Data6[[#This Row],[Gluconeogensis (%)]]/100)*Data6[[#This Row],[Glucose (mmol/L)]]</f>
        <v>2.0098689505004894</v>
      </c>
      <c r="AN100" s="61">
        <f>Data6[[#This Row],[Glucose (mmol/L)]]-Data6[[#This Row],[Gluconeogenesis (mmol/L)]]</f>
        <v>3.2391310494995103</v>
      </c>
      <c r="AO100" s="61" t="s">
        <v>536</v>
      </c>
      <c r="AP100" s="33"/>
    </row>
    <row r="101" spans="1:42" s="11" customFormat="1" x14ac:dyDescent="0.25">
      <c r="A101" s="23">
        <v>3</v>
      </c>
      <c r="B101" s="23" t="s">
        <v>34</v>
      </c>
      <c r="C101" s="23" t="s">
        <v>32</v>
      </c>
      <c r="D101" s="23"/>
      <c r="E101" s="23"/>
      <c r="F101" s="23">
        <v>3442</v>
      </c>
      <c r="G101" s="23" t="s">
        <v>227</v>
      </c>
      <c r="H101" s="26">
        <v>45.8</v>
      </c>
      <c r="I101" s="23" t="s">
        <v>229</v>
      </c>
      <c r="J101" s="23"/>
      <c r="K101" s="23">
        <v>172</v>
      </c>
      <c r="L101" s="23">
        <v>87.9</v>
      </c>
      <c r="M101" s="24">
        <f>L101/((K101/100)*(K101/100))</f>
        <v>29.712006489994597</v>
      </c>
      <c r="N101" s="23">
        <v>94</v>
      </c>
      <c r="O101" s="23">
        <v>108</v>
      </c>
      <c r="P101" s="25">
        <f>Data6[[#This Row],[Waist_Circumference]]/Data6[[#This Row],[Hip_circumference]]</f>
        <v>0.87037037037037035</v>
      </c>
      <c r="Q101" s="26">
        <f>'[1]Anthro data'!$D$27</f>
        <v>39409</v>
      </c>
      <c r="R101" s="26">
        <f>'[1]Anthro data'!$D$28</f>
        <v>46815</v>
      </c>
      <c r="S101" s="26">
        <f>Q101+R101</f>
        <v>86224</v>
      </c>
      <c r="T101" s="25">
        <f>(Data6[[#This Row],[Total_fat_g]]/Data6[[#This Row],[Total_mass_g]])*100</f>
        <v>45.705372054184451</v>
      </c>
      <c r="U101" s="25">
        <f>(Data6[[#This Row],[Lean_mass_g]]/Data6[[#This Row],[Total_mass_g]])*100</f>
        <v>54.294627945815556</v>
      </c>
      <c r="V101" s="25">
        <v>1129</v>
      </c>
      <c r="W101" s="25">
        <v>7.3681423429999997</v>
      </c>
      <c r="X101" s="25">
        <f>[1]Glucose!$D$3</f>
        <v>5.0975000000000001</v>
      </c>
      <c r="Y101" s="25">
        <f>'[1]Insulin+HOMA'!$D$3</f>
        <v>12.6325</v>
      </c>
      <c r="Z101" s="21">
        <f>(Data6[[#This Row],[Glucose (mmol/L)]]*Data6[[#This Row],[Insulin (umol/L)]])/22.5</f>
        <v>2.861963055555556</v>
      </c>
      <c r="AA101" s="25">
        <f>[1]NEFA!$D$3</f>
        <v>641.75</v>
      </c>
      <c r="AB101" s="25">
        <f>[1]TAG!$D$3</f>
        <v>329.05000000000007</v>
      </c>
      <c r="AC101" s="25">
        <f>'[1]3-OHB'!$D$3</f>
        <v>106.8</v>
      </c>
      <c r="AD101" s="25">
        <f>'[6]Basal ApoB,Chol,HDL,ALT'!$H$2</f>
        <v>4.4000000000000004</v>
      </c>
      <c r="AE101" s="25">
        <f>'[6]Basal ApoB,Chol,HDL,ALT'!$L$2</f>
        <v>1.5550000000000002</v>
      </c>
      <c r="AF101" s="25">
        <f>Data6[[#This Row],[total_chol (umol/L)]]-Data6[[#This Row],[HDL_chol (umol/L)]]</f>
        <v>2.8450000000000002</v>
      </c>
      <c r="AG101" s="25">
        <f>Data6[[#This Row],[Non_HDL (umol/L)]]-(Data6[[#This Row],[TAG (umol/L)]]/2200)</f>
        <v>2.6954318181818184</v>
      </c>
      <c r="AH101" s="25">
        <v>168.81832375000002</v>
      </c>
      <c r="AI101" s="49">
        <f>[3]LS3!$B$3</f>
        <v>3.8576577249906513E-3</v>
      </c>
      <c r="AJ101" s="25">
        <f>[1]DNL_160!$D$5</f>
        <v>6.2290913521526692</v>
      </c>
      <c r="AK101" s="23">
        <f>(Data6[[#This Row],[DNL (%)]]/100)*Data6[[#This Row],[VLDL (umol/L)]]</f>
        <v>10.515847605560348</v>
      </c>
      <c r="AL101" s="25">
        <f>[4]SAMPLES!$L$5</f>
        <v>27.400279508188973</v>
      </c>
      <c r="AM101" s="55">
        <f>(Data6[[#This Row],[Gluconeogensis (%)]]/100)*Data6[[#This Row],[Glucose (mmol/L)]]</f>
        <v>1.3967292479299329</v>
      </c>
      <c r="AN101" s="61">
        <f>Data6[[#This Row],[Glucose (mmol/L)]]-Data6[[#This Row],[Gluconeogenesis (mmol/L)]]</f>
        <v>3.700770752070067</v>
      </c>
      <c r="AO101" s="61" t="s">
        <v>536</v>
      </c>
      <c r="AP101" s="23"/>
    </row>
    <row r="102" spans="1:42" s="11" customFormat="1" x14ac:dyDescent="0.25">
      <c r="A102" s="19">
        <v>212</v>
      </c>
      <c r="B102" s="19" t="s">
        <v>259</v>
      </c>
      <c r="C102" s="19" t="s">
        <v>250</v>
      </c>
      <c r="D102" s="19">
        <v>1</v>
      </c>
      <c r="E102" s="19" t="s">
        <v>318</v>
      </c>
      <c r="F102" s="19"/>
      <c r="G102" s="19" t="s">
        <v>228</v>
      </c>
      <c r="H102" s="19">
        <f>'[82]Dipagloflozin Arm'!$C$7</f>
        <v>55</v>
      </c>
      <c r="I102" s="19"/>
      <c r="J102" s="19"/>
      <c r="K102" s="19">
        <v>172.49999999999986</v>
      </c>
      <c r="L102" s="19">
        <f>'[82]Dipagloflozin Arm'!$C$5</f>
        <v>82.6</v>
      </c>
      <c r="M102" s="20">
        <f>L102/((K102/100)*(K102/100))</f>
        <v>27.758874186095401</v>
      </c>
      <c r="N102" s="19"/>
      <c r="O102" s="19"/>
      <c r="P102" s="21" t="e">
        <f>Data6[[#This Row],[Waist_Circumference]]/Data6[[#This Row],[Hip_circumference]]</f>
        <v>#DIV/0!</v>
      </c>
      <c r="Q102" s="22">
        <v>22700</v>
      </c>
      <c r="R102" s="22">
        <v>63849.799999999996</v>
      </c>
      <c r="S102" s="22">
        <f>Q102+R102</f>
        <v>86549.799999999988</v>
      </c>
      <c r="T102" s="21">
        <f>(Data6[[#This Row],[Total_fat_g]]/Data6[[#This Row],[Total_mass_g]])*100</f>
        <v>26.227674702887821</v>
      </c>
      <c r="U102" s="21">
        <f>(Data6[[#This Row],[Lean_mass_g]]/Data6[[#This Row],[Total_mass_g]])*100</f>
        <v>73.772325297112189</v>
      </c>
      <c r="V102" s="21"/>
      <c r="W102" s="21">
        <v>2.3199999999999998</v>
      </c>
      <c r="X102" s="21">
        <f>[101]Glucose!$C6</f>
        <v>5.3949999999999996</v>
      </c>
      <c r="Y102" s="21">
        <f>[101]Insulin!$I9</f>
        <v>12.678000000000001</v>
      </c>
      <c r="Z102" s="21">
        <f>(Data6[[#This Row],[Glucose (mmol/L)]]*Data6[[#This Row],[Insulin (umol/L)]])/22.5</f>
        <v>3.0399026666666664</v>
      </c>
      <c r="AA102" s="21">
        <f>[101]NEFA!$C5</f>
        <v>297.8</v>
      </c>
      <c r="AB102" s="21">
        <f>[101]TAG!$I6</f>
        <v>552.9</v>
      </c>
      <c r="AC102" s="21">
        <f>'[101]Ranbut 3-OHB'!$C5</f>
        <v>43.3</v>
      </c>
      <c r="AD102" s="21">
        <f>'[101]Apo B, HDL, Cholesterol, ALT'!$C$6</f>
        <v>3.59</v>
      </c>
      <c r="AE102" s="21">
        <f>'[101]Apo B, HDL, Cholesterol, ALT'!$J$6</f>
        <v>1.24</v>
      </c>
      <c r="AF102" s="21">
        <f>Data6[[#This Row],[total_chol (umol/L)]]-Data6[[#This Row],[HDL_chol (umol/L)]]</f>
        <v>2.3499999999999996</v>
      </c>
      <c r="AG102" s="21">
        <f>Data6[[#This Row],[Non_HDL (umol/L)]]-(Data6[[#This Row],[TAG (umol/L)]]/2200)</f>
        <v>2.0986818181818179</v>
      </c>
      <c r="AH102" s="21">
        <f>[102]Lipoproteins!B$3</f>
        <v>301.959225</v>
      </c>
      <c r="AI102" s="54">
        <v>3.0545657833967203E-3</v>
      </c>
      <c r="AJ102" s="21">
        <f>'[103]VLDL__DNL data DAPA'!B$20</f>
        <v>9.9540603575296664</v>
      </c>
      <c r="AK102" s="23">
        <f>(Data6[[#This Row],[DNL (%)]]/100)*Data6[[#This Row],[VLDL (umol/L)]]</f>
        <v>30.05720351162881</v>
      </c>
      <c r="AL102" s="21">
        <f>[4]SAMPLES!$L$208</f>
        <v>32.583646858531083</v>
      </c>
      <c r="AM102" s="61">
        <f>(Data6[[#This Row],[Gluconeogensis (%)]]/100)*Data6[[#This Row],[Glucose (mmol/L)]]</f>
        <v>1.7578877480177519</v>
      </c>
      <c r="AN102" s="61">
        <f>Data6[[#This Row],[Glucose (mmol/L)]]-Data6[[#This Row],[Gluconeogenesis (mmol/L)]]</f>
        <v>3.6371122519822476</v>
      </c>
      <c r="AO102" s="61" t="s">
        <v>536</v>
      </c>
      <c r="AP102" s="19"/>
    </row>
    <row r="103" spans="1:42" s="11" customFormat="1" x14ac:dyDescent="0.25">
      <c r="A103" s="7">
        <v>86</v>
      </c>
      <c r="B103" s="7" t="s">
        <v>144</v>
      </c>
      <c r="C103" s="7" t="s">
        <v>145</v>
      </c>
      <c r="D103" s="7"/>
      <c r="E103" s="7"/>
      <c r="F103" s="7"/>
      <c r="G103" s="7" t="s">
        <v>227</v>
      </c>
      <c r="H103" s="7">
        <v>59</v>
      </c>
      <c r="I103" s="7"/>
      <c r="J103" s="7"/>
      <c r="K103" s="7">
        <v>152</v>
      </c>
      <c r="L103" s="7">
        <v>65.8</v>
      </c>
      <c r="M103" s="8">
        <f>L103/((K103/100)*(K103/100))</f>
        <v>28.479916897506925</v>
      </c>
      <c r="N103" s="7">
        <v>94</v>
      </c>
      <c r="O103" s="7">
        <v>102</v>
      </c>
      <c r="P103" s="9">
        <f>Data6[[#This Row],[Waist_Circumference]]/Data6[[#This Row],[Hip_circumference]]</f>
        <v>0.92156862745098034</v>
      </c>
      <c r="Q103" s="10">
        <v>26930</v>
      </c>
      <c r="R103" s="10">
        <v>36990</v>
      </c>
      <c r="S103" s="10">
        <f>Q103+R103</f>
        <v>63920</v>
      </c>
      <c r="T103" s="9">
        <f>(Data6[[#This Row],[Total_fat_g]]/Data6[[#This Row],[Total_mass_g]])*100</f>
        <v>42.130788485607006</v>
      </c>
      <c r="U103" s="9">
        <f>(Data6[[#This Row],[Lean_mass_g]]/Data6[[#This Row],[Total_mass_g]])*100</f>
        <v>57.869211514392994</v>
      </c>
      <c r="V103" s="9"/>
      <c r="W103" s="9">
        <v>3.21</v>
      </c>
      <c r="X103" s="9">
        <v>5.0599999999999996</v>
      </c>
      <c r="Y103" s="9">
        <v>12.73</v>
      </c>
      <c r="Z103" s="21">
        <f>(Data6[[#This Row],[Glucose (mmol/L)]]*Data6[[#This Row],[Insulin (umol/L)]])/22.5</f>
        <v>2.8628355555555554</v>
      </c>
      <c r="AA103" s="9">
        <v>654.64</v>
      </c>
      <c r="AB103" s="9">
        <v>911.6</v>
      </c>
      <c r="AC103" s="9">
        <v>43.05</v>
      </c>
      <c r="AD103" s="9">
        <v>6.5</v>
      </c>
      <c r="AE103" s="9">
        <v>1.53</v>
      </c>
      <c r="AF103" s="9">
        <f>Data6[[#This Row],[total_chol (umol/L)]]-Data6[[#This Row],[HDL_chol (umol/L)]]</f>
        <v>4.97</v>
      </c>
      <c r="AG103" s="9">
        <f>Data6[[#This Row],[Non_HDL (umol/L)]]-(Data6[[#This Row],[TAG (umol/L)]]/2200)</f>
        <v>4.5556363636363635</v>
      </c>
      <c r="AH103" s="9">
        <v>349.67</v>
      </c>
      <c r="AI103" s="51">
        <v>5.0471467824375459E-3</v>
      </c>
      <c r="AJ103" s="9">
        <v>15.341701266001637</v>
      </c>
      <c r="AK103" s="23">
        <f>(Data6[[#This Row],[DNL (%)]]/100)*Data6[[#This Row],[VLDL (umol/L)]]</f>
        <v>53.645326816827925</v>
      </c>
      <c r="AL103" s="9">
        <f>[4]SAMPLES!$L$69</f>
        <v>27.39138832238794</v>
      </c>
      <c r="AM103" s="57">
        <f>(Data6[[#This Row],[Gluconeogensis (%)]]/100)*Data6[[#This Row],[Glucose (mmol/L)]]</f>
        <v>1.3860042491128295</v>
      </c>
      <c r="AN103" s="61">
        <f>Data6[[#This Row],[Glucose (mmol/L)]]-Data6[[#This Row],[Gluconeogenesis (mmol/L)]]</f>
        <v>3.6739957508871699</v>
      </c>
      <c r="AO103" s="61" t="s">
        <v>536</v>
      </c>
      <c r="AP103" s="7"/>
    </row>
    <row r="104" spans="1:42" s="11" customFormat="1" x14ac:dyDescent="0.25">
      <c r="A104" s="23">
        <v>11</v>
      </c>
      <c r="B104" s="23" t="s">
        <v>42</v>
      </c>
      <c r="C104" s="23" t="s">
        <v>32</v>
      </c>
      <c r="D104" s="23"/>
      <c r="E104" s="23"/>
      <c r="F104" s="23">
        <v>4366</v>
      </c>
      <c r="G104" s="23" t="s">
        <v>228</v>
      </c>
      <c r="H104" s="26">
        <v>35.299999999999997</v>
      </c>
      <c r="I104" s="23" t="s">
        <v>146</v>
      </c>
      <c r="J104" s="23"/>
      <c r="K104" s="23">
        <v>180</v>
      </c>
      <c r="L104" s="23">
        <v>84.7</v>
      </c>
      <c r="M104" s="24">
        <f>L104/((K104/100)*(K104/100))</f>
        <v>26.141975308641975</v>
      </c>
      <c r="N104" s="23">
        <v>89</v>
      </c>
      <c r="O104" s="23">
        <v>104</v>
      </c>
      <c r="P104" s="25">
        <f>Data6[[#This Row],[Waist_Circumference]]/Data6[[#This Row],[Hip_circumference]]</f>
        <v>0.85576923076923073</v>
      </c>
      <c r="Q104" s="26">
        <f>'[1]Anthro data'!$L$27</f>
        <v>23618</v>
      </c>
      <c r="R104" s="26">
        <f>'[1]Anthro data'!$L$28</f>
        <v>56737</v>
      </c>
      <c r="S104" s="26">
        <f>Q104+R104</f>
        <v>80355</v>
      </c>
      <c r="T104" s="25">
        <f>(Data6[[#This Row],[Total_fat_g]]/Data6[[#This Row],[Total_mass_g]])*100</f>
        <v>29.392072677493626</v>
      </c>
      <c r="U104" s="25">
        <f>(Data6[[#This Row],[Lean_mass_g]]/Data6[[#This Row],[Total_mass_g]])*100</f>
        <v>70.607927322506384</v>
      </c>
      <c r="V104" s="25">
        <v>573</v>
      </c>
      <c r="W104" s="25">
        <v>1.6858237549999999</v>
      </c>
      <c r="X104" s="25">
        <f>[1]Glucose!$L$3</f>
        <v>5.3609999999999998</v>
      </c>
      <c r="Y104" s="25">
        <f>'[1]Insulin+HOMA'!$L$3</f>
        <v>13.0525</v>
      </c>
      <c r="Z104" s="21">
        <f>(Data6[[#This Row],[Glucose (mmol/L)]]*Data6[[#This Row],[Insulin (umol/L)]])/22.5</f>
        <v>3.1099756666666667</v>
      </c>
      <c r="AA104" s="25">
        <f>[1]NEFA!$L$3</f>
        <v>468.9</v>
      </c>
      <c r="AB104" s="25">
        <f>[1]TAG!$L$3</f>
        <v>1739.3</v>
      </c>
      <c r="AC104" s="25">
        <f>'[1]3-OHB'!$L$3</f>
        <v>78.099999999999994</v>
      </c>
      <c r="AD104" s="25">
        <f>'[14]Basal ApoB,Chol,HDL,ALT'!$F$2</f>
        <v>5.1100000000000003</v>
      </c>
      <c r="AE104" s="25">
        <f>'[14]Basal ApoB,Chol,HDL,ALT'!$J$2</f>
        <v>1.28</v>
      </c>
      <c r="AF104" s="25">
        <f>Data6[[#This Row],[total_chol (umol/L)]]-Data6[[#This Row],[HDL_chol (umol/L)]]</f>
        <v>3.83</v>
      </c>
      <c r="AG104" s="25">
        <f>Data6[[#This Row],[Non_HDL (umol/L)]]-(Data6[[#This Row],[TAG (umol/L)]]/2200)</f>
        <v>3.0394090909090909</v>
      </c>
      <c r="AH104" s="25">
        <v>918.52961249999998</v>
      </c>
      <c r="AI104" s="49">
        <f>[3]RF11!$B$3</f>
        <v>2.9335604276105112E-3</v>
      </c>
      <c r="AJ104" s="25">
        <f>[1]DNL_160!$L$5</f>
        <v>5.6408962598611891</v>
      </c>
      <c r="AK104" s="23">
        <f>(Data6[[#This Row],[DNL (%)]]/100)*Data6[[#This Row],[VLDL (umol/L)]]</f>
        <v>51.813302557229967</v>
      </c>
      <c r="AL104" s="25">
        <f>[4]SAMPLES!$L$13</f>
        <v>33.536539689585531</v>
      </c>
      <c r="AM104" s="55">
        <f>(Data6[[#This Row],[Gluconeogensis (%)]]/100)*Data6[[#This Row],[Glucose (mmol/L)]]</f>
        <v>1.7978938927586803</v>
      </c>
      <c r="AN104" s="61">
        <f>Data6[[#This Row],[Glucose (mmol/L)]]-Data6[[#This Row],[Gluconeogenesis (mmol/L)]]</f>
        <v>3.5631061072413193</v>
      </c>
      <c r="AO104" s="61" t="s">
        <v>536</v>
      </c>
      <c r="AP104" s="23"/>
    </row>
    <row r="105" spans="1:42" s="11" customFormat="1" x14ac:dyDescent="0.25">
      <c r="A105" s="7">
        <v>77</v>
      </c>
      <c r="B105" s="7" t="s">
        <v>128</v>
      </c>
      <c r="C105" s="7" t="s">
        <v>129</v>
      </c>
      <c r="D105" s="7"/>
      <c r="E105" s="7"/>
      <c r="F105" s="7"/>
      <c r="G105" s="7" t="s">
        <v>227</v>
      </c>
      <c r="H105" s="7">
        <v>40</v>
      </c>
      <c r="I105" s="7" t="s">
        <v>146</v>
      </c>
      <c r="J105" s="7"/>
      <c r="K105" s="7">
        <v>169</v>
      </c>
      <c r="L105" s="7">
        <v>85.1</v>
      </c>
      <c r="M105" s="8">
        <f>L105/((K105/100)*(K105/100))</f>
        <v>29.795875494555514</v>
      </c>
      <c r="N105" s="7">
        <v>103</v>
      </c>
      <c r="O105" s="7">
        <v>114</v>
      </c>
      <c r="P105" s="9">
        <f>Data6[[#This Row],[Waist_Circumference]]/Data6[[#This Row],[Hip_circumference]]</f>
        <v>0.90350877192982459</v>
      </c>
      <c r="Q105" s="10">
        <v>33900</v>
      </c>
      <c r="R105" s="10">
        <v>48450</v>
      </c>
      <c r="S105" s="10">
        <f>Q105+R105</f>
        <v>82350</v>
      </c>
      <c r="T105" s="9">
        <f>(Data6[[#This Row],[Total_fat_g]]/Data6[[#This Row],[Total_mass_g]])*100</f>
        <v>41.165755919854277</v>
      </c>
      <c r="U105" s="9">
        <f>(Data6[[#This Row],[Lean_mass_g]]/Data6[[#This Row],[Total_mass_g]])*100</f>
        <v>58.834244080145716</v>
      </c>
      <c r="V105" s="9">
        <v>445</v>
      </c>
      <c r="W105" s="9">
        <v>2.4300000000000002</v>
      </c>
      <c r="X105" s="9">
        <v>5.01</v>
      </c>
      <c r="Y105" s="9">
        <v>13.09</v>
      </c>
      <c r="Z105" s="21">
        <f>(Data6[[#This Row],[Glucose (mmol/L)]]*Data6[[#This Row],[Insulin (umol/L)]])/22.5</f>
        <v>2.9147066666666666</v>
      </c>
      <c r="AA105" s="9">
        <v>601.45000000000005</v>
      </c>
      <c r="AB105" s="9">
        <v>546.54999999999995</v>
      </c>
      <c r="AC105" s="9">
        <v>79.5</v>
      </c>
      <c r="AD105" s="9">
        <v>5.7</v>
      </c>
      <c r="AE105" s="9">
        <v>1.72</v>
      </c>
      <c r="AF105" s="9">
        <f>Data6[[#This Row],[total_chol (umol/L)]]-Data6[[#This Row],[HDL_chol (umol/L)]]</f>
        <v>3.9800000000000004</v>
      </c>
      <c r="AG105" s="9">
        <f>Data6[[#This Row],[Non_HDL (umol/L)]]-(Data6[[#This Row],[TAG (umol/L)]]/2200)</f>
        <v>3.7315681818181821</v>
      </c>
      <c r="AH105" s="9">
        <v>102.76</v>
      </c>
      <c r="AI105" s="51">
        <v>4.0055211945665093E-3</v>
      </c>
      <c r="AJ105" s="9">
        <v>9.2160378888174854</v>
      </c>
      <c r="AK105" s="23">
        <f>(Data6[[#This Row],[DNL (%)]]/100)*Data6[[#This Row],[VLDL (umol/L)]]</f>
        <v>9.4704005345488493</v>
      </c>
      <c r="AL105" s="9">
        <f>[4]SAMPLES!$L$38</f>
        <v>33.748037937492029</v>
      </c>
      <c r="AM105" s="57">
        <f>(Data6[[#This Row],[Gluconeogensis (%)]]/100)*Data6[[#This Row],[Glucose (mmol/L)]]</f>
        <v>1.6907767006683507</v>
      </c>
      <c r="AN105" s="61">
        <f>Data6[[#This Row],[Glucose (mmol/L)]]-Data6[[#This Row],[Gluconeogenesis (mmol/L)]]</f>
        <v>3.3192232993316493</v>
      </c>
      <c r="AO105" s="61" t="s">
        <v>536</v>
      </c>
      <c r="AP105" s="7"/>
    </row>
    <row r="106" spans="1:42" s="11" customFormat="1" x14ac:dyDescent="0.25">
      <c r="A106" s="15">
        <v>25</v>
      </c>
      <c r="B106" s="15" t="s">
        <v>57</v>
      </c>
      <c r="C106" s="15" t="s">
        <v>58</v>
      </c>
      <c r="D106" s="15" t="s">
        <v>386</v>
      </c>
      <c r="E106" s="15"/>
      <c r="F106" s="15">
        <v>2137</v>
      </c>
      <c r="G106" s="15" t="s">
        <v>228</v>
      </c>
      <c r="H106" s="15">
        <v>45</v>
      </c>
      <c r="I106" s="15" t="s">
        <v>146</v>
      </c>
      <c r="J106" s="15"/>
      <c r="K106" s="15">
        <v>173</v>
      </c>
      <c r="L106" s="15">
        <v>91</v>
      </c>
      <c r="M106" s="16">
        <f>L106/((K106/100)*(K106/100))</f>
        <v>30.405292525644022</v>
      </c>
      <c r="N106" s="15">
        <v>99</v>
      </c>
      <c r="O106" s="15">
        <v>105</v>
      </c>
      <c r="P106" s="17">
        <f>Data6[[#This Row],[Waist_Circumference]]/Data6[[#This Row],[Hip_circumference]]</f>
        <v>0.94285714285714284</v>
      </c>
      <c r="Q106" s="18">
        <f>'[1]Anthro data'!$Z$27</f>
        <v>22436</v>
      </c>
      <c r="R106" s="18">
        <f>'[1]Anthro data'!$Z$28</f>
        <v>64783</v>
      </c>
      <c r="S106" s="18">
        <f>Q106+R106</f>
        <v>87219</v>
      </c>
      <c r="T106" s="17">
        <f>(Data6[[#This Row],[Total_fat_g]]/Data6[[#This Row],[Total_mass_g]])*100</f>
        <v>25.72375285201619</v>
      </c>
      <c r="U106" s="17">
        <f>(Data6[[#This Row],[Lean_mass_g]]/Data6[[#This Row],[Total_mass_g]])*100</f>
        <v>74.27624714798381</v>
      </c>
      <c r="V106" s="17">
        <v>918</v>
      </c>
      <c r="W106" s="17">
        <v>1.9</v>
      </c>
      <c r="X106" s="17">
        <f>[1]Glucose!$Z$3</f>
        <v>5.2539999999999996</v>
      </c>
      <c r="Y106" s="17">
        <f>'[1]Insulin+HOMA'!$Z$3</f>
        <v>13.090499999999999</v>
      </c>
      <c r="Z106" s="21">
        <f>(Data6[[#This Row],[Glucose (mmol/L)]]*Data6[[#This Row],[Insulin (umol/L)]])/22.5</f>
        <v>3.0567771999999995</v>
      </c>
      <c r="AA106" s="17">
        <f>[1]NEFA!$Z$3</f>
        <v>314.5</v>
      </c>
      <c r="AB106" s="17">
        <f>[1]TAG!$Z$3</f>
        <v>1579.5</v>
      </c>
      <c r="AC106" s="17">
        <f>'[1]3-OHB'!$Z$3</f>
        <v>30.9</v>
      </c>
      <c r="AD106" s="17">
        <f>'[29]Apo B, HDL, Cholesterol, ALT'!$F$4</f>
        <v>6.48</v>
      </c>
      <c r="AE106" s="17">
        <f>'[29]Apo B, HDL, Cholesterol, ALT'!$M$4</f>
        <v>1.54</v>
      </c>
      <c r="AF106" s="17">
        <f>Data6[[#This Row],[total_chol (umol/L)]]-Data6[[#This Row],[HDL_chol (umol/L)]]</f>
        <v>4.9400000000000004</v>
      </c>
      <c r="AG106" s="17">
        <f>Data6[[#This Row],[Non_HDL (umol/L)]]-(Data6[[#This Row],[TAG (umol/L)]]/2200)</f>
        <v>4.2220454545454551</v>
      </c>
      <c r="AH106" s="17">
        <v>1143.3540937500002</v>
      </c>
      <c r="AI106" s="50">
        <f>'[28]plasma H2O'!$D$4</f>
        <v>2.9475372060982158E-3</v>
      </c>
      <c r="AJ106" s="17">
        <f>[1]DNL_160!$Z$5</f>
        <v>29.431633750926345</v>
      </c>
      <c r="AK106" s="23">
        <f>(Data6[[#This Row],[DNL (%)]]/100)*Data6[[#This Row],[VLDL (umol/L)]]</f>
        <v>336.50778934872307</v>
      </c>
      <c r="AL106" s="17">
        <f>[4]SAMPLES!$L$270</f>
        <v>20.25070731606122</v>
      </c>
      <c r="AM106" s="56">
        <f>(Data6[[#This Row],[Gluconeogensis (%)]]/100)*Data6[[#This Row],[Glucose (mmol/L)]]</f>
        <v>1.0639721623858565</v>
      </c>
      <c r="AN106" s="61">
        <f>Data6[[#This Row],[Glucose (mmol/L)]]-Data6[[#This Row],[Gluconeogenesis (mmol/L)]]</f>
        <v>4.1900278376141431</v>
      </c>
      <c r="AO106" s="61" t="s">
        <v>536</v>
      </c>
      <c r="AP106" s="15"/>
    </row>
    <row r="107" spans="1:42" s="11" customFormat="1" x14ac:dyDescent="0.25">
      <c r="A107" s="33">
        <v>127</v>
      </c>
      <c r="B107" s="33" t="s">
        <v>215</v>
      </c>
      <c r="C107" s="33" t="s">
        <v>226</v>
      </c>
      <c r="D107" s="33" t="s">
        <v>386</v>
      </c>
      <c r="E107" s="33" t="s">
        <v>23</v>
      </c>
      <c r="F107" s="33"/>
      <c r="G107" s="33" t="s">
        <v>228</v>
      </c>
      <c r="H107" s="33">
        <v>42</v>
      </c>
      <c r="I107" s="33" t="s">
        <v>146</v>
      </c>
      <c r="J107" s="33"/>
      <c r="K107" s="33">
        <v>174</v>
      </c>
      <c r="L107" s="33">
        <v>91</v>
      </c>
      <c r="M107" s="34">
        <f>L107/((K107/100)*(K107/100))</f>
        <v>30.056810675122207</v>
      </c>
      <c r="N107" s="33">
        <v>101</v>
      </c>
      <c r="O107" s="33">
        <v>103</v>
      </c>
      <c r="P107" s="35">
        <f>Data6[[#This Row],[Waist_Circumference]]/Data6[[#This Row],[Hip_circumference]]</f>
        <v>0.98058252427184467</v>
      </c>
      <c r="Q107" s="36">
        <f>[50]Antropometrics!$G$16</f>
        <v>28857</v>
      </c>
      <c r="R107" s="36">
        <f>[50]Antropometrics!$G$17</f>
        <v>58016</v>
      </c>
      <c r="S107" s="36">
        <f>Q107+R107</f>
        <v>86873</v>
      </c>
      <c r="T107" s="35">
        <f>(Data6[[#This Row],[Total_fat_g]]/Data6[[#This Row],[Total_mass_g]])*100</f>
        <v>33.217455365878926</v>
      </c>
      <c r="U107" s="35">
        <f>(Data6[[#This Row],[Lean_mass_g]]/Data6[[#This Row],[Total_mass_g]])*100</f>
        <v>66.782544634121081</v>
      </c>
      <c r="V107" s="35">
        <v>2074</v>
      </c>
      <c r="W107" s="35">
        <v>3.0281292265637143</v>
      </c>
      <c r="X107" s="35">
        <f>[51]Glucose!$G$7</f>
        <v>6.5730000000000004</v>
      </c>
      <c r="Y107" s="35">
        <f>[51]Insulin!$G$7</f>
        <v>13.2</v>
      </c>
      <c r="Z107" s="21">
        <f>(Data6[[#This Row],[Glucose (mmol/L)]]*Data6[[#This Row],[Insulin (umol/L)]])/22.5</f>
        <v>3.85616</v>
      </c>
      <c r="AA107" s="35">
        <f>[51]NEFA!$G$7</f>
        <v>485.2</v>
      </c>
      <c r="AB107" s="35">
        <f>[51]TAG!$G$7</f>
        <v>2049.7999999999997</v>
      </c>
      <c r="AC107" s="35">
        <f>'[51]3OHB'!$G$7</f>
        <v>42.7</v>
      </c>
      <c r="AD107" s="35">
        <f>'[51]Chol, HDL'!$G$7</f>
        <v>5.09</v>
      </c>
      <c r="AE107" s="35">
        <f>'[51]Chol, HDL'!$G$24</f>
        <v>0.99</v>
      </c>
      <c r="AF107" s="35">
        <f>Data6[[#This Row],[total_chol (umol/L)]]-Data6[[#This Row],[HDL_chol (umol/L)]]</f>
        <v>4.0999999999999996</v>
      </c>
      <c r="AG107" s="35">
        <f>Data6[[#This Row],[Non_HDL (umol/L)]]-(Data6[[#This Row],[TAG (umol/L)]]/2200)</f>
        <v>3.1682727272727269</v>
      </c>
      <c r="AH107" s="35">
        <v>1415.4184837500002</v>
      </c>
      <c r="AI107" s="52">
        <f>[51]DNL!$G$5</f>
        <v>3.2179982411617084E-3</v>
      </c>
      <c r="AJ107" s="35">
        <f>[51]DNL!$G$49</f>
        <v>9.5855878132243841</v>
      </c>
      <c r="AK107" s="23">
        <f>(Data6[[#This Row],[DNL (%)]]/100)*Data6[[#This Row],[VLDL (umol/L)]]</f>
        <v>135.67618168446538</v>
      </c>
      <c r="AL107" s="66">
        <f>[4]SAMPLES!$L$150</f>
        <v>36.197557641726057</v>
      </c>
      <c r="AM107" s="58">
        <f>(Data6[[#This Row],[Gluconeogensis (%)]]/100)*Data6[[#This Row],[Glucose (mmol/L)]]</f>
        <v>2.3792654637906541</v>
      </c>
      <c r="AN107" s="61">
        <f>Data6[[#This Row],[Glucose (mmol/L)]]-Data6[[#This Row],[Gluconeogenesis (mmol/L)]]</f>
        <v>4.1937345362093463</v>
      </c>
      <c r="AO107" s="61" t="s">
        <v>536</v>
      </c>
      <c r="AP107" s="33"/>
    </row>
    <row r="108" spans="1:42" s="11" customFormat="1" x14ac:dyDescent="0.25">
      <c r="A108" s="7">
        <v>62</v>
      </c>
      <c r="B108" s="7" t="s">
        <v>102</v>
      </c>
      <c r="C108" s="7" t="s">
        <v>103</v>
      </c>
      <c r="D108" s="7"/>
      <c r="E108" s="7"/>
      <c r="F108" s="19"/>
      <c r="G108" s="7" t="s">
        <v>227</v>
      </c>
      <c r="H108" s="7">
        <v>59</v>
      </c>
      <c r="I108" s="7" t="s">
        <v>146</v>
      </c>
      <c r="J108" s="7"/>
      <c r="K108" s="7">
        <v>158</v>
      </c>
      <c r="L108" s="7">
        <v>65.599999999999994</v>
      </c>
      <c r="M108" s="8">
        <f>L108/((K108/100)*(K108/100))</f>
        <v>26.277840089729203</v>
      </c>
      <c r="N108" s="7">
        <v>92</v>
      </c>
      <c r="O108" s="7">
        <v>100</v>
      </c>
      <c r="P108" s="9">
        <f>Data6[[#This Row],[Waist_Circumference]]/Data6[[#This Row],[Hip_circumference]]</f>
        <v>0.92</v>
      </c>
      <c r="Q108" s="10">
        <v>24240</v>
      </c>
      <c r="R108" s="10">
        <v>38320</v>
      </c>
      <c r="S108" s="10">
        <f>Q108+R108</f>
        <v>62560</v>
      </c>
      <c r="T108" s="9">
        <f>(Data6[[#This Row],[Total_fat_g]]/Data6[[#This Row],[Total_mass_g]])*100</f>
        <v>38.746803069053712</v>
      </c>
      <c r="U108" s="9">
        <f>(Data6[[#This Row],[Lean_mass_g]]/Data6[[#This Row],[Total_mass_g]])*100</f>
        <v>61.253196930946295</v>
      </c>
      <c r="V108" s="9"/>
      <c r="W108" s="9">
        <v>6.21</v>
      </c>
      <c r="X108" s="9">
        <v>6.13</v>
      </c>
      <c r="Y108" s="9">
        <v>13.25</v>
      </c>
      <c r="Z108" s="21">
        <f>(Data6[[#This Row],[Glucose (mmol/L)]]*Data6[[#This Row],[Insulin (umol/L)]])/22.5</f>
        <v>3.6098888888888889</v>
      </c>
      <c r="AA108" s="9">
        <v>513.63</v>
      </c>
      <c r="AB108" s="9">
        <v>778.45</v>
      </c>
      <c r="AC108" s="9">
        <v>92.5</v>
      </c>
      <c r="AD108" s="9">
        <v>4.5</v>
      </c>
      <c r="AE108" s="9">
        <v>1.35</v>
      </c>
      <c r="AF108" s="9">
        <f>Data6[[#This Row],[total_chol (umol/L)]]-Data6[[#This Row],[HDL_chol (umol/L)]]</f>
        <v>3.15</v>
      </c>
      <c r="AG108" s="9">
        <f>Data6[[#This Row],[Non_HDL (umol/L)]]-(Data6[[#This Row],[TAG (umol/L)]]/2200)</f>
        <v>2.7961590909090908</v>
      </c>
      <c r="AH108" s="9">
        <v>225.53</v>
      </c>
      <c r="AI108" s="51">
        <v>6.1002370496629618E-3</v>
      </c>
      <c r="AJ108" s="9">
        <v>4.5045330329051696</v>
      </c>
      <c r="AK108" s="23">
        <f>(Data6[[#This Row],[DNL (%)]]/100)*Data6[[#This Row],[VLDL (umol/L)]]</f>
        <v>10.159073349111029</v>
      </c>
      <c r="AL108" s="9">
        <f>[4]SAMPLES!$L$23</f>
        <v>31.018093873300582</v>
      </c>
      <c r="AM108" s="57">
        <f>(Data6[[#This Row],[Gluconeogensis (%)]]/100)*Data6[[#This Row],[Glucose (mmol/L)]]</f>
        <v>1.9014091544333258</v>
      </c>
      <c r="AN108" s="61">
        <f>Data6[[#This Row],[Glucose (mmol/L)]]-Data6[[#This Row],[Gluconeogenesis (mmol/L)]]</f>
        <v>4.2285908455666741</v>
      </c>
      <c r="AO108" s="61" t="s">
        <v>536</v>
      </c>
      <c r="AP108" s="7"/>
    </row>
    <row r="109" spans="1:42" s="11" customFormat="1" x14ac:dyDescent="0.25">
      <c r="A109" s="15">
        <v>34</v>
      </c>
      <c r="B109" s="15" t="s">
        <v>75</v>
      </c>
      <c r="C109" s="15" t="s">
        <v>76</v>
      </c>
      <c r="D109" s="15" t="s">
        <v>386</v>
      </c>
      <c r="E109" s="15"/>
      <c r="F109" s="15">
        <v>5966</v>
      </c>
      <c r="G109" s="15" t="s">
        <v>228</v>
      </c>
      <c r="H109" s="15">
        <v>44</v>
      </c>
      <c r="I109" s="15"/>
      <c r="J109" s="15"/>
      <c r="K109" s="15">
        <v>180</v>
      </c>
      <c r="L109" s="15">
        <v>80.7</v>
      </c>
      <c r="M109" s="16">
        <f>L109/((K109/100)*(K109/100))</f>
        <v>24.907407407407408</v>
      </c>
      <c r="N109" s="15">
        <v>92</v>
      </c>
      <c r="O109" s="15">
        <v>102</v>
      </c>
      <c r="P109" s="17">
        <f>Data6[[#This Row],[Waist_Circumference]]/Data6[[#This Row],[Hip_circumference]]</f>
        <v>0.90196078431372551</v>
      </c>
      <c r="Q109" s="18">
        <f>'[1]Anthro data'!$AI$27</f>
        <v>22342.615031023</v>
      </c>
      <c r="R109" s="18">
        <f>'[1]Anthro data'!$AI$28</f>
        <v>53993.128320848002</v>
      </c>
      <c r="S109" s="18">
        <f>Q109+R109</f>
        <v>76335.743351871002</v>
      </c>
      <c r="T109" s="17">
        <f>(Data6[[#This Row],[Total_fat_g]]/Data6[[#This Row],[Total_mass_g]])*100</f>
        <v>29.268877265050406</v>
      </c>
      <c r="U109" s="17">
        <f>(Data6[[#This Row],[Lean_mass_g]]/Data6[[#This Row],[Total_mass_g]])*100</f>
        <v>70.731122734949594</v>
      </c>
      <c r="V109" s="17">
        <v>1066.483303</v>
      </c>
      <c r="W109" s="17">
        <v>1.4</v>
      </c>
      <c r="X109" s="17">
        <f>[1]Glucose!$AI$3</f>
        <v>5.8630000000000004</v>
      </c>
      <c r="Y109" s="17">
        <f>'[1]Insulin+HOMA'!$AI$3</f>
        <v>13.385999999999999</v>
      </c>
      <c r="Z109" s="21">
        <f>(Data6[[#This Row],[Glucose (mmol/L)]]*Data6[[#This Row],[Insulin (umol/L)]])/22.5</f>
        <v>3.4880941333333335</v>
      </c>
      <c r="AA109" s="17">
        <f>[1]NEFA!$AI$3</f>
        <v>301.10000000000002</v>
      </c>
      <c r="AB109" s="17">
        <f>[1]TAG!$AI$3</f>
        <v>2356.6999999999998</v>
      </c>
      <c r="AC109" s="17">
        <f>'[1]3-OHB'!$AI$3</f>
        <v>39.1</v>
      </c>
      <c r="AD109" s="17">
        <f>'[38]Apo B, HDL, Cholesterol, ALT'!$F$6</f>
        <v>5.78</v>
      </c>
      <c r="AE109" s="17">
        <f>'[38]Apo B, HDL, Cholesterol, ALT'!$M$6</f>
        <v>0.83</v>
      </c>
      <c r="AF109" s="17">
        <f>Data6[[#This Row],[total_chol (umol/L)]]-Data6[[#This Row],[HDL_chol (umol/L)]]</f>
        <v>4.95</v>
      </c>
      <c r="AG109" s="17">
        <f>Data6[[#This Row],[Non_HDL (umol/L)]]-(Data6[[#This Row],[TAG (umol/L)]]/2200)</f>
        <v>3.8787727272727275</v>
      </c>
      <c r="AH109" s="17">
        <v>1704.3644249999998</v>
      </c>
      <c r="AI109" s="50">
        <f>'[28]plasma H2O'!$M$4</f>
        <v>3.1243115406888889E-3</v>
      </c>
      <c r="AJ109" s="17">
        <f>[1]DNL_160!$AI$5</f>
        <v>5.6913027958844946</v>
      </c>
      <c r="AK109" s="23">
        <f>(Data6[[#This Row],[DNL (%)]]/100)*Data6[[#This Row],[VLDL (umol/L)]]</f>
        <v>97.000540172085678</v>
      </c>
      <c r="AL109" s="17">
        <f>[4]SAMPLES!$L$53</f>
        <v>27.126365299929482</v>
      </c>
      <c r="AM109" s="56">
        <f>(Data6[[#This Row],[Gluconeogensis (%)]]/100)*Data6[[#This Row],[Glucose (mmol/L)]]</f>
        <v>1.5904187975348658</v>
      </c>
      <c r="AN109" s="61">
        <f>Data6[[#This Row],[Glucose (mmol/L)]]-Data6[[#This Row],[Gluconeogenesis (mmol/L)]]</f>
        <v>4.2725812024651351</v>
      </c>
      <c r="AO109" s="61" t="s">
        <v>536</v>
      </c>
      <c r="AP109" s="15"/>
    </row>
    <row r="110" spans="1:42" s="11" customFormat="1" x14ac:dyDescent="0.25">
      <c r="A110" s="7">
        <v>72</v>
      </c>
      <c r="B110" s="7" t="s">
        <v>120</v>
      </c>
      <c r="C110" s="7" t="s">
        <v>121</v>
      </c>
      <c r="D110" s="7"/>
      <c r="E110" s="7"/>
      <c r="F110" s="7"/>
      <c r="G110" s="7" t="s">
        <v>227</v>
      </c>
      <c r="H110" s="7">
        <v>38</v>
      </c>
      <c r="I110" s="7" t="s">
        <v>146</v>
      </c>
      <c r="J110" s="7"/>
      <c r="K110" s="7">
        <v>162</v>
      </c>
      <c r="L110" s="7">
        <v>86.5</v>
      </c>
      <c r="M110" s="8">
        <f>L110/((K110/100)*(K110/100))</f>
        <v>32.95991464715744</v>
      </c>
      <c r="N110" s="7">
        <v>97</v>
      </c>
      <c r="O110" s="7">
        <v>101</v>
      </c>
      <c r="P110" s="9">
        <f>Data6[[#This Row],[Waist_Circumference]]/Data6[[#This Row],[Hip_circumference]]</f>
        <v>0.96039603960396036</v>
      </c>
      <c r="Q110" s="10">
        <v>34530</v>
      </c>
      <c r="R110" s="10">
        <v>43870</v>
      </c>
      <c r="S110" s="10">
        <f>Q110+R110</f>
        <v>78400</v>
      </c>
      <c r="T110" s="9">
        <f>(Data6[[#This Row],[Total_fat_g]]/Data6[[#This Row],[Total_mass_g]])*100</f>
        <v>44.04336734693878</v>
      </c>
      <c r="U110" s="9">
        <f>(Data6[[#This Row],[Lean_mass_g]]/Data6[[#This Row],[Total_mass_g]])*100</f>
        <v>55.95663265306122</v>
      </c>
      <c r="V110" s="9"/>
      <c r="W110" s="9">
        <v>1.86</v>
      </c>
      <c r="X110" s="9">
        <v>5.0599999999999996</v>
      </c>
      <c r="Y110" s="9">
        <v>13.39</v>
      </c>
      <c r="Z110" s="21">
        <f>(Data6[[#This Row],[Glucose (mmol/L)]]*Data6[[#This Row],[Insulin (umol/L)]])/22.5</f>
        <v>3.0112622222222223</v>
      </c>
      <c r="AA110" s="9">
        <v>873.99</v>
      </c>
      <c r="AB110" s="9">
        <v>822.35</v>
      </c>
      <c r="AC110" s="9">
        <v>42.15</v>
      </c>
      <c r="AD110" s="9">
        <v>4.8</v>
      </c>
      <c r="AE110" s="9">
        <v>1.38</v>
      </c>
      <c r="AF110" s="9">
        <f>Data6[[#This Row],[total_chol (umol/L)]]-Data6[[#This Row],[HDL_chol (umol/L)]]</f>
        <v>3.42</v>
      </c>
      <c r="AG110" s="9">
        <f>Data6[[#This Row],[Non_HDL (umol/L)]]-(Data6[[#This Row],[TAG (umol/L)]]/2200)</f>
        <v>3.0462045454545454</v>
      </c>
      <c r="AH110" s="9">
        <v>210.62</v>
      </c>
      <c r="AI110" s="51">
        <v>5.5173085534148732E-3</v>
      </c>
      <c r="AJ110" s="9">
        <v>13.424200957780711</v>
      </c>
      <c r="AK110" s="23">
        <f>(Data6[[#This Row],[DNL (%)]]/100)*Data6[[#This Row],[VLDL (umol/L)]]</f>
        <v>28.274052057277732</v>
      </c>
      <c r="AL110" s="9">
        <f>[4]SAMPLES!$L$33</f>
        <v>51.586455054375627</v>
      </c>
      <c r="AM110" s="57">
        <f>(Data6[[#This Row],[Gluconeogensis (%)]]/100)*Data6[[#This Row],[Glucose (mmol/L)]]</f>
        <v>2.6102746257514062</v>
      </c>
      <c r="AN110" s="61">
        <f>Data6[[#This Row],[Glucose (mmol/L)]]-Data6[[#This Row],[Gluconeogenesis (mmol/L)]]</f>
        <v>2.4497253742485934</v>
      </c>
      <c r="AO110" s="61" t="s">
        <v>536</v>
      </c>
      <c r="AP110" s="7"/>
    </row>
    <row r="111" spans="1:42" s="11" customFormat="1" x14ac:dyDescent="0.25">
      <c r="A111" s="23">
        <v>22</v>
      </c>
      <c r="B111" s="23" t="s">
        <v>53</v>
      </c>
      <c r="C111" s="23" t="s">
        <v>32</v>
      </c>
      <c r="D111" s="23"/>
      <c r="E111" s="23"/>
      <c r="F111" s="23">
        <v>4674</v>
      </c>
      <c r="G111" s="23" t="s">
        <v>228</v>
      </c>
      <c r="H111" s="26">
        <v>47.2</v>
      </c>
      <c r="I111" s="23" t="s">
        <v>146</v>
      </c>
      <c r="J111" s="23"/>
      <c r="K111" s="23">
        <v>171</v>
      </c>
      <c r="L111" s="23">
        <v>86.6</v>
      </c>
      <c r="M111" s="24">
        <f>L111/((K111/100)*(K111/100))</f>
        <v>29.615950206901271</v>
      </c>
      <c r="N111" s="23">
        <v>103</v>
      </c>
      <c r="O111" s="23">
        <v>103</v>
      </c>
      <c r="P111" s="25">
        <f>Data6[[#This Row],[Waist_Circumference]]/Data6[[#This Row],[Hip_circumference]]</f>
        <v>1</v>
      </c>
      <c r="Q111" s="26">
        <f>'[1]Anthro data'!$W$27</f>
        <v>27035</v>
      </c>
      <c r="R111" s="26">
        <f>'[1]Anthro data'!$W$28</f>
        <v>58103</v>
      </c>
      <c r="S111" s="26">
        <f>Q111+R111</f>
        <v>85138</v>
      </c>
      <c r="T111" s="25">
        <f>(Data6[[#This Row],[Total_fat_g]]/Data6[[#This Row],[Total_mass_g]])*100</f>
        <v>31.754328267048791</v>
      </c>
      <c r="U111" s="25">
        <f>(Data6[[#This Row],[Lean_mass_g]]/Data6[[#This Row],[Total_mass_g]])*100</f>
        <v>68.245671732951209</v>
      </c>
      <c r="V111" s="25">
        <v>2278</v>
      </c>
      <c r="W111" s="25">
        <v>5.6850239179999997</v>
      </c>
      <c r="X111" s="25">
        <f>[1]Glucose!$W$3</f>
        <v>5.8479999999999999</v>
      </c>
      <c r="Y111" s="25">
        <f>'[1]Insulin+HOMA'!$W$3</f>
        <v>13.4025</v>
      </c>
      <c r="Z111" s="21">
        <f>(Data6[[#This Row],[Glucose (mmol/L)]]*Data6[[#This Row],[Insulin (umol/L)]])/22.5</f>
        <v>3.4834586666666665</v>
      </c>
      <c r="AA111" s="25">
        <f>[1]NEFA!$W$3</f>
        <v>354.7</v>
      </c>
      <c r="AB111" s="25">
        <f>[1]TAG!$W$3</f>
        <v>2391</v>
      </c>
      <c r="AC111" s="25">
        <f>'[1]3-OHB'!$W$3</f>
        <v>56.8</v>
      </c>
      <c r="AD111" s="25">
        <f>'[25]Basal ApoB,Chol,HDL,ALT'!$F$2</f>
        <v>4.55</v>
      </c>
      <c r="AE111" s="25">
        <f>'[25]Basal ApoB,Chol,HDL,ALT'!$J$2</f>
        <v>1</v>
      </c>
      <c r="AF111" s="25">
        <f>Data6[[#This Row],[total_chol (umol/L)]]-Data6[[#This Row],[HDL_chol (umol/L)]]</f>
        <v>3.55</v>
      </c>
      <c r="AG111" s="25">
        <f>Data6[[#This Row],[Non_HDL (umol/L)]]-(Data6[[#This Row],[TAG (umol/L)]]/2200)</f>
        <v>2.4631818181818179</v>
      </c>
      <c r="AH111" s="25">
        <v>1282.13868</v>
      </c>
      <c r="AI111" s="49">
        <f>[3]GJ23!$B$3</f>
        <v>3.3822381724105807E-3</v>
      </c>
      <c r="AJ111" s="25">
        <f>[1]DNL_160!$W$5</f>
        <v>11.229721680287232</v>
      </c>
      <c r="AK111" s="23">
        <f>(Data6[[#This Row],[DNL (%)]]/100)*Data6[[#This Row],[VLDL (umol/L)]]</f>
        <v>143.98060531930855</v>
      </c>
      <c r="AL111" s="25">
        <f>[4]SAMPLES!$L$44</f>
        <v>13.927896702918819</v>
      </c>
      <c r="AM111" s="55">
        <f>(Data6[[#This Row],[Gluconeogensis (%)]]/100)*Data6[[#This Row],[Glucose (mmol/L)]]</f>
        <v>0.81450339918669246</v>
      </c>
      <c r="AN111" s="61">
        <f>Data6[[#This Row],[Glucose (mmol/L)]]-Data6[[#This Row],[Gluconeogenesis (mmol/L)]]</f>
        <v>5.0334966008133071</v>
      </c>
      <c r="AO111" s="61" t="s">
        <v>536</v>
      </c>
      <c r="AP111" s="23"/>
    </row>
    <row r="112" spans="1:42" s="11" customFormat="1" x14ac:dyDescent="0.25">
      <c r="A112" s="33">
        <v>135</v>
      </c>
      <c r="B112" s="33" t="s">
        <v>223</v>
      </c>
      <c r="C112" s="33" t="s">
        <v>226</v>
      </c>
      <c r="D112" s="33" t="s">
        <v>386</v>
      </c>
      <c r="E112" s="33" t="s">
        <v>23</v>
      </c>
      <c r="F112" s="33"/>
      <c r="G112" s="33" t="s">
        <v>228</v>
      </c>
      <c r="H112" s="33">
        <v>47</v>
      </c>
      <c r="I112" s="33" t="s">
        <v>229</v>
      </c>
      <c r="J112" s="33"/>
      <c r="K112" s="33">
        <v>178</v>
      </c>
      <c r="L112" s="33">
        <v>99</v>
      </c>
      <c r="M112" s="34">
        <f>L112/((K112/100)*(K112/100))</f>
        <v>31.246054791061734</v>
      </c>
      <c r="N112" s="33">
        <v>115</v>
      </c>
      <c r="O112" s="33">
        <v>110</v>
      </c>
      <c r="P112" s="35">
        <f>Data6[[#This Row],[Waist_Circumference]]/Data6[[#This Row],[Hip_circumference]]</f>
        <v>1.0454545454545454</v>
      </c>
      <c r="Q112" s="36">
        <f>[50]Antropometrics!$O$16</f>
        <v>34553</v>
      </c>
      <c r="R112" s="36">
        <f>[50]Antropometrics!$O$17</f>
        <v>60103</v>
      </c>
      <c r="S112" s="36">
        <f>Q112+R112</f>
        <v>94656</v>
      </c>
      <c r="T112" s="35">
        <f>(Data6[[#This Row],[Total_fat_g]]/Data6[[#This Row],[Total_mass_g]])*100</f>
        <v>36.503760987153484</v>
      </c>
      <c r="U112" s="35">
        <f>(Data6[[#This Row],[Lean_mass_g]]/Data6[[#This Row],[Total_mass_g]])*100</f>
        <v>63.496239012846523</v>
      </c>
      <c r="V112" s="35">
        <v>2000</v>
      </c>
      <c r="W112" s="35">
        <v>3.86</v>
      </c>
      <c r="X112" s="35">
        <f>[51]Glucose!$O$7</f>
        <v>5.133</v>
      </c>
      <c r="Y112" s="35">
        <f>[51]Insulin!$O$7</f>
        <v>13.468</v>
      </c>
      <c r="Z112" s="21">
        <f>(Data6[[#This Row],[Glucose (mmol/L)]]*Data6[[#This Row],[Insulin (umol/L)]])/22.5</f>
        <v>3.0724997333333333</v>
      </c>
      <c r="AA112" s="35">
        <f>[51]NEFA!$O$7</f>
        <v>709.4</v>
      </c>
      <c r="AB112" s="35">
        <f>[51]TAG!$O$7</f>
        <v>838.3</v>
      </c>
      <c r="AC112" s="35">
        <f>'[51]3OHB'!$O$7</f>
        <v>560.29999999999995</v>
      </c>
      <c r="AD112" s="35">
        <f>'[51]Chol, HDL'!$O$7</f>
        <v>4.8600000000000003</v>
      </c>
      <c r="AE112" s="35">
        <f>'[51]Chol, HDL'!$O$24</f>
        <v>0.82</v>
      </c>
      <c r="AF112" s="35">
        <f>Data6[[#This Row],[total_chol (umol/L)]]-Data6[[#This Row],[HDL_chol (umol/L)]]</f>
        <v>4.04</v>
      </c>
      <c r="AG112" s="35">
        <f>Data6[[#This Row],[Non_HDL (umol/L)]]-(Data6[[#This Row],[TAG (umol/L)]]/2200)</f>
        <v>3.6589545454545456</v>
      </c>
      <c r="AH112" s="35">
        <v>492.32362500000011</v>
      </c>
      <c r="AI112" s="52">
        <f>[51]DNL!$O$5</f>
        <v>3.199142600361755E-3</v>
      </c>
      <c r="AJ112" s="35">
        <f>[51]DNL!$O$49</f>
        <v>8.3267778061570846E-2</v>
      </c>
      <c r="AK112" s="23">
        <f>(Data6[[#This Row],[DNL (%)]]/100)*Data6[[#This Row],[VLDL (umol/L)]]</f>
        <v>0.40994694340968041</v>
      </c>
      <c r="AL112" s="35">
        <f>[4]SAMPLES!$L$158</f>
        <v>49.083056155175953</v>
      </c>
      <c r="AM112" s="58">
        <f>(Data6[[#This Row],[Gluconeogensis (%)]]/100)*Data6[[#This Row],[Glucose (mmol/L)]]</f>
        <v>2.5194332724451818</v>
      </c>
      <c r="AN112" s="61">
        <f>Data6[[#This Row],[Glucose (mmol/L)]]-Data6[[#This Row],[Gluconeogenesis (mmol/L)]]</f>
        <v>2.6135667275548182</v>
      </c>
      <c r="AO112" s="61" t="s">
        <v>536</v>
      </c>
      <c r="AP112" s="33"/>
    </row>
    <row r="113" spans="1:42" s="11" customFormat="1" x14ac:dyDescent="0.25">
      <c r="A113" s="15">
        <v>41</v>
      </c>
      <c r="B113" s="15" t="s">
        <v>89</v>
      </c>
      <c r="C113" s="15" t="s">
        <v>90</v>
      </c>
      <c r="D113" s="15" t="s">
        <v>386</v>
      </c>
      <c r="E113" s="15"/>
      <c r="F113" s="15">
        <v>2124</v>
      </c>
      <c r="G113" s="15" t="s">
        <v>228</v>
      </c>
      <c r="H113" s="15">
        <v>48</v>
      </c>
      <c r="I113" s="15" t="s">
        <v>146</v>
      </c>
      <c r="J113" s="15"/>
      <c r="K113" s="15">
        <v>187</v>
      </c>
      <c r="L113" s="15">
        <v>88.2</v>
      </c>
      <c r="M113" s="16">
        <f>L113/((K113/100)*(K113/100))</f>
        <v>25.22233978666819</v>
      </c>
      <c r="N113" s="15">
        <v>96</v>
      </c>
      <c r="O113" s="15">
        <v>100</v>
      </c>
      <c r="P113" s="17">
        <f>Data6[[#This Row],[Waist_Circumference]]/Data6[[#This Row],[Hip_circumference]]</f>
        <v>0.96</v>
      </c>
      <c r="Q113" s="18">
        <f>'[1]Anthro data'!$AP$27</f>
        <v>23989.228831755001</v>
      </c>
      <c r="R113" s="18">
        <f>'[1]Anthro data'!$AP$28</f>
        <v>62032.984410883</v>
      </c>
      <c r="S113" s="18">
        <f>Q113+R113</f>
        <v>86022.213242637998</v>
      </c>
      <c r="T113" s="17">
        <f>(Data6[[#This Row],[Total_fat_g]]/Data6[[#This Row],[Total_mass_g]])*100</f>
        <v>27.887249034258094</v>
      </c>
      <c r="U113" s="17">
        <f>(Data6[[#This Row],[Lean_mass_g]]/Data6[[#This Row],[Total_mass_g]])*100</f>
        <v>72.11275096574191</v>
      </c>
      <c r="V113" s="17">
        <v>1869.0818650000001</v>
      </c>
      <c r="W113" s="17">
        <v>5.2</v>
      </c>
      <c r="X113" s="17">
        <f>[1]Glucose!$AP$3</f>
        <v>5.4909999999999997</v>
      </c>
      <c r="Y113" s="17">
        <f>'[1]Insulin+HOMA'!$AP$3</f>
        <v>13.5745</v>
      </c>
      <c r="Z113" s="21">
        <f>(Data6[[#This Row],[Glucose (mmol/L)]]*Data6[[#This Row],[Insulin (umol/L)]])/22.5</f>
        <v>3.3127813111111108</v>
      </c>
      <c r="AA113" s="17">
        <f>[1]NEFA!$AP$3</f>
        <v>381.2</v>
      </c>
      <c r="AB113" s="17">
        <f>[1]TAG!$AP$3</f>
        <v>4084.5</v>
      </c>
      <c r="AC113" s="17">
        <f>'[1]3-OHB'!$AP$3</f>
        <v>34.6</v>
      </c>
      <c r="AD113" s="17">
        <f>'[45]Apo B, HDL, Cholesterol, ALT'!$F$6</f>
        <v>6.26</v>
      </c>
      <c r="AE113" s="17">
        <f>'[45]Apo B, HDL, Cholesterol, ALT'!$M$6</f>
        <v>1.04</v>
      </c>
      <c r="AF113" s="17">
        <f>Data6[[#This Row],[total_chol (umol/L)]]-Data6[[#This Row],[HDL_chol (umol/L)]]</f>
        <v>5.22</v>
      </c>
      <c r="AG113" s="17">
        <f>Data6[[#This Row],[Non_HDL (umol/L)]]-(Data6[[#This Row],[TAG (umol/L)]]/2200)</f>
        <v>3.3634090909090908</v>
      </c>
      <c r="AH113" s="17">
        <v>1298.6619450000001</v>
      </c>
      <c r="AI113" s="50">
        <f>'[28]plasma H2O'!$T$4</f>
        <v>2.9471485337249116E-3</v>
      </c>
      <c r="AJ113" s="17">
        <f>[1]DNL_160!$AP$5</f>
        <v>19.245080469266266</v>
      </c>
      <c r="AK113" s="23">
        <f>(Data6[[#This Row],[DNL (%)]]/100)*Data6[[#This Row],[VLDL (umol/L)]]</f>
        <v>249.92853633898841</v>
      </c>
      <c r="AL113" s="17">
        <f>[4]SAMPLES!$L$60</f>
        <v>33.338144132366821</v>
      </c>
      <c r="AM113" s="56">
        <f>(Data6[[#This Row],[Gluconeogensis (%)]]/100)*Data6[[#This Row],[Glucose (mmol/L)]]</f>
        <v>1.8305974943082619</v>
      </c>
      <c r="AN113" s="61">
        <f>Data6[[#This Row],[Glucose (mmol/L)]]-Data6[[#This Row],[Gluconeogenesis (mmol/L)]]</f>
        <v>3.6604025056917378</v>
      </c>
      <c r="AO113" s="61" t="s">
        <v>536</v>
      </c>
      <c r="AP113" s="15"/>
    </row>
    <row r="114" spans="1:42" s="11" customFormat="1" x14ac:dyDescent="0.25">
      <c r="A114" s="7">
        <v>64</v>
      </c>
      <c r="B114" s="7" t="s">
        <v>105</v>
      </c>
      <c r="C114" s="7" t="s">
        <v>106</v>
      </c>
      <c r="D114" s="7"/>
      <c r="E114" s="7"/>
      <c r="F114" s="7"/>
      <c r="G114" s="7" t="s">
        <v>227</v>
      </c>
      <c r="H114" s="7">
        <v>45</v>
      </c>
      <c r="I114" s="7" t="s">
        <v>229</v>
      </c>
      <c r="J114" s="7"/>
      <c r="K114" s="7">
        <v>163</v>
      </c>
      <c r="L114" s="7">
        <v>60.2</v>
      </c>
      <c r="M114" s="8">
        <f>L114/((K114/100)*(K114/100))</f>
        <v>22.657984869584858</v>
      </c>
      <c r="N114" s="7">
        <v>80</v>
      </c>
      <c r="O114" s="7">
        <v>92</v>
      </c>
      <c r="P114" s="9">
        <f>Data6[[#This Row],[Waist_Circumference]]/Data6[[#This Row],[Hip_circumference]]</f>
        <v>0.86956521739130432</v>
      </c>
      <c r="Q114" s="10">
        <v>20770</v>
      </c>
      <c r="R114" s="10">
        <v>34640</v>
      </c>
      <c r="S114" s="10">
        <f>Q114+R114</f>
        <v>55410</v>
      </c>
      <c r="T114" s="9">
        <f>(Data6[[#This Row],[Total_fat_g]]/Data6[[#This Row],[Total_mass_g]])*100</f>
        <v>37.484208626601692</v>
      </c>
      <c r="U114" s="9">
        <f>(Data6[[#This Row],[Lean_mass_g]]/Data6[[#This Row],[Total_mass_g]])*100</f>
        <v>62.515791373398301</v>
      </c>
      <c r="V114" s="9">
        <v>492</v>
      </c>
      <c r="W114" s="9">
        <v>0.82</v>
      </c>
      <c r="X114" s="9">
        <v>5.28</v>
      </c>
      <c r="Y114" s="9">
        <v>13.6</v>
      </c>
      <c r="Z114" s="21">
        <f>(Data6[[#This Row],[Glucose (mmol/L)]]*Data6[[#This Row],[Insulin (umol/L)]])/22.5</f>
        <v>3.1914666666666669</v>
      </c>
      <c r="AA114" s="9">
        <v>451.59</v>
      </c>
      <c r="AB114" s="9">
        <v>1299.45</v>
      </c>
      <c r="AC114" s="9">
        <v>113.9</v>
      </c>
      <c r="AD114" s="9">
        <v>4.7</v>
      </c>
      <c r="AE114" s="9">
        <v>0.63</v>
      </c>
      <c r="AF114" s="9">
        <f>Data6[[#This Row],[total_chol (umol/L)]]-Data6[[#This Row],[HDL_chol (umol/L)]]</f>
        <v>4.07</v>
      </c>
      <c r="AG114" s="9">
        <f>Data6[[#This Row],[Non_HDL (umol/L)]]-(Data6[[#This Row],[TAG (umol/L)]]/2200)</f>
        <v>3.4793409090909093</v>
      </c>
      <c r="AH114" s="9">
        <v>569.89</v>
      </c>
      <c r="AI114" s="51">
        <v>4.8525991491632243E-3</v>
      </c>
      <c r="AJ114" s="9">
        <v>6.1298125760839328</v>
      </c>
      <c r="AK114" s="23">
        <f>(Data6[[#This Row],[DNL (%)]]/100)*Data6[[#This Row],[VLDL (umol/L)]]</f>
        <v>34.933188889844729</v>
      </c>
      <c r="AL114" s="9">
        <f>[4]SAMPLES!$L$25</f>
        <v>22.313585695633837</v>
      </c>
      <c r="AM114" s="57">
        <f>(Data6[[#This Row],[Gluconeogensis (%)]]/100)*Data6[[#This Row],[Glucose (mmol/L)]]</f>
        <v>1.1781573247294665</v>
      </c>
      <c r="AN114" s="61">
        <f>Data6[[#This Row],[Glucose (mmol/L)]]-Data6[[#This Row],[Gluconeogenesis (mmol/L)]]</f>
        <v>4.1018426752705341</v>
      </c>
      <c r="AO114" s="61" t="s">
        <v>536</v>
      </c>
      <c r="AP114" s="7"/>
    </row>
    <row r="115" spans="1:42" s="11" customFormat="1" x14ac:dyDescent="0.25">
      <c r="A115" s="23">
        <v>10</v>
      </c>
      <c r="B115" s="23" t="s">
        <v>41</v>
      </c>
      <c r="C115" s="23" t="s">
        <v>32</v>
      </c>
      <c r="D115" s="23"/>
      <c r="E115" s="23"/>
      <c r="F115" s="23">
        <v>4538</v>
      </c>
      <c r="G115" s="23" t="s">
        <v>228</v>
      </c>
      <c r="H115" s="26">
        <v>44.2</v>
      </c>
      <c r="I115" s="23" t="s">
        <v>229</v>
      </c>
      <c r="J115" s="23"/>
      <c r="K115" s="23">
        <v>177</v>
      </c>
      <c r="L115" s="23">
        <v>88</v>
      </c>
      <c r="M115" s="24">
        <f>L115/((K115/100)*(K115/100))</f>
        <v>28.088991030674453</v>
      </c>
      <c r="N115" s="23">
        <v>100</v>
      </c>
      <c r="O115" s="23">
        <v>105</v>
      </c>
      <c r="P115" s="25">
        <f>Data6[[#This Row],[Waist_Circumference]]/Data6[[#This Row],[Hip_circumference]]</f>
        <v>0.95238095238095233</v>
      </c>
      <c r="Q115" s="26">
        <f>'[1]Anthro data'!$K$27</f>
        <v>31016</v>
      </c>
      <c r="R115" s="26">
        <f>'[1]Anthro data'!$K$28</f>
        <v>54166</v>
      </c>
      <c r="S115" s="26">
        <f>Q115+R115</f>
        <v>85182</v>
      </c>
      <c r="T115" s="25">
        <f>(Data6[[#This Row],[Total_fat_g]]/Data6[[#This Row],[Total_mass_g]])*100</f>
        <v>36.411448428071658</v>
      </c>
      <c r="U115" s="25">
        <f>(Data6[[#This Row],[Lean_mass_g]]/Data6[[#This Row],[Total_mass_g]])*100</f>
        <v>63.588551571928342</v>
      </c>
      <c r="V115" s="25">
        <v>1990</v>
      </c>
      <c r="W115" s="25">
        <v>4.652563743</v>
      </c>
      <c r="X115" s="25">
        <f>[1]Glucose!$K$3</f>
        <v>5.3730000000000002</v>
      </c>
      <c r="Y115" s="25">
        <f>'[1]Insulin+HOMA'!$K$3</f>
        <v>13.629000000000001</v>
      </c>
      <c r="Z115" s="21">
        <f>(Data6[[#This Row],[Glucose (mmol/L)]]*Data6[[#This Row],[Insulin (umol/L)]])/22.5</f>
        <v>3.2546052000000008</v>
      </c>
      <c r="AA115" s="25">
        <f>[1]NEFA!$K$3</f>
        <v>485.5</v>
      </c>
      <c r="AB115" s="25">
        <f>[1]TAG!$K$3</f>
        <v>2079.7999999999997</v>
      </c>
      <c r="AC115" s="25">
        <f>'[1]3-OHB'!$K$3</f>
        <v>69.3</v>
      </c>
      <c r="AD115" s="25">
        <f>'[13]Basal ApoB,Chol,HDL,ALT'!$F$2</f>
        <v>5.83</v>
      </c>
      <c r="AE115" s="25">
        <f>'[13]Basal ApoB,Chol,HDL,ALT'!$J$2</f>
        <v>0.9</v>
      </c>
      <c r="AF115" s="25">
        <f>Data6[[#This Row],[total_chol (umol/L)]]-Data6[[#This Row],[HDL_chol (umol/L)]]</f>
        <v>4.93</v>
      </c>
      <c r="AG115" s="25">
        <f>Data6[[#This Row],[Non_HDL (umol/L)]]-(Data6[[#This Row],[TAG (umol/L)]]/2200)</f>
        <v>3.9846363636363633</v>
      </c>
      <c r="AH115" s="25">
        <v>1539.7336874999999</v>
      </c>
      <c r="AI115" s="49">
        <f>[3]PT10!$B$3</f>
        <v>3.4976697148440443E-3</v>
      </c>
      <c r="AJ115" s="25">
        <f>[1]DNL_160!$K$5</f>
        <v>5.2646002860640904</v>
      </c>
      <c r="AK115" s="23">
        <f>(Data6[[#This Row],[DNL (%)]]/100)*Data6[[#This Row],[VLDL (umol/L)]]</f>
        <v>81.060824116750155</v>
      </c>
      <c r="AL115" s="25">
        <f>[4]SAMPLES!$L$12</f>
        <v>39.520173004241485</v>
      </c>
      <c r="AM115" s="55">
        <f>(Data6[[#This Row],[Gluconeogensis (%)]]/100)*Data6[[#This Row],[Glucose (mmol/L)]]</f>
        <v>2.1234188955178954</v>
      </c>
      <c r="AN115" s="61">
        <f>Data6[[#This Row],[Glucose (mmol/L)]]-Data6[[#This Row],[Gluconeogenesis (mmol/L)]]</f>
        <v>3.2495811044821048</v>
      </c>
      <c r="AO115" s="61" t="s">
        <v>536</v>
      </c>
      <c r="AP115" s="23"/>
    </row>
    <row r="116" spans="1:42" s="11" customFormat="1" x14ac:dyDescent="0.25">
      <c r="A116" s="19">
        <v>219</v>
      </c>
      <c r="B116" s="19" t="s">
        <v>264</v>
      </c>
      <c r="C116" s="19" t="s">
        <v>250</v>
      </c>
      <c r="D116" s="19">
        <v>1</v>
      </c>
      <c r="E116" s="19" t="s">
        <v>318</v>
      </c>
      <c r="F116" s="19"/>
      <c r="G116" s="19" t="s">
        <v>227</v>
      </c>
      <c r="H116" s="19">
        <f>'[82]Dipagloflozin Arm'!$AE$7</f>
        <v>50</v>
      </c>
      <c r="I116" s="19"/>
      <c r="J116" s="19"/>
      <c r="K116" s="19">
        <v>175</v>
      </c>
      <c r="L116" s="19">
        <f>'[82]Dipagloflozin Arm'!$AE$5</f>
        <v>87.1</v>
      </c>
      <c r="M116" s="20">
        <f>L116/((K116/100)*(K116/100))</f>
        <v>28.440816326530609</v>
      </c>
      <c r="N116" s="19"/>
      <c r="O116" s="19"/>
      <c r="P116" s="21" t="e">
        <f>Data6[[#This Row],[Waist_Circumference]]/Data6[[#This Row],[Hip_circumference]]</f>
        <v>#DIV/0!</v>
      </c>
      <c r="Q116" s="22">
        <v>22200</v>
      </c>
      <c r="R116" s="22">
        <v>67763.8</v>
      </c>
      <c r="S116" s="22">
        <f>Q116+R116</f>
        <v>89963.8</v>
      </c>
      <c r="T116" s="21">
        <f>(Data6[[#This Row],[Total_fat_g]]/Data6[[#This Row],[Total_mass_g]])*100</f>
        <v>24.676592140394245</v>
      </c>
      <c r="U116" s="21">
        <f>(Data6[[#This Row],[Lean_mass_g]]/Data6[[#This Row],[Total_mass_g]])*100</f>
        <v>75.323407859605751</v>
      </c>
      <c r="V116" s="21"/>
      <c r="W116" s="21">
        <v>9.42</v>
      </c>
      <c r="X116" s="21">
        <f>[110]Glucose!$C6</f>
        <v>5.2759999999999998</v>
      </c>
      <c r="Y116" s="21">
        <f>[110]Insulin!$I9</f>
        <v>13.631499999999999</v>
      </c>
      <c r="Z116" s="21">
        <f>(Data6[[#This Row],[Glucose (mmol/L)]]*Data6[[#This Row],[Insulin (umol/L)]])/22.5</f>
        <v>3.1964352888888885</v>
      </c>
      <c r="AA116" s="21">
        <f>[110]NEFA!$F5</f>
        <v>584.1</v>
      </c>
      <c r="AB116" s="21">
        <f>[110]TAG!$I6</f>
        <v>956.19999999999993</v>
      </c>
      <c r="AC116" s="21">
        <f>'[110]Ranbut 3-OHB'!$F5</f>
        <v>164.1</v>
      </c>
      <c r="AD116" s="21">
        <f>'[110]Apo B, HDL, Cholesterol, ALT'!$C$6</f>
        <v>4.66</v>
      </c>
      <c r="AE116" s="21">
        <f>'[110]Apo B, HDL, Cholesterol, ALT'!$J$6</f>
        <v>1.57</v>
      </c>
      <c r="AF116" s="21">
        <f>Data6[[#This Row],[total_chol (umol/L)]]-Data6[[#This Row],[HDL_chol (umol/L)]]</f>
        <v>3.09</v>
      </c>
      <c r="AG116" s="21">
        <f>Data6[[#This Row],[Non_HDL (umol/L)]]-(Data6[[#This Row],[TAG (umol/L)]]/2200)</f>
        <v>2.6553636363636364</v>
      </c>
      <c r="AH116" s="21">
        <f>[102]Lipoproteins!I$3</f>
        <v>378.86593500000004</v>
      </c>
      <c r="AI116" s="54">
        <v>3.5905898792266346E-3</v>
      </c>
      <c r="AJ116" s="21">
        <f>'[103]VLDL__DNL data DAPA'!I$20</f>
        <v>3.0072864798562389</v>
      </c>
      <c r="AK116" s="23">
        <f>(Data6[[#This Row],[DNL (%)]]/100)*Data6[[#This Row],[VLDL (umol/L)]]</f>
        <v>11.393584040035927</v>
      </c>
      <c r="AL116" s="21">
        <f>[4]SAMPLES!$L$215</f>
        <v>27.81419311193924</v>
      </c>
      <c r="AM116" s="61">
        <f>(Data6[[#This Row],[Gluconeogensis (%)]]/100)*Data6[[#This Row],[Glucose (mmol/L)]]</f>
        <v>1.4674768285859141</v>
      </c>
      <c r="AN116" s="61">
        <f>Data6[[#This Row],[Glucose (mmol/L)]]-Data6[[#This Row],[Gluconeogenesis (mmol/L)]]</f>
        <v>3.8085231714140857</v>
      </c>
      <c r="AO116" s="61" t="s">
        <v>536</v>
      </c>
      <c r="AP116" s="19"/>
    </row>
    <row r="117" spans="1:42" s="11" customFormat="1" x14ac:dyDescent="0.25">
      <c r="A117" s="7">
        <v>81</v>
      </c>
      <c r="B117" s="7" t="s">
        <v>96</v>
      </c>
      <c r="C117" s="7" t="s">
        <v>136</v>
      </c>
      <c r="D117" s="7"/>
      <c r="E117" s="7"/>
      <c r="F117" s="7"/>
      <c r="G117" s="7" t="s">
        <v>227</v>
      </c>
      <c r="H117" s="7">
        <v>59</v>
      </c>
      <c r="I117" s="7" t="s">
        <v>146</v>
      </c>
      <c r="J117" s="7"/>
      <c r="K117" s="7">
        <v>159.5</v>
      </c>
      <c r="L117" s="7">
        <v>56.5</v>
      </c>
      <c r="M117" s="8">
        <f>L117/((K117/100)*(K117/100))</f>
        <v>22.20890124900502</v>
      </c>
      <c r="N117" s="7">
        <v>75</v>
      </c>
      <c r="O117" s="7">
        <v>95</v>
      </c>
      <c r="P117" s="9">
        <f>Data6[[#This Row],[Waist_Circumference]]/Data6[[#This Row],[Hip_circumference]]</f>
        <v>0.78947368421052633</v>
      </c>
      <c r="Q117" s="10">
        <v>20200</v>
      </c>
      <c r="R117" s="10">
        <v>33220</v>
      </c>
      <c r="S117" s="10">
        <f>Q117+R117</f>
        <v>53420</v>
      </c>
      <c r="T117" s="9">
        <f>(Data6[[#This Row],[Total_fat_g]]/Data6[[#This Row],[Total_mass_g]])*100</f>
        <v>37.813552976413327</v>
      </c>
      <c r="U117" s="9">
        <f>(Data6[[#This Row],[Lean_mass_g]]/Data6[[#This Row],[Total_mass_g]])*100</f>
        <v>62.186447023586666</v>
      </c>
      <c r="V117" s="9"/>
      <c r="W117" s="9">
        <v>2.1</v>
      </c>
      <c r="X117" s="9">
        <v>5.76</v>
      </c>
      <c r="Y117" s="9">
        <v>13.87</v>
      </c>
      <c r="Z117" s="21">
        <f>(Data6[[#This Row],[Glucose (mmol/L)]]*Data6[[#This Row],[Insulin (umol/L)]])/22.5</f>
        <v>3.5507200000000001</v>
      </c>
      <c r="AA117" s="9">
        <v>761.67</v>
      </c>
      <c r="AB117" s="9">
        <v>755.05</v>
      </c>
      <c r="AC117" s="9">
        <v>55.75</v>
      </c>
      <c r="AD117" s="9">
        <v>4.5</v>
      </c>
      <c r="AE117" s="9">
        <v>1.74</v>
      </c>
      <c r="AF117" s="9">
        <f>Data6[[#This Row],[total_chol (umol/L)]]-Data6[[#This Row],[HDL_chol (umol/L)]]</f>
        <v>2.76</v>
      </c>
      <c r="AG117" s="9">
        <f>Data6[[#This Row],[Non_HDL (umol/L)]]-(Data6[[#This Row],[TAG (umol/L)]]/2200)</f>
        <v>2.4167954545454542</v>
      </c>
      <c r="AH117" s="9">
        <v>211.15</v>
      </c>
      <c r="AI117" s="51">
        <v>5.0827619269818141E-3</v>
      </c>
      <c r="AJ117" s="9">
        <v>2.3385639160600737</v>
      </c>
      <c r="AK117" s="23">
        <f>(Data6[[#This Row],[DNL (%)]]/100)*Data6[[#This Row],[VLDL (umol/L)]]</f>
        <v>4.9378777087608459</v>
      </c>
      <c r="AL117" s="65">
        <f>[4]SAMPLES!$L$42</f>
        <v>27.341035206591147</v>
      </c>
      <c r="AM117" s="57">
        <f>(Data6[[#This Row],[Gluconeogensis (%)]]/100)*Data6[[#This Row],[Glucose (mmol/L)]]</f>
        <v>1.57484362789965</v>
      </c>
      <c r="AN117" s="61">
        <f>Data6[[#This Row],[Glucose (mmol/L)]]-Data6[[#This Row],[Gluconeogenesis (mmol/L)]]</f>
        <v>4.1851563721003497</v>
      </c>
      <c r="AO117" s="61" t="s">
        <v>536</v>
      </c>
      <c r="AP117" s="7"/>
    </row>
    <row r="118" spans="1:42" s="11" customFormat="1" x14ac:dyDescent="0.25">
      <c r="A118" s="19">
        <v>214</v>
      </c>
      <c r="B118" s="19" t="s">
        <v>308</v>
      </c>
      <c r="C118" s="19" t="s">
        <v>250</v>
      </c>
      <c r="D118" s="19">
        <v>1</v>
      </c>
      <c r="E118" s="19" t="s">
        <v>318</v>
      </c>
      <c r="F118" s="19"/>
      <c r="G118" s="19" t="s">
        <v>228</v>
      </c>
      <c r="H118" s="19">
        <f>'[82]Dipagloflozin Arm'!$K$7</f>
        <v>51</v>
      </c>
      <c r="I118" s="19"/>
      <c r="J118" s="19"/>
      <c r="K118" s="19">
        <v>172.5</v>
      </c>
      <c r="L118" s="19">
        <f>'[82]Dipagloflozin Arm'!$K$5</f>
        <v>91.5</v>
      </c>
      <c r="M118" s="20">
        <f>L118/((K118/100)*(K118/100))</f>
        <v>30.749842470069311</v>
      </c>
      <c r="N118" s="19"/>
      <c r="O118" s="19"/>
      <c r="P118" s="21" t="e">
        <f>Data6[[#This Row],[Waist_Circumference]]/Data6[[#This Row],[Hip_circumference]]</f>
        <v>#DIV/0!</v>
      </c>
      <c r="Q118" s="22">
        <v>29000</v>
      </c>
      <c r="R118" s="22">
        <v>64965</v>
      </c>
      <c r="S118" s="22">
        <f>Q118+R118</f>
        <v>93965</v>
      </c>
      <c r="T118" s="21">
        <f>(Data6[[#This Row],[Total_fat_g]]/Data6[[#This Row],[Total_mass_g]])*100</f>
        <v>30.862555206725911</v>
      </c>
      <c r="U118" s="21">
        <f>(Data6[[#This Row],[Lean_mass_g]]/Data6[[#This Row],[Total_mass_g]])*100</f>
        <v>69.137444793274099</v>
      </c>
      <c r="V118" s="21"/>
      <c r="W118" s="21">
        <v>8.9700000000000006</v>
      </c>
      <c r="X118" s="21">
        <f>[105]Glucose!$C6</f>
        <v>5.6989999999999998</v>
      </c>
      <c r="Y118" s="21">
        <f>[105]Insulin!$I9</f>
        <v>14.0745</v>
      </c>
      <c r="Z118" s="21">
        <f>(Data6[[#This Row],[Glucose (mmol/L)]]*Data6[[#This Row],[Insulin (umol/L)]])/22.5</f>
        <v>3.564914466666667</v>
      </c>
      <c r="AA118" s="21">
        <f>[105]NEFA!$C5</f>
        <v>685.2</v>
      </c>
      <c r="AB118" s="21">
        <f>[105]TAG!$I6</f>
        <v>947.2</v>
      </c>
      <c r="AC118" s="21">
        <f>'[105]Ranbut 3-OHB'!$C5</f>
        <v>205.7</v>
      </c>
      <c r="AD118" s="21">
        <f>'[105]Apo B, HDL, Cholesterol, ALT'!$C$6</f>
        <v>4.4400000000000004</v>
      </c>
      <c r="AE118" s="21">
        <f>'[105]Apo B, HDL, Cholesterol, ALT'!$J$6</f>
        <v>1.04</v>
      </c>
      <c r="AF118" s="21">
        <f>Data6[[#This Row],[total_chol (umol/L)]]-Data6[[#This Row],[HDL_chol (umol/L)]]</f>
        <v>3.4000000000000004</v>
      </c>
      <c r="AG118" s="21">
        <f>Data6[[#This Row],[Non_HDL (umol/L)]]-(Data6[[#This Row],[TAG (umol/L)]]/2200)</f>
        <v>2.9694545454545458</v>
      </c>
      <c r="AH118" s="21">
        <f>[102]Lipoproteins!D$3</f>
        <v>582.17155500000001</v>
      </c>
      <c r="AI118" s="54">
        <v>3.5867949961020636E-3</v>
      </c>
      <c r="AJ118" s="21">
        <f>'[103]VLDL__DNL data DAPA'!D$20</f>
        <v>1.7104428361308988</v>
      </c>
      <c r="AK118" s="23">
        <f>(Data6[[#This Row],[DNL (%)]]/100)*Data6[[#This Row],[VLDL (umol/L)]]</f>
        <v>9.9577116564893551</v>
      </c>
      <c r="AL118" s="21">
        <f>[4]SAMPLES!$L$210</f>
        <v>33.273696214541019</v>
      </c>
      <c r="AM118" s="61">
        <f>(Data6[[#This Row],[Gluconeogensis (%)]]/100)*Data6[[#This Row],[Glucose (mmol/L)]]</f>
        <v>1.8962679472666928</v>
      </c>
      <c r="AN118" s="61">
        <f>Data6[[#This Row],[Glucose (mmol/L)]]-Data6[[#This Row],[Gluconeogenesis (mmol/L)]]</f>
        <v>3.8027320527333073</v>
      </c>
      <c r="AO118" s="61" t="s">
        <v>536</v>
      </c>
      <c r="AP118" s="19"/>
    </row>
    <row r="119" spans="1:42" s="19" customFormat="1" x14ac:dyDescent="0.25">
      <c r="A119" s="15">
        <v>45</v>
      </c>
      <c r="B119" s="15" t="s">
        <v>358</v>
      </c>
      <c r="C119" s="15" t="s">
        <v>95</v>
      </c>
      <c r="D119" s="15" t="s">
        <v>386</v>
      </c>
      <c r="E119" s="15"/>
      <c r="F119" s="15">
        <v>6870</v>
      </c>
      <c r="G119" s="15" t="s">
        <v>228</v>
      </c>
      <c r="H119" s="15">
        <v>37</v>
      </c>
      <c r="I119" s="15"/>
      <c r="J119" s="15"/>
      <c r="K119" s="15">
        <v>190</v>
      </c>
      <c r="L119" s="15">
        <v>96.35</v>
      </c>
      <c r="M119" s="16">
        <f>L119/((K119/100)*(K119/100))</f>
        <v>26.689750692520775</v>
      </c>
      <c r="N119" s="15">
        <v>94</v>
      </c>
      <c r="O119" s="15">
        <v>111</v>
      </c>
      <c r="P119" s="17">
        <f>Data6[[#This Row],[Waist_Circumference]]/Data6[[#This Row],[Hip_circumference]]</f>
        <v>0.84684684684684686</v>
      </c>
      <c r="Q119" s="18">
        <f>'[1]Anthro data'!$AT$27</f>
        <v>21220.093620142001</v>
      </c>
      <c r="R119" s="18">
        <f>'[1]Anthro data'!$AT$28</f>
        <v>72470.967732364006</v>
      </c>
      <c r="S119" s="18">
        <f>Q119+R119</f>
        <v>93691.061352506003</v>
      </c>
      <c r="T119" s="17">
        <f>(Data6[[#This Row],[Total_fat_g]]/Data6[[#This Row],[Total_mass_g]])*100</f>
        <v>22.649005480152368</v>
      </c>
      <c r="U119" s="17">
        <f>(Data6[[#This Row],[Lean_mass_g]]/Data6[[#This Row],[Total_mass_g]])*100</f>
        <v>77.350994519847632</v>
      </c>
      <c r="V119" s="17">
        <v>713.24954779999996</v>
      </c>
      <c r="W119" s="17">
        <v>2.7</v>
      </c>
      <c r="X119" s="17">
        <f>[1]Glucose!$AT$3</f>
        <v>5.117</v>
      </c>
      <c r="Y119" s="17">
        <f>'[1]Insulin+HOMA'!$AT$3</f>
        <v>14.140499999999999</v>
      </c>
      <c r="Z119" s="21">
        <f>(Data6[[#This Row],[Glucose (mmol/L)]]*Data6[[#This Row],[Insulin (umol/L)]])/22.5</f>
        <v>3.2158639333333334</v>
      </c>
      <c r="AA119" s="17">
        <f>[1]NEFA!$AT$3</f>
        <v>259.39999999999998</v>
      </c>
      <c r="AB119" s="17">
        <f>[1]TAG!$AT$3</f>
        <v>2138.7000000000003</v>
      </c>
      <c r="AC119" s="17">
        <f>'[1]3-OHB'!$AT$3</f>
        <v>63.2</v>
      </c>
      <c r="AD119" s="17">
        <f>'[49]Apo B, HDL, Cholesterol, ALT'!$F$6</f>
        <v>5.31</v>
      </c>
      <c r="AE119" s="17">
        <f>'[49]Apo B, HDL, Cholesterol, ALT'!$M$6</f>
        <v>1.03</v>
      </c>
      <c r="AF119" s="17">
        <f>Data6[[#This Row],[total_chol (umol/L)]]-Data6[[#This Row],[HDL_chol (umol/L)]]</f>
        <v>4.2799999999999994</v>
      </c>
      <c r="AG119" s="17">
        <f>Data6[[#This Row],[Non_HDL (umol/L)]]-(Data6[[#This Row],[TAG (umol/L)]]/2200)</f>
        <v>3.3078636363636358</v>
      </c>
      <c r="AH119" s="17">
        <v>1181.0977199999998</v>
      </c>
      <c r="AI119" s="50">
        <f>'[28]plasma H2O'!$X$4</f>
        <v>2.169393146972255E-3</v>
      </c>
      <c r="AJ119" s="17">
        <f>[1]DNL_160!$AT$5</f>
        <v>11.938570347184735</v>
      </c>
      <c r="AK119" s="23">
        <f>(Data6[[#This Row],[DNL (%)]]/100)*Data6[[#This Row],[VLDL (umol/L)]]</f>
        <v>141.00618217119495</v>
      </c>
      <c r="AL119" s="17">
        <f>[4]SAMPLES!$L$64</f>
        <v>68.518289185393272</v>
      </c>
      <c r="AM119" s="56">
        <f>(Data6[[#This Row],[Gluconeogensis (%)]]/100)*Data6[[#This Row],[Glucose (mmol/L)]]</f>
        <v>3.5060808576165736</v>
      </c>
      <c r="AN119" s="61">
        <f>Data6[[#This Row],[Glucose (mmol/L)]]-Data6[[#This Row],[Gluconeogenesis (mmol/L)]]</f>
        <v>1.6109191423834264</v>
      </c>
      <c r="AO119" s="61" t="s">
        <v>536</v>
      </c>
      <c r="AP119" s="15"/>
    </row>
    <row r="120" spans="1:42" s="19" customFormat="1" x14ac:dyDescent="0.25">
      <c r="A120" s="15">
        <v>39</v>
      </c>
      <c r="B120" s="15" t="s">
        <v>85</v>
      </c>
      <c r="C120" s="15" t="s">
        <v>86</v>
      </c>
      <c r="D120" s="15" t="s">
        <v>386</v>
      </c>
      <c r="E120" s="15"/>
      <c r="F120" s="15">
        <v>2735</v>
      </c>
      <c r="G120" s="15" t="s">
        <v>228</v>
      </c>
      <c r="H120" s="15">
        <v>46</v>
      </c>
      <c r="I120" s="15" t="s">
        <v>146</v>
      </c>
      <c r="J120" s="15"/>
      <c r="K120" s="15">
        <v>180</v>
      </c>
      <c r="L120" s="15">
        <v>89.2</v>
      </c>
      <c r="M120" s="16">
        <f>L120/((K120/100)*(K120/100))</f>
        <v>27.530864197530864</v>
      </c>
      <c r="N120" s="15">
        <v>93</v>
      </c>
      <c r="O120" s="15">
        <v>102</v>
      </c>
      <c r="P120" s="17">
        <f>Data6[[#This Row],[Waist_Circumference]]/Data6[[#This Row],[Hip_circumference]]</f>
        <v>0.91176470588235292</v>
      </c>
      <c r="Q120" s="18">
        <f>'[1]Anthro data'!$AN$27</f>
        <v>19578.981572150999</v>
      </c>
      <c r="R120" s="18">
        <f>'[1]Anthro data'!$AN$28</f>
        <v>63481.962302802</v>
      </c>
      <c r="S120" s="18">
        <f>Q120+R120</f>
        <v>83060.943874952995</v>
      </c>
      <c r="T120" s="17">
        <f>(Data6[[#This Row],[Total_fat_g]]/Data6[[#This Row],[Total_mass_g]])*100</f>
        <v>23.571826491192855</v>
      </c>
      <c r="U120" s="17">
        <f>(Data6[[#This Row],[Lean_mass_g]]/Data6[[#This Row],[Total_mass_g]])*100</f>
        <v>76.428173508807149</v>
      </c>
      <c r="V120" s="17">
        <v>1208.1452079999999</v>
      </c>
      <c r="W120" s="17">
        <v>1.5</v>
      </c>
      <c r="X120" s="17">
        <f>[1]Glucose!$AN$3</f>
        <v>5.665</v>
      </c>
      <c r="Y120" s="17">
        <f>'[1]Insulin+HOMA'!$AN$3</f>
        <v>14.282499999999999</v>
      </c>
      <c r="Z120" s="21">
        <f>(Data6[[#This Row],[Glucose (mmol/L)]]*Data6[[#This Row],[Insulin (umol/L)]])/22.5</f>
        <v>3.5960161111111106</v>
      </c>
      <c r="AA120" s="17">
        <f>[1]NEFA!$AN$3</f>
        <v>499.4</v>
      </c>
      <c r="AB120" s="17">
        <f>[1]TAG!$AN$3</f>
        <v>1666.1</v>
      </c>
      <c r="AC120" s="17">
        <f>'[1]3-OHB'!$AN$3</f>
        <v>70</v>
      </c>
      <c r="AD120" s="17">
        <f>'[43]Apo B, HDL, Cholesterol, ALT'!$F$6</f>
        <v>5.29</v>
      </c>
      <c r="AE120" s="17">
        <f>'[43]Apo B, HDL, Cholesterol, ALT'!$M$6</f>
        <v>0.97</v>
      </c>
      <c r="AF120" s="17">
        <f>Data6[[#This Row],[total_chol (umol/L)]]-Data6[[#This Row],[HDL_chol (umol/L)]]</f>
        <v>4.32</v>
      </c>
      <c r="AG120" s="17">
        <f>Data6[[#This Row],[Non_HDL (umol/L)]]-(Data6[[#This Row],[TAG (umol/L)]]/2200)</f>
        <v>3.5626818181818187</v>
      </c>
      <c r="AH120" s="17">
        <v>1128.3457199999998</v>
      </c>
      <c r="AI120" s="50">
        <f>'[28]plasma H2O'!$R$4</f>
        <v>3.0088575975497633E-3</v>
      </c>
      <c r="AJ120" s="17">
        <f>[1]DNL_160!$AN$5</f>
        <v>7.988338328367969</v>
      </c>
      <c r="AK120" s="23">
        <f>(Data6[[#This Row],[DNL (%)]]/100)*Data6[[#This Row],[VLDL (umol/L)]]</f>
        <v>90.136073627259506</v>
      </c>
      <c r="AL120" s="17">
        <f>[4]SAMPLES!$L$58</f>
        <v>58.40136500883132</v>
      </c>
      <c r="AM120" s="56">
        <f>(Data6[[#This Row],[Gluconeogensis (%)]]/100)*Data6[[#This Row],[Glucose (mmol/L)]]</f>
        <v>3.3084373277502941</v>
      </c>
      <c r="AN120" s="61">
        <f>Data6[[#This Row],[Glucose (mmol/L)]]-Data6[[#This Row],[Gluconeogenesis (mmol/L)]]</f>
        <v>2.3565626722497059</v>
      </c>
      <c r="AO120" s="61" t="s">
        <v>536</v>
      </c>
      <c r="AP120" s="15"/>
    </row>
    <row r="121" spans="1:42" s="19" customFormat="1" x14ac:dyDescent="0.25">
      <c r="A121" s="19">
        <v>206</v>
      </c>
      <c r="B121" s="19" t="s">
        <v>254</v>
      </c>
      <c r="C121" s="19" t="s">
        <v>250</v>
      </c>
      <c r="D121" s="19">
        <v>1</v>
      </c>
      <c r="E121" s="19" t="s">
        <v>228</v>
      </c>
      <c r="G121" s="19" t="s">
        <v>227</v>
      </c>
      <c r="H121" s="19">
        <f>'[82]Metformin Arm '!$S$7</f>
        <v>52</v>
      </c>
      <c r="K121" s="19">
        <v>164.5</v>
      </c>
      <c r="L121" s="19">
        <f>'[82]Metformin Arm '!$S$5</f>
        <v>69</v>
      </c>
      <c r="M121" s="20">
        <f>L121/((K121/100)*(K121/100))</f>
        <v>25.49865577738565</v>
      </c>
      <c r="P121" s="21" t="e">
        <f>Data6[[#This Row],[Waist_Circumference]]/Data6[[#This Row],[Hip_circumference]]</f>
        <v>#DIV/0!</v>
      </c>
      <c r="Q121" s="22">
        <v>28290</v>
      </c>
      <c r="R121" s="22">
        <v>40709.999999999993</v>
      </c>
      <c r="S121" s="22">
        <f>Q121+R121</f>
        <v>69000</v>
      </c>
      <c r="T121" s="21">
        <f>(Data6[[#This Row],[Total_fat_g]]/Data6[[#This Row],[Total_mass_g]])*100</f>
        <v>41</v>
      </c>
      <c r="U121" s="21">
        <f>(Data6[[#This Row],[Lean_mass_g]]/Data6[[#This Row],[Total_mass_g]])*100</f>
        <v>58.999999999999986</v>
      </c>
      <c r="V121" s="21"/>
      <c r="W121" s="21">
        <v>2.91</v>
      </c>
      <c r="X121" s="21">
        <f>[83]Glucose!$F$4</f>
        <v>5.742</v>
      </c>
      <c r="Y121" s="21">
        <f>[94]Insulin!$I9</f>
        <v>14.666499999999999</v>
      </c>
      <c r="Z121" s="21">
        <f>(Data6[[#This Row],[Glucose (mmol/L)]]*Data6[[#This Row],[Insulin (umol/L)]])/22.5</f>
        <v>3.7428907999999996</v>
      </c>
      <c r="AA121" s="21">
        <f>[94]NEFA!$F5</f>
        <v>426.1</v>
      </c>
      <c r="AB121" s="21">
        <f>[94]TAG!$I6</f>
        <v>734.59999999999991</v>
      </c>
      <c r="AC121" s="21">
        <f>'[94]Ranbut 3-OHB'!$F5</f>
        <v>139.4</v>
      </c>
      <c r="AD121" s="21">
        <f>'[94]Apo B, HDL, Cholesterol, ALT'!$C$6</f>
        <v>4.2300000000000004</v>
      </c>
      <c r="AE121" s="21">
        <f>'[94]Apo B, HDL, Cholesterol, ALT'!$J$6</f>
        <v>1.34</v>
      </c>
      <c r="AF121" s="21">
        <f>Data6[[#This Row],[total_chol (umol/L)]]-Data6[[#This Row],[HDL_chol (umol/L)]]</f>
        <v>2.8900000000000006</v>
      </c>
      <c r="AG121" s="21">
        <f>Data6[[#This Row],[Non_HDL (umol/L)]]-(Data6[[#This Row],[TAG (umol/L)]]/2200)</f>
        <v>2.5560909090909099</v>
      </c>
      <c r="AH121" s="21">
        <f>[83]Lipoproteins!F$3</f>
        <v>411.84099375</v>
      </c>
      <c r="AI121" s="54">
        <v>3.9428634426274672E-3</v>
      </c>
      <c r="AJ121" s="21">
        <f>[86]dnl!$F$3</f>
        <v>3.3927485775381636</v>
      </c>
      <c r="AK121" s="23">
        <f>(Data6[[#This Row],[DNL (%)]]/100)*Data6[[#This Row],[VLDL (umol/L)]]</f>
        <v>13.972729457172161</v>
      </c>
      <c r="AL121" s="21">
        <f>[4]SAMPLES!$L$202</f>
        <v>24.713457119045458</v>
      </c>
      <c r="AM121" s="61">
        <f>(Data6[[#This Row],[Gluconeogensis (%)]]/100)*Data6[[#This Row],[Glucose (mmol/L)]]</f>
        <v>1.4190467077755902</v>
      </c>
      <c r="AN121" s="61">
        <f>Data6[[#This Row],[Glucose (mmol/L)]]-Data6[[#This Row],[Gluconeogenesis (mmol/L)]]</f>
        <v>4.32295329222441</v>
      </c>
      <c r="AO121" s="61" t="s">
        <v>536</v>
      </c>
    </row>
    <row r="122" spans="1:42" s="19" customFormat="1" x14ac:dyDescent="0.25">
      <c r="A122" s="15">
        <v>29</v>
      </c>
      <c r="B122" s="15" t="s">
        <v>65</v>
      </c>
      <c r="C122" s="15" t="s">
        <v>66</v>
      </c>
      <c r="D122" s="15" t="s">
        <v>386</v>
      </c>
      <c r="E122" s="15"/>
      <c r="F122" s="15">
        <v>6344</v>
      </c>
      <c r="G122" s="15" t="s">
        <v>228</v>
      </c>
      <c r="H122" s="15">
        <v>46</v>
      </c>
      <c r="I122" s="15"/>
      <c r="J122" s="15"/>
      <c r="K122" s="15">
        <v>168</v>
      </c>
      <c r="L122" s="15">
        <v>70.099999999999994</v>
      </c>
      <c r="M122" s="16">
        <f>L122/((K122/100)*(K122/100))</f>
        <v>24.837018140589571</v>
      </c>
      <c r="N122" s="15">
        <v>90</v>
      </c>
      <c r="O122" s="15">
        <v>94</v>
      </c>
      <c r="P122" s="17">
        <f>Data6[[#This Row],[Waist_Circumference]]/Data6[[#This Row],[Hip_circumference]]</f>
        <v>0.95744680851063835</v>
      </c>
      <c r="Q122" s="18">
        <f>'[1]Anthro data'!$AD$27</f>
        <v>24484.762136366</v>
      </c>
      <c r="R122" s="18">
        <f>'[1]Anthro data'!$AD$28</f>
        <v>61809.836806601998</v>
      </c>
      <c r="S122" s="18">
        <f>Q122+R122</f>
        <v>86294.598942968005</v>
      </c>
      <c r="T122" s="17">
        <f>(Data6[[#This Row],[Total_fat_g]]/Data6[[#This Row],[Total_mass_g]])*100</f>
        <v>28.37345840444539</v>
      </c>
      <c r="U122" s="17">
        <f>(Data6[[#This Row],[Lean_mass_g]]/Data6[[#This Row],[Total_mass_g]])*100</f>
        <v>71.626541595554599</v>
      </c>
      <c r="V122" s="17">
        <v>1659.5043760000001</v>
      </c>
      <c r="W122" s="17">
        <v>1.9</v>
      </c>
      <c r="X122" s="17">
        <f>[1]Glucose!$AD$3</f>
        <v>6.4039999999999999</v>
      </c>
      <c r="Y122" s="17">
        <f>'[1]Insulin+HOMA'!$AD$3</f>
        <v>14.762499999999999</v>
      </c>
      <c r="Z122" s="21">
        <f>(Data6[[#This Row],[Glucose (mmol/L)]]*Data6[[#This Row],[Insulin (umol/L)]])/22.5</f>
        <v>4.2017355555555547</v>
      </c>
      <c r="AA122" s="17">
        <f>[1]NEFA!$AD$3</f>
        <v>421.5</v>
      </c>
      <c r="AB122" s="17">
        <f>[1]TAG!$AD$3</f>
        <v>2411.1000000000004</v>
      </c>
      <c r="AC122" s="17">
        <f>'[1]3-OHB'!$AD$3</f>
        <v>41.5</v>
      </c>
      <c r="AD122" s="17">
        <f>'[33]Apo B, HDL, Cholesterol, ALT'!$F$6</f>
        <v>7.61</v>
      </c>
      <c r="AE122" s="17">
        <f>'[33]Apo B, HDL, Cholesterol, ALT'!$M$6</f>
        <v>1.18</v>
      </c>
      <c r="AF122" s="17">
        <f>Data6[[#This Row],[total_chol (umol/L)]]-Data6[[#This Row],[HDL_chol (umol/L)]]</f>
        <v>6.4300000000000006</v>
      </c>
      <c r="AG122" s="17">
        <f>Data6[[#This Row],[Non_HDL (umol/L)]]-(Data6[[#This Row],[TAG (umol/L)]]/2200)</f>
        <v>5.3340454545454552</v>
      </c>
      <c r="AH122" s="17">
        <v>1606.5116999999996</v>
      </c>
      <c r="AI122" s="50">
        <f>'[28]plasma H2O'!$H$4</f>
        <v>3.032054282562595E-3</v>
      </c>
      <c r="AJ122" s="17">
        <f>[1]DNL_160!$AD$5</f>
        <v>13.851241712056389</v>
      </c>
      <c r="AK122" s="23">
        <f>(Data6[[#This Row],[DNL (%)]]/100)*Data6[[#This Row],[VLDL (umol/L)]]</f>
        <v>222.52181869946614</v>
      </c>
      <c r="AL122" s="17">
        <f>[4]SAMPLES!$L$48</f>
        <v>44.754291431720873</v>
      </c>
      <c r="AM122" s="56">
        <f>(Data6[[#This Row],[Gluconeogensis (%)]]/100)*Data6[[#This Row],[Glucose (mmol/L)]]</f>
        <v>2.8660648232874046</v>
      </c>
      <c r="AN122" s="61">
        <f>Data6[[#This Row],[Glucose (mmol/L)]]-Data6[[#This Row],[Gluconeogenesis (mmol/L)]]</f>
        <v>3.5379351767125953</v>
      </c>
      <c r="AO122" s="61" t="s">
        <v>536</v>
      </c>
      <c r="AP122" s="15"/>
    </row>
    <row r="123" spans="1:42" s="19" customFormat="1" x14ac:dyDescent="0.25">
      <c r="A123" s="7">
        <v>82</v>
      </c>
      <c r="B123" s="7" t="s">
        <v>137</v>
      </c>
      <c r="C123" s="7" t="s">
        <v>138</v>
      </c>
      <c r="D123" s="7"/>
      <c r="E123" s="7"/>
      <c r="F123" s="7"/>
      <c r="G123" s="7" t="s">
        <v>227</v>
      </c>
      <c r="H123" s="7">
        <v>42</v>
      </c>
      <c r="I123" s="7" t="s">
        <v>146</v>
      </c>
      <c r="J123" s="7"/>
      <c r="K123" s="7">
        <v>161</v>
      </c>
      <c r="L123" s="7">
        <v>62.2</v>
      </c>
      <c r="M123" s="8">
        <f>L123/((K123/100)*(K123/100))</f>
        <v>23.9959878091123</v>
      </c>
      <c r="N123" s="7">
        <v>87</v>
      </c>
      <c r="O123" s="7">
        <v>89</v>
      </c>
      <c r="P123" s="9">
        <f>Data6[[#This Row],[Waist_Circumference]]/Data6[[#This Row],[Hip_circumference]]</f>
        <v>0.97752808988764039</v>
      </c>
      <c r="Q123" s="10">
        <v>22200</v>
      </c>
      <c r="R123" s="10">
        <v>35730</v>
      </c>
      <c r="S123" s="10">
        <f>Q123+R123</f>
        <v>57930</v>
      </c>
      <c r="T123" s="9">
        <f>(Data6[[#This Row],[Total_fat_g]]/Data6[[#This Row],[Total_mass_g]])*100</f>
        <v>38.322112894873122</v>
      </c>
      <c r="U123" s="9">
        <f>(Data6[[#This Row],[Lean_mass_g]]/Data6[[#This Row],[Total_mass_g]])*100</f>
        <v>61.677887105126871</v>
      </c>
      <c r="V123" s="9">
        <v>607</v>
      </c>
      <c r="W123" s="9">
        <v>0.77</v>
      </c>
      <c r="X123" s="9">
        <v>4.87</v>
      </c>
      <c r="Y123" s="9">
        <v>15.14</v>
      </c>
      <c r="Z123" s="21">
        <f>(Data6[[#This Row],[Glucose (mmol/L)]]*Data6[[#This Row],[Insulin (umol/L)]])/22.5</f>
        <v>3.2769688888888893</v>
      </c>
      <c r="AA123" s="9">
        <v>419.5</v>
      </c>
      <c r="AB123" s="9">
        <v>607</v>
      </c>
      <c r="AC123" s="9">
        <v>47.05</v>
      </c>
      <c r="AD123" s="9">
        <v>4.7</v>
      </c>
      <c r="AE123" s="9">
        <v>1.31</v>
      </c>
      <c r="AF123" s="9">
        <f>Data6[[#This Row],[total_chol (umol/L)]]-Data6[[#This Row],[HDL_chol (umol/L)]]</f>
        <v>3.39</v>
      </c>
      <c r="AG123" s="9">
        <f>Data6[[#This Row],[Non_HDL (umol/L)]]-(Data6[[#This Row],[TAG (umol/L)]]/2200)</f>
        <v>3.1140909090909092</v>
      </c>
      <c r="AH123" s="9">
        <v>178.45</v>
      </c>
      <c r="AI123" s="51">
        <v>4.8555184742651528E-3</v>
      </c>
      <c r="AJ123" s="9">
        <v>9.1882332649116965</v>
      </c>
      <c r="AK123" s="23">
        <f>(Data6[[#This Row],[DNL (%)]]/100)*Data6[[#This Row],[VLDL (umol/L)]]</f>
        <v>16.396402261234922</v>
      </c>
      <c r="AL123" s="9">
        <f>[4]SAMPLES!$L$65</f>
        <v>11.966451886422485</v>
      </c>
      <c r="AM123" s="57">
        <f>(Data6[[#This Row],[Gluconeogensis (%)]]/100)*Data6[[#This Row],[Glucose (mmol/L)]]</f>
        <v>0.58276620686877512</v>
      </c>
      <c r="AN123" s="61">
        <f>Data6[[#This Row],[Glucose (mmol/L)]]-Data6[[#This Row],[Gluconeogenesis (mmol/L)]]</f>
        <v>4.2872337931312252</v>
      </c>
      <c r="AO123" s="61" t="s">
        <v>536</v>
      </c>
      <c r="AP123" s="7"/>
    </row>
    <row r="124" spans="1:42" s="19" customFormat="1" x14ac:dyDescent="0.25">
      <c r="A124" s="15">
        <v>30</v>
      </c>
      <c r="B124" s="15" t="s">
        <v>67</v>
      </c>
      <c r="C124" s="15" t="s">
        <v>68</v>
      </c>
      <c r="D124" s="15" t="s">
        <v>386</v>
      </c>
      <c r="E124" s="15"/>
      <c r="F124" s="15">
        <v>5919</v>
      </c>
      <c r="G124" s="15" t="s">
        <v>228</v>
      </c>
      <c r="H124" s="15">
        <v>47</v>
      </c>
      <c r="I124" s="15" t="s">
        <v>146</v>
      </c>
      <c r="J124" s="15"/>
      <c r="K124" s="15">
        <v>176</v>
      </c>
      <c r="L124" s="15">
        <v>101</v>
      </c>
      <c r="M124" s="16">
        <f>L124/((K124/100)*(K124/100))</f>
        <v>32.605888429752071</v>
      </c>
      <c r="N124" s="15">
        <v>112</v>
      </c>
      <c r="O124" s="15">
        <v>108</v>
      </c>
      <c r="P124" s="17">
        <f>Data6[[#This Row],[Waist_Circumference]]/Data6[[#This Row],[Hip_circumference]]</f>
        <v>1.037037037037037</v>
      </c>
      <c r="Q124" s="18">
        <f>'[1]Anthro data'!$AE$27</f>
        <v>34523.314217252999</v>
      </c>
      <c r="R124" s="18">
        <f>'[1]Anthro data'!$AE$28</f>
        <v>62520.506490961998</v>
      </c>
      <c r="S124" s="18">
        <f>Q124+R124</f>
        <v>97043.820708215004</v>
      </c>
      <c r="T124" s="17">
        <f>(Data6[[#This Row],[Total_fat_g]]/Data6[[#This Row],[Total_mass_g]])*100</f>
        <v>35.57497423875698</v>
      </c>
      <c r="U124" s="17">
        <f>(Data6[[#This Row],[Lean_mass_g]]/Data6[[#This Row],[Total_mass_g]])*100</f>
        <v>64.42502576124302</v>
      </c>
      <c r="V124" s="17">
        <v>2531.031755</v>
      </c>
      <c r="W124" s="17">
        <v>4.3</v>
      </c>
      <c r="X124" s="17">
        <f>[1]Glucose!$AE$3</f>
        <v>5.1719999999999997</v>
      </c>
      <c r="Y124" s="17">
        <f>'[1]Insulin+HOMA'!$AE$3</f>
        <v>15.257</v>
      </c>
      <c r="Z124" s="21">
        <f>(Data6[[#This Row],[Glucose (mmol/L)]]*Data6[[#This Row],[Insulin (umol/L)]])/22.5</f>
        <v>3.5070757333333327</v>
      </c>
      <c r="AA124" s="17">
        <f>[1]NEFA!$AE$3</f>
        <v>297.7</v>
      </c>
      <c r="AB124" s="17">
        <f>[1]TAG!$AE$3</f>
        <v>2138.2999999999997</v>
      </c>
      <c r="AC124" s="17">
        <f>'[1]3-OHB'!$AE$3</f>
        <v>46</v>
      </c>
      <c r="AD124" s="17">
        <f>'[34]Apo B, HDL, Cholesterol, ALT'!$F$6</f>
        <v>4.3499999999999996</v>
      </c>
      <c r="AE124" s="17">
        <f>'[34]Apo B, HDL, Cholesterol, ALT'!$M$6</f>
        <v>0.9</v>
      </c>
      <c r="AF124" s="17">
        <f>Data6[[#This Row],[total_chol (umol/L)]]-Data6[[#This Row],[HDL_chol (umol/L)]]</f>
        <v>3.4499999999999997</v>
      </c>
      <c r="AG124" s="17">
        <f>Data6[[#This Row],[Non_HDL (umol/L)]]-(Data6[[#This Row],[TAG (umol/L)]]/2200)</f>
        <v>2.4780454545454544</v>
      </c>
      <c r="AH124" s="17">
        <v>1762.3753125000003</v>
      </c>
      <c r="AI124" s="50">
        <f>'[28]plasma H2O'!$I$4</f>
        <v>3.3210374945373262E-3</v>
      </c>
      <c r="AJ124" s="17">
        <f>[1]DNL_160!$AE$5</f>
        <v>12.784634185371713</v>
      </c>
      <c r="AK124" s="23">
        <f>(Data6[[#This Row],[DNL (%)]]/100)*Data6[[#This Row],[VLDL (umol/L)]]</f>
        <v>225.31323667642658</v>
      </c>
      <c r="AL124" s="17">
        <f>[4]SAMPLES!$L$49</f>
        <v>20.339859861222127</v>
      </c>
      <c r="AM124" s="56">
        <f>(Data6[[#This Row],[Gluconeogensis (%)]]/100)*Data6[[#This Row],[Glucose (mmol/L)]]</f>
        <v>1.0519775520224084</v>
      </c>
      <c r="AN124" s="61">
        <f>Data6[[#This Row],[Glucose (mmol/L)]]-Data6[[#This Row],[Gluconeogenesis (mmol/L)]]</f>
        <v>4.1200224479775915</v>
      </c>
      <c r="AO124" s="61" t="s">
        <v>536</v>
      </c>
      <c r="AP124" s="15"/>
    </row>
    <row r="125" spans="1:42" s="19" customFormat="1" x14ac:dyDescent="0.25">
      <c r="A125" s="7">
        <v>78</v>
      </c>
      <c r="B125" s="7" t="s">
        <v>130</v>
      </c>
      <c r="C125" s="7" t="s">
        <v>131</v>
      </c>
      <c r="D125" s="7"/>
      <c r="E125" s="7"/>
      <c r="F125" s="7"/>
      <c r="G125" s="7" t="s">
        <v>227</v>
      </c>
      <c r="H125" s="7">
        <v>58</v>
      </c>
      <c r="I125" s="7" t="s">
        <v>146</v>
      </c>
      <c r="J125" s="7"/>
      <c r="K125" s="7">
        <v>162</v>
      </c>
      <c r="L125" s="7">
        <v>75.7</v>
      </c>
      <c r="M125" s="8">
        <f>L125/((K125/100)*(K125/100))</f>
        <v>28.844688309708882</v>
      </c>
      <c r="N125" s="7">
        <v>86</v>
      </c>
      <c r="O125" s="7">
        <v>107</v>
      </c>
      <c r="P125" s="9">
        <f>Data6[[#This Row],[Waist_Circumference]]/Data6[[#This Row],[Hip_circumference]]</f>
        <v>0.80373831775700932</v>
      </c>
      <c r="Q125" s="10">
        <v>29690</v>
      </c>
      <c r="R125" s="10">
        <v>43720</v>
      </c>
      <c r="S125" s="10">
        <f>Q125+R125</f>
        <v>73410</v>
      </c>
      <c r="T125" s="9">
        <f>(Data6[[#This Row],[Total_fat_g]]/Data6[[#This Row],[Total_mass_g]])*100</f>
        <v>40.444081187849065</v>
      </c>
      <c r="U125" s="9">
        <f>(Data6[[#This Row],[Lean_mass_g]]/Data6[[#This Row],[Total_mass_g]])*100</f>
        <v>59.555918812150935</v>
      </c>
      <c r="V125" s="9"/>
      <c r="W125" s="9">
        <v>0.99</v>
      </c>
      <c r="X125" s="9">
        <v>5.07</v>
      </c>
      <c r="Y125" s="9">
        <v>15.27</v>
      </c>
      <c r="Z125" s="21">
        <f>(Data6[[#This Row],[Glucose (mmol/L)]]*Data6[[#This Row],[Insulin (umol/L)]])/22.5</f>
        <v>3.4408400000000006</v>
      </c>
      <c r="AA125" s="9">
        <v>577.44000000000005</v>
      </c>
      <c r="AB125" s="9">
        <v>819.18</v>
      </c>
      <c r="AC125" s="9">
        <v>31.3</v>
      </c>
      <c r="AD125" s="9">
        <v>5.9</v>
      </c>
      <c r="AE125" s="9">
        <v>1.18</v>
      </c>
      <c r="AF125" s="9">
        <f>Data6[[#This Row],[total_chol (umol/L)]]-Data6[[#This Row],[HDL_chol (umol/L)]]</f>
        <v>4.7200000000000006</v>
      </c>
      <c r="AG125" s="9">
        <f>Data6[[#This Row],[Non_HDL (umol/L)]]-(Data6[[#This Row],[TAG (umol/L)]]/2200)</f>
        <v>4.3476454545454555</v>
      </c>
      <c r="AH125" s="9">
        <v>212.19</v>
      </c>
      <c r="AI125" s="51">
        <v>5.2830928491828556E-3</v>
      </c>
      <c r="AJ125" s="9">
        <v>15.058991248891369</v>
      </c>
      <c r="AK125" s="23">
        <f>(Data6[[#This Row],[DNL (%)]]/100)*Data6[[#This Row],[VLDL (umol/L)]]</f>
        <v>31.953673531022595</v>
      </c>
      <c r="AL125" s="9">
        <f>[4]SAMPLES!$L$39</f>
        <v>22.143936430773085</v>
      </c>
      <c r="AM125" s="57">
        <f>(Data6[[#This Row],[Gluconeogensis (%)]]/100)*Data6[[#This Row],[Glucose (mmol/L)]]</f>
        <v>1.1226975770401955</v>
      </c>
      <c r="AN125" s="61">
        <f>Data6[[#This Row],[Glucose (mmol/L)]]-Data6[[#This Row],[Gluconeogenesis (mmol/L)]]</f>
        <v>3.9473024229598046</v>
      </c>
      <c r="AO125" s="61" t="s">
        <v>536</v>
      </c>
      <c r="AP125" s="7"/>
    </row>
    <row r="126" spans="1:42" s="19" customFormat="1" x14ac:dyDescent="0.25">
      <c r="A126" s="15">
        <v>42</v>
      </c>
      <c r="B126" s="15" t="s">
        <v>355</v>
      </c>
      <c r="C126" s="15" t="s">
        <v>91</v>
      </c>
      <c r="D126" s="15" t="s">
        <v>386</v>
      </c>
      <c r="E126" s="15"/>
      <c r="F126" s="15">
        <v>6943</v>
      </c>
      <c r="G126" s="15" t="s">
        <v>228</v>
      </c>
      <c r="H126" s="15">
        <v>35</v>
      </c>
      <c r="I126" s="15"/>
      <c r="J126" s="15"/>
      <c r="K126" s="15">
        <v>174</v>
      </c>
      <c r="L126" s="15">
        <v>101.3</v>
      </c>
      <c r="M126" s="16">
        <f>L126/((K126/100)*(K126/100))</f>
        <v>33.458845289998678</v>
      </c>
      <c r="N126" s="15">
        <v>113</v>
      </c>
      <c r="O126" s="15">
        <v>111</v>
      </c>
      <c r="P126" s="17">
        <f>Data6[[#This Row],[Waist_Circumference]]/Data6[[#This Row],[Hip_circumference]]</f>
        <v>1.0180180180180181</v>
      </c>
      <c r="Q126" s="18">
        <f>'[1]Anthro data'!$AQ$27</f>
        <v>33620.860036359998</v>
      </c>
      <c r="R126" s="18">
        <f>'[1]Anthro data'!$AQ$28</f>
        <v>58896.373600316001</v>
      </c>
      <c r="S126" s="18">
        <f>Q126+R126</f>
        <v>92517.233636675999</v>
      </c>
      <c r="T126" s="17">
        <f>(Data6[[#This Row],[Total_fat_g]]/Data6[[#This Row],[Total_mass_g]])*100</f>
        <v>36.340105205039229</v>
      </c>
      <c r="U126" s="17">
        <f>(Data6[[#This Row],[Lean_mass_g]]/Data6[[#This Row],[Total_mass_g]])*100</f>
        <v>63.659894794960771</v>
      </c>
      <c r="V126" s="17">
        <v>3089.9811580000001</v>
      </c>
      <c r="W126" s="17">
        <v>16.600000000000001</v>
      </c>
      <c r="X126" s="17">
        <f>[1]Glucose!$AQ$3</f>
        <v>5.6970000000000001</v>
      </c>
      <c r="Y126" s="17">
        <f>'[1]Insulin+HOMA'!$AQ$3</f>
        <v>15.769500000000001</v>
      </c>
      <c r="Z126" s="21">
        <f>(Data6[[#This Row],[Glucose (mmol/L)]]*Data6[[#This Row],[Insulin (umol/L)]])/22.5</f>
        <v>3.9928374</v>
      </c>
      <c r="AA126" s="17">
        <f>[1]NEFA!$AQ$3</f>
        <v>469.8</v>
      </c>
      <c r="AB126" s="17">
        <f>[1]TAG!$AQ$3</f>
        <v>2772.4</v>
      </c>
      <c r="AC126" s="17">
        <f>'[1]3-OHB'!$AQ$3</f>
        <v>66.3</v>
      </c>
      <c r="AD126" s="17">
        <f>'[46]Apo B, HDL, Cholesterol, ALT'!$F$6</f>
        <v>5.27</v>
      </c>
      <c r="AE126" s="17">
        <f>'[46]Apo B, HDL, Cholesterol, ALT'!$M$6</f>
        <v>0.85</v>
      </c>
      <c r="AF126" s="17">
        <f>Data6[[#This Row],[total_chol (umol/L)]]-Data6[[#This Row],[HDL_chol (umol/L)]]</f>
        <v>4.42</v>
      </c>
      <c r="AG126" s="17">
        <f>Data6[[#This Row],[Non_HDL (umol/L)]]-(Data6[[#This Row],[TAG (umol/L)]]/2200)</f>
        <v>3.1598181818181814</v>
      </c>
      <c r="AH126" s="17">
        <v>1549.8949950000003</v>
      </c>
      <c r="AI126" s="50">
        <f>'[28]plasma H2O'!$U$4</f>
        <v>1.9887722941756896E-3</v>
      </c>
      <c r="AJ126" s="17">
        <f>[1]DNL_160!$AQ$5</f>
        <v>34.296880411390909</v>
      </c>
      <c r="AK126" s="23">
        <f>(Data6[[#This Row],[DNL (%)]]/100)*Data6[[#This Row],[VLDL (umol/L)]]</f>
        <v>531.56563293728323</v>
      </c>
      <c r="AL126" s="17">
        <f>[4]SAMPLES!$L$61</f>
        <v>65.148735337781744</v>
      </c>
      <c r="AM126" s="56">
        <f>(Data6[[#This Row],[Gluconeogensis (%)]]/100)*Data6[[#This Row],[Glucose (mmol/L)]]</f>
        <v>3.7115234521934264</v>
      </c>
      <c r="AN126" s="61">
        <f>Data6[[#This Row],[Glucose (mmol/L)]]-Data6[[#This Row],[Gluconeogenesis (mmol/L)]]</f>
        <v>1.9854765478065737</v>
      </c>
      <c r="AO126" s="61" t="s">
        <v>536</v>
      </c>
      <c r="AP126" s="15"/>
    </row>
    <row r="127" spans="1:42" s="19" customFormat="1" x14ac:dyDescent="0.25">
      <c r="A127" s="33">
        <v>133</v>
      </c>
      <c r="B127" s="33" t="s">
        <v>221</v>
      </c>
      <c r="C127" s="33" t="s">
        <v>226</v>
      </c>
      <c r="D127" s="33" t="s">
        <v>386</v>
      </c>
      <c r="E127" s="33" t="s">
        <v>407</v>
      </c>
      <c r="F127" s="33"/>
      <c r="G127" s="33" t="s">
        <v>228</v>
      </c>
      <c r="H127" s="33">
        <v>47</v>
      </c>
      <c r="I127" s="33" t="s">
        <v>229</v>
      </c>
      <c r="J127" s="33"/>
      <c r="K127" s="33">
        <v>180</v>
      </c>
      <c r="L127" s="33">
        <v>108.8</v>
      </c>
      <c r="M127" s="34">
        <f>L127/((K127/100)*(K127/100))</f>
        <v>33.580246913580247</v>
      </c>
      <c r="N127" s="33">
        <v>116</v>
      </c>
      <c r="O127" s="33">
        <v>108</v>
      </c>
      <c r="P127" s="35">
        <f>Data6[[#This Row],[Waist_Circumference]]/Data6[[#This Row],[Hip_circumference]]</f>
        <v>1.0740740740740742</v>
      </c>
      <c r="Q127" s="36">
        <f>[50]Antropometrics!$M$16</f>
        <v>39359</v>
      </c>
      <c r="R127" s="36">
        <f>[50]Antropometrics!$M$17</f>
        <v>65864</v>
      </c>
      <c r="S127" s="36">
        <f>Q127+R127</f>
        <v>105223</v>
      </c>
      <c r="T127" s="35">
        <f>(Data6[[#This Row],[Total_fat_g]]/Data6[[#This Row],[Total_mass_g]])*100</f>
        <v>37.405320129629452</v>
      </c>
      <c r="U127" s="35">
        <f>(Data6[[#This Row],[Lean_mass_g]]/Data6[[#This Row],[Total_mass_g]])*100</f>
        <v>62.594679870370548</v>
      </c>
      <c r="V127" s="35">
        <v>2516</v>
      </c>
      <c r="W127" s="35">
        <v>10.27</v>
      </c>
      <c r="X127" s="35">
        <f>[51]Glucose!$M$24</f>
        <v>5.5190000000000001</v>
      </c>
      <c r="Y127" s="35">
        <f>[51]Insulin!$M$24</f>
        <v>16.375999999999998</v>
      </c>
      <c r="Z127" s="21">
        <f>(Data6[[#This Row],[Glucose (mmol/L)]]*Data6[[#This Row],[Insulin (umol/L)]])/22.5</f>
        <v>4.016850844444444</v>
      </c>
      <c r="AA127" s="35">
        <f>[51]NEFA!$M$24</f>
        <v>541.20000000000005</v>
      </c>
      <c r="AB127" s="35">
        <f>[51]TAG!$M$24</f>
        <v>1746.6</v>
      </c>
      <c r="AC127" s="35">
        <f>'[51]3OHB'!$M$24</f>
        <v>80.099999999999994</v>
      </c>
      <c r="AD127" s="35">
        <f>'[51]Chol, HDL'!$M$14</f>
        <v>4.9800000000000004</v>
      </c>
      <c r="AE127" s="35">
        <f>'[51]Chol, HDL'!$M$31</f>
        <v>0.83</v>
      </c>
      <c r="AF127" s="35">
        <f>Data6[[#This Row],[total_chol (umol/L)]]-Data6[[#This Row],[HDL_chol (umol/L)]]</f>
        <v>4.1500000000000004</v>
      </c>
      <c r="AG127" s="35">
        <f>Data6[[#This Row],[Non_HDL (umol/L)]]-(Data6[[#This Row],[TAG (umol/L)]]/2200)</f>
        <v>3.3560909090909092</v>
      </c>
      <c r="AH127" s="35">
        <v>1022.4810299999998</v>
      </c>
      <c r="AI127" s="52">
        <f>[51]DNL!$M$15</f>
        <v>3.4224498609581235E-3</v>
      </c>
      <c r="AJ127" s="35">
        <f>[51]DNL!$M$61</f>
        <v>0.67089116810074223</v>
      </c>
      <c r="AK127" s="23">
        <f>(Data6[[#This Row],[DNL (%)]]/100)*Data6[[#This Row],[VLDL (umol/L)]]</f>
        <v>6.8597349257754994</v>
      </c>
      <c r="AL127" s="66">
        <f>[4]SAMPLES!$L$156</f>
        <v>17.745680188455175</v>
      </c>
      <c r="AM127" s="58">
        <f>(Data6[[#This Row],[Gluconeogensis (%)]]/100)*Data6[[#This Row],[Glucose (mmol/L)]]</f>
        <v>0.97938408960084122</v>
      </c>
      <c r="AN127" s="61">
        <f>Data6[[#This Row],[Glucose (mmol/L)]]-Data6[[#This Row],[Gluconeogenesis (mmol/L)]]</f>
        <v>4.5396159103991591</v>
      </c>
      <c r="AO127" s="61" t="s">
        <v>536</v>
      </c>
      <c r="AP127" s="33"/>
    </row>
    <row r="128" spans="1:42" s="19" customFormat="1" x14ac:dyDescent="0.25">
      <c r="A128" s="15">
        <v>43</v>
      </c>
      <c r="B128" s="15" t="s">
        <v>360</v>
      </c>
      <c r="C128" s="15" t="s">
        <v>93</v>
      </c>
      <c r="D128" s="15" t="s">
        <v>386</v>
      </c>
      <c r="E128" s="15"/>
      <c r="F128" s="15">
        <v>6933</v>
      </c>
      <c r="G128" s="15" t="s">
        <v>228</v>
      </c>
      <c r="H128" s="15">
        <v>31</v>
      </c>
      <c r="I128" s="15"/>
      <c r="J128" s="15"/>
      <c r="K128" s="15">
        <v>188</v>
      </c>
      <c r="L128" s="15">
        <v>97.7</v>
      </c>
      <c r="M128" s="16">
        <f>L128/((K128/100)*(K128/100))</f>
        <v>27.642598460842013</v>
      </c>
      <c r="N128" s="15">
        <v>101</v>
      </c>
      <c r="O128" s="15">
        <v>102</v>
      </c>
      <c r="P128" s="17">
        <f>Data6[[#This Row],[Waist_Circumference]]/Data6[[#This Row],[Hip_circumference]]</f>
        <v>0.99019607843137258</v>
      </c>
      <c r="Q128" s="18">
        <f>'[1]Anthro data'!$AR$27</f>
        <v>31096</v>
      </c>
      <c r="R128" s="18">
        <f>'[1]Anthro data'!$AR$28</f>
        <v>62336</v>
      </c>
      <c r="S128" s="18">
        <f>Q128+R128</f>
        <v>93432</v>
      </c>
      <c r="T128" s="17">
        <f>(Data6[[#This Row],[Total_fat_g]]/Data6[[#This Row],[Total_mass_g]])*100</f>
        <v>33.281959071838344</v>
      </c>
      <c r="U128" s="17">
        <f>(Data6[[#This Row],[Lean_mass_g]]/Data6[[#This Row],[Total_mass_g]])*100</f>
        <v>66.718040928161656</v>
      </c>
      <c r="V128" s="17"/>
      <c r="W128" s="17">
        <v>27.6</v>
      </c>
      <c r="X128" s="17">
        <f>[1]Glucose!$AR$3</f>
        <v>5.6950000000000003</v>
      </c>
      <c r="Y128" s="17">
        <f>'[1]Insulin+HOMA'!$AR$3</f>
        <v>16.440999999999999</v>
      </c>
      <c r="Z128" s="21">
        <f>(Data6[[#This Row],[Glucose (mmol/L)]]*Data6[[#This Row],[Insulin (umol/L)]])/22.5</f>
        <v>4.1613997777777776</v>
      </c>
      <c r="AA128" s="17">
        <f>[1]NEFA!$AR$3</f>
        <v>559.6</v>
      </c>
      <c r="AB128" s="17">
        <f>[1]TAG!$AR$3</f>
        <v>2068</v>
      </c>
      <c r="AC128" s="17">
        <f>'[1]3-OHB'!$AR$3</f>
        <v>39</v>
      </c>
      <c r="AD128" s="17">
        <f>'[47]Apo B, HDL, Cholesterol, ALT'!$F$6</f>
        <v>4.88</v>
      </c>
      <c r="AE128" s="17">
        <f>'[47]Apo B, HDL, Cholesterol, ALT'!$M$6</f>
        <v>0.99</v>
      </c>
      <c r="AF128" s="17">
        <f>Data6[[#This Row],[total_chol (umol/L)]]-Data6[[#This Row],[HDL_chol (umol/L)]]</f>
        <v>3.8899999999999997</v>
      </c>
      <c r="AG128" s="17">
        <f>Data6[[#This Row],[Non_HDL (umol/L)]]-(Data6[[#This Row],[TAG (umol/L)]]/2200)</f>
        <v>2.9499999999999997</v>
      </c>
      <c r="AH128" s="17">
        <v>1234.4110874999999</v>
      </c>
      <c r="AI128" s="50">
        <f>'[28]plasma H2O'!$V$4</f>
        <v>3.2017153059658945E-3</v>
      </c>
      <c r="AJ128" s="17">
        <f>[1]DNL_160!$AR$5</f>
        <v>7.535185568459994</v>
      </c>
      <c r="AK128" s="23">
        <f>(Data6[[#This Row],[DNL (%)]]/100)*Data6[[#This Row],[VLDL (umol/L)]]</f>
        <v>93.015166120770061</v>
      </c>
      <c r="AL128" s="17">
        <f>[4]SAMPLES!$L$62</f>
        <v>38.000237093694018</v>
      </c>
      <c r="AM128" s="56">
        <f>(Data6[[#This Row],[Gluconeogensis (%)]]/100)*Data6[[#This Row],[Glucose (mmol/L)]]</f>
        <v>2.1641135024858742</v>
      </c>
      <c r="AN128" s="61">
        <f>Data6[[#This Row],[Glucose (mmol/L)]]-Data6[[#This Row],[Gluconeogenesis (mmol/L)]]</f>
        <v>3.5308864975141261</v>
      </c>
      <c r="AO128" s="61" t="s">
        <v>536</v>
      </c>
      <c r="AP128" s="15"/>
    </row>
    <row r="129" spans="1:42" s="19" customFormat="1" x14ac:dyDescent="0.25">
      <c r="A129" s="19">
        <v>205</v>
      </c>
      <c r="B129" s="19" t="s">
        <v>253</v>
      </c>
      <c r="C129" s="19" t="s">
        <v>250</v>
      </c>
      <c r="D129" s="19">
        <v>1</v>
      </c>
      <c r="E129" s="19" t="s">
        <v>228</v>
      </c>
      <c r="G129" s="19" t="s">
        <v>228</v>
      </c>
      <c r="H129" s="19">
        <f>'[82]Metformin Arm '!$O$7</f>
        <v>36</v>
      </c>
      <c r="K129" s="19">
        <v>176</v>
      </c>
      <c r="L129" s="19">
        <f>'[82]Metformin Arm '!$O$5</f>
        <v>96.7</v>
      </c>
      <c r="M129" s="20">
        <f>L129/((K129/100)*(K129/100))</f>
        <v>31.217716942148762</v>
      </c>
      <c r="P129" s="21" t="e">
        <f>Data6[[#This Row],[Waist_Circumference]]/Data6[[#This Row],[Hip_circumference]]</f>
        <v>#DIV/0!</v>
      </c>
      <c r="Q129" s="22">
        <v>27076</v>
      </c>
      <c r="R129" s="22">
        <v>69624.000000000015</v>
      </c>
      <c r="S129" s="22">
        <f>Q129+R129</f>
        <v>96700.000000000015</v>
      </c>
      <c r="T129" s="21">
        <f>(Data6[[#This Row],[Total_fat_g]]/Data6[[#This Row],[Total_mass_g]])*100</f>
        <v>27.999999999999996</v>
      </c>
      <c r="U129" s="21">
        <f>(Data6[[#This Row],[Lean_mass_g]]/Data6[[#This Row],[Total_mass_g]])*100</f>
        <v>72.000000000000014</v>
      </c>
      <c r="V129" s="21"/>
      <c r="W129" s="21">
        <v>2.31</v>
      </c>
      <c r="X129" s="21">
        <f>[83]Glucose!$E$4</f>
        <v>5.1849999999999996</v>
      </c>
      <c r="Y129" s="21">
        <f>[92]Insulin!$I9</f>
        <v>16.584499999999998</v>
      </c>
      <c r="Z129" s="21">
        <f>(Data6[[#This Row],[Glucose (mmol/L)]]*Data6[[#This Row],[Insulin (umol/L)]])/22.5</f>
        <v>3.8218058888888886</v>
      </c>
      <c r="AA129" s="21">
        <f>[92]NEFA!$F$5</f>
        <v>639.5</v>
      </c>
      <c r="AB129" s="21">
        <f>[92]TAG!$I$6</f>
        <v>1255.5999999999999</v>
      </c>
      <c r="AC129" s="21">
        <f>'[92]Ranbut 3-OHB'!$F$5</f>
        <v>43.2</v>
      </c>
      <c r="AD129" s="21">
        <f>'[92]Apo B, HDL, Cholesterol, ALT'!$C$6</f>
        <v>3.98</v>
      </c>
      <c r="AE129" s="21">
        <f>'[92]Apo B, HDL, Cholesterol, ALT'!$J$6</f>
        <v>0.98</v>
      </c>
      <c r="AF129" s="21">
        <f>Data6[[#This Row],[total_chol (umol/L)]]-Data6[[#This Row],[HDL_chol (umol/L)]]</f>
        <v>3</v>
      </c>
      <c r="AG129" s="21">
        <f>Data6[[#This Row],[Non_HDL (umol/L)]]-(Data6[[#This Row],[TAG (umol/L)]]/2200)</f>
        <v>2.4292727272727275</v>
      </c>
      <c r="AH129" s="21">
        <f>'[93]calculations and TAG concs'!$H$4</f>
        <v>716.1268275000001</v>
      </c>
      <c r="AI129" s="54">
        <v>2.6187527873265323E-3</v>
      </c>
      <c r="AJ129" s="21">
        <f>[86]dnl!$E$3</f>
        <v>6.1899547933444108</v>
      </c>
      <c r="AK129" s="23">
        <f>(Data6[[#This Row],[DNL (%)]]/100)*Data6[[#This Row],[VLDL (umol/L)]]</f>
        <v>44.327926885261512</v>
      </c>
      <c r="AL129" s="21">
        <f>[4]SAMPLES!$L$201</f>
        <v>25.230018513577413</v>
      </c>
      <c r="AM129" s="61">
        <f>(Data6[[#This Row],[Gluconeogensis (%)]]/100)*Data6[[#This Row],[Glucose (mmol/L)]]</f>
        <v>1.3081764599289887</v>
      </c>
      <c r="AN129" s="61">
        <f>Data6[[#This Row],[Glucose (mmol/L)]]-Data6[[#This Row],[Gluconeogenesis (mmol/L)]]</f>
        <v>3.8768235400710109</v>
      </c>
      <c r="AO129" s="61" t="s">
        <v>536</v>
      </c>
    </row>
    <row r="130" spans="1:42" s="19" customFormat="1" x14ac:dyDescent="0.25">
      <c r="A130" s="19">
        <v>213</v>
      </c>
      <c r="B130" s="19" t="s">
        <v>307</v>
      </c>
      <c r="C130" s="19" t="s">
        <v>250</v>
      </c>
      <c r="D130" s="19">
        <v>1</v>
      </c>
      <c r="E130" s="19" t="s">
        <v>318</v>
      </c>
      <c r="G130" s="19" t="s">
        <v>228</v>
      </c>
      <c r="H130" s="19">
        <f>'[82]Dipagloflozin Arm'!$G$7</f>
        <v>51</v>
      </c>
      <c r="K130" s="19">
        <v>182.50000000000003</v>
      </c>
      <c r="L130" s="19">
        <f>'[82]Dipagloflozin Arm'!$G$5</f>
        <v>114.4</v>
      </c>
      <c r="M130" s="20">
        <f>L130/((K130/100)*(K130/100))</f>
        <v>34.347907674985919</v>
      </c>
      <c r="P130" s="21" t="e">
        <f>Data6[[#This Row],[Waist_Circumference]]/Data6[[#This Row],[Hip_circumference]]</f>
        <v>#DIV/0!</v>
      </c>
      <c r="Q130" s="22">
        <v>29800</v>
      </c>
      <c r="R130" s="22">
        <v>80308.800000000017</v>
      </c>
      <c r="S130" s="22">
        <f>Q130+R130</f>
        <v>110108.80000000002</v>
      </c>
      <c r="T130" s="21">
        <f>(Data6[[#This Row],[Total_fat_g]]/Data6[[#This Row],[Total_mass_g]])*100</f>
        <v>27.064140195878984</v>
      </c>
      <c r="U130" s="21">
        <f>(Data6[[#This Row],[Lean_mass_g]]/Data6[[#This Row],[Total_mass_g]])*100</f>
        <v>72.935859804121023</v>
      </c>
      <c r="V130" s="21"/>
      <c r="W130" s="21">
        <v>2.91</v>
      </c>
      <c r="X130" s="21">
        <f>[104]Glucose!$C6</f>
        <v>4.8239999999999998</v>
      </c>
      <c r="Y130" s="21">
        <f>[104]Insulin!$I9</f>
        <v>16.831</v>
      </c>
      <c r="Z130" s="21">
        <f>(Data6[[#This Row],[Glucose (mmol/L)]]*Data6[[#This Row],[Insulin (umol/L)]])/22.5</f>
        <v>3.6085663999999995</v>
      </c>
      <c r="AA130" s="21">
        <f>[104]NEFA!$C5</f>
        <v>558.79999999999995</v>
      </c>
      <c r="AB130" s="21">
        <f>[104]TAG!$I6</f>
        <v>473.2</v>
      </c>
      <c r="AC130" s="21">
        <f>'[104]Ranbut 3-OHB'!$C5</f>
        <v>487.5</v>
      </c>
      <c r="AD130" s="21">
        <f>'[104]Apo B, HDL, Cholesterol, ALT'!$C$6</f>
        <v>3.77</v>
      </c>
      <c r="AE130" s="21">
        <f>'[104]Apo B, HDL, Cholesterol, ALT'!$J$6</f>
        <v>1.1299999999999999</v>
      </c>
      <c r="AF130" s="21">
        <f>Data6[[#This Row],[total_chol (umol/L)]]-Data6[[#This Row],[HDL_chol (umol/L)]]</f>
        <v>2.64</v>
      </c>
      <c r="AG130" s="21">
        <f>Data6[[#This Row],[Non_HDL (umol/L)]]-(Data6[[#This Row],[TAG (umol/L)]]/2200)</f>
        <v>2.4249090909090909</v>
      </c>
      <c r="AH130" s="21">
        <f>[102]Lipoproteins!C$3</f>
        <v>227.22523124999995</v>
      </c>
      <c r="AI130" s="54">
        <v>3.8411568420929892E-3</v>
      </c>
      <c r="AJ130" s="21">
        <f>'[103]VLDL__DNL data DAPA'!C$20</f>
        <v>3.128087445007488</v>
      </c>
      <c r="AK130" s="23">
        <f>(Data6[[#This Row],[DNL (%)]]/100)*Data6[[#This Row],[VLDL (umol/L)]]</f>
        <v>7.1078039306204799</v>
      </c>
      <c r="AL130" s="21">
        <f>[4]SAMPLES!$L$209</f>
        <v>25.179658281493499</v>
      </c>
      <c r="AM130" s="61">
        <f>(Data6[[#This Row],[Gluconeogensis (%)]]/100)*Data6[[#This Row],[Glucose (mmol/L)]]</f>
        <v>1.2146667154992463</v>
      </c>
      <c r="AN130" s="61">
        <f>Data6[[#This Row],[Glucose (mmol/L)]]-Data6[[#This Row],[Gluconeogenesis (mmol/L)]]</f>
        <v>3.6093332845007535</v>
      </c>
      <c r="AO130" s="61" t="s">
        <v>536</v>
      </c>
    </row>
    <row r="131" spans="1:42" s="19" customFormat="1" x14ac:dyDescent="0.25">
      <c r="A131" s="23">
        <v>7</v>
      </c>
      <c r="B131" s="23" t="s">
        <v>38</v>
      </c>
      <c r="C131" s="23" t="s">
        <v>32</v>
      </c>
      <c r="D131" s="23"/>
      <c r="E131" s="23"/>
      <c r="F131" s="23">
        <v>4159</v>
      </c>
      <c r="G131" s="23" t="s">
        <v>227</v>
      </c>
      <c r="H131" s="26">
        <v>44.6</v>
      </c>
      <c r="I131" s="23" t="s">
        <v>146</v>
      </c>
      <c r="J131" s="23"/>
      <c r="K131" s="23">
        <v>170</v>
      </c>
      <c r="L131" s="23">
        <v>88.5</v>
      </c>
      <c r="M131" s="24">
        <f>L131/((K131/100)*(K131/100))</f>
        <v>30.62283737024222</v>
      </c>
      <c r="N131" s="23">
        <v>94</v>
      </c>
      <c r="O131" s="23">
        <v>110</v>
      </c>
      <c r="P131" s="25">
        <f>Data6[[#This Row],[Waist_Circumference]]/Data6[[#This Row],[Hip_circumference]]</f>
        <v>0.8545454545454545</v>
      </c>
      <c r="Q131" s="26">
        <f>'[1]Anthro data'!$H$27</f>
        <v>39871</v>
      </c>
      <c r="R131" s="26">
        <f>'[1]Anthro data'!$H$28</f>
        <v>44838</v>
      </c>
      <c r="S131" s="26">
        <f>Q131+R131</f>
        <v>84709</v>
      </c>
      <c r="T131" s="25">
        <f>(Data6[[#This Row],[Total_fat_g]]/Data6[[#This Row],[Total_mass_g]])*100</f>
        <v>47.068198184372378</v>
      </c>
      <c r="U131" s="25">
        <f>(Data6[[#This Row],[Lean_mass_g]]/Data6[[#This Row],[Total_mass_g]])*100</f>
        <v>52.931801815627622</v>
      </c>
      <c r="V131" s="25">
        <v>1419</v>
      </c>
      <c r="W131" s="25">
        <v>6.8365685660000004</v>
      </c>
      <c r="X131" s="25">
        <f>[1]Glucose!$H$3</f>
        <v>5.4260000000000002</v>
      </c>
      <c r="Y131" s="25">
        <f>'[1]Insulin+HOMA'!$H$3</f>
        <v>17.267499999999998</v>
      </c>
      <c r="Z131" s="21">
        <f>(Data6[[#This Row],[Glucose (mmol/L)]]*Data6[[#This Row],[Insulin (umol/L)]])/22.5</f>
        <v>4.164153555555556</v>
      </c>
      <c r="AA131" s="25">
        <f>[1]NEFA!$H$3</f>
        <v>661.4</v>
      </c>
      <c r="AB131" s="25">
        <f>[1]TAG!$H$3</f>
        <v>1728.3</v>
      </c>
      <c r="AC131" s="25">
        <f>'[1]3-OHB'!$H$3</f>
        <v>61</v>
      </c>
      <c r="AD131" s="25">
        <f>'[10]Basal ApoB,Chol,HDL,ALT'!$F$2</f>
        <v>5.51</v>
      </c>
      <c r="AE131" s="25">
        <f>'[10]Basal ApoB,Chol,HDL,ALT'!$J$2</f>
        <v>1.22</v>
      </c>
      <c r="AF131" s="25">
        <f>Data6[[#This Row],[total_chol (umol/L)]]-Data6[[#This Row],[HDL_chol (umol/L)]]</f>
        <v>4.29</v>
      </c>
      <c r="AG131" s="25">
        <f>Data6[[#This Row],[Non_HDL (umol/L)]]-(Data6[[#This Row],[TAG (umol/L)]]/2200)</f>
        <v>3.5044090909090908</v>
      </c>
      <c r="AH131" s="25">
        <v>1057.8480825000006</v>
      </c>
      <c r="AI131" s="49">
        <f>[3]NT7!$B$3</f>
        <v>3.9641362346790054E-3</v>
      </c>
      <c r="AJ131" s="25">
        <f>[1]DNL_160!$H$5</f>
        <v>10.806078208402106</v>
      </c>
      <c r="AK131" s="23">
        <f>(Data6[[#This Row],[DNL (%)]]/100)*Data6[[#This Row],[VLDL (umol/L)]]</f>
        <v>114.3118911210321</v>
      </c>
      <c r="AL131" s="25">
        <f>[4]SAMPLES!$L$9</f>
        <v>16.7425721248065</v>
      </c>
      <c r="AM131" s="55">
        <f>(Data6[[#This Row],[Gluconeogensis (%)]]/100)*Data6[[#This Row],[Glucose (mmol/L)]]</f>
        <v>0.90845196349200075</v>
      </c>
      <c r="AN131" s="61">
        <f>Data6[[#This Row],[Glucose (mmol/L)]]-Data6[[#This Row],[Gluconeogenesis (mmol/L)]]</f>
        <v>4.5175480365079999</v>
      </c>
      <c r="AO131" s="61" t="s">
        <v>536</v>
      </c>
      <c r="AP131" s="23"/>
    </row>
    <row r="132" spans="1:42" s="19" customFormat="1" x14ac:dyDescent="0.25">
      <c r="A132" s="15">
        <v>33</v>
      </c>
      <c r="B132" s="15" t="s">
        <v>73</v>
      </c>
      <c r="C132" s="15" t="s">
        <v>74</v>
      </c>
      <c r="D132" s="15" t="s">
        <v>386</v>
      </c>
      <c r="E132" s="15"/>
      <c r="F132" s="15">
        <v>4896</v>
      </c>
      <c r="G132" s="15" t="s">
        <v>228</v>
      </c>
      <c r="H132" s="15">
        <v>47</v>
      </c>
      <c r="I132" s="15" t="s">
        <v>229</v>
      </c>
      <c r="J132" s="15"/>
      <c r="K132" s="15">
        <v>178</v>
      </c>
      <c r="L132" s="15">
        <v>84.7</v>
      </c>
      <c r="M132" s="16">
        <f>L132/((K132/100)*(K132/100))</f>
        <v>26.732735765686151</v>
      </c>
      <c r="N132" s="15">
        <v>98</v>
      </c>
      <c r="O132" s="15">
        <v>100</v>
      </c>
      <c r="P132" s="17">
        <f>Data6[[#This Row],[Waist_Circumference]]/Data6[[#This Row],[Hip_circumference]]</f>
        <v>0.98</v>
      </c>
      <c r="Q132" s="18">
        <f>'[1]Anthro data'!$AH$27</f>
        <v>22676</v>
      </c>
      <c r="R132" s="18">
        <f>'[1]Anthro data'!$AH$28</f>
        <v>58393</v>
      </c>
      <c r="S132" s="18">
        <f>Q132+R132</f>
        <v>81069</v>
      </c>
      <c r="T132" s="17">
        <f>(Data6[[#This Row],[Total_fat_g]]/Data6[[#This Row],[Total_mass_g]])*100</f>
        <v>27.971234380589376</v>
      </c>
      <c r="U132" s="17">
        <f>(Data6[[#This Row],[Lean_mass_g]]/Data6[[#This Row],[Total_mass_g]])*100</f>
        <v>72.028765619410635</v>
      </c>
      <c r="V132" s="17">
        <v>1461</v>
      </c>
      <c r="W132" s="17">
        <v>14.335920339999999</v>
      </c>
      <c r="X132" s="17">
        <f>[1]Glucose!$AH$3</f>
        <v>5.6040000000000001</v>
      </c>
      <c r="Y132" s="17">
        <f>'[1]Insulin+HOMA'!$AH$3</f>
        <v>17.465499999999999</v>
      </c>
      <c r="Z132" s="21">
        <f>(Data6[[#This Row],[Glucose (mmol/L)]]*Data6[[#This Row],[Insulin (umol/L)]])/22.5</f>
        <v>4.3500738666666665</v>
      </c>
      <c r="AA132" s="17">
        <f>[1]NEFA!$AH$3</f>
        <v>218.1</v>
      </c>
      <c r="AB132" s="17">
        <f>[1]TAG!$AH$3</f>
        <v>1904.6</v>
      </c>
      <c r="AC132" s="17">
        <f>'[1]3-OHB'!$AH$3</f>
        <v>20.8</v>
      </c>
      <c r="AD132" s="17">
        <f>'[37]Apo B, HDL, Cholesterol, ALT'!$F$6</f>
        <v>5.57</v>
      </c>
      <c r="AE132" s="17">
        <f>'[37]Apo B, HDL, Cholesterol, ALT'!$M$6</f>
        <v>1.03</v>
      </c>
      <c r="AF132" s="17">
        <f>Data6[[#This Row],[total_chol (umol/L)]]-Data6[[#This Row],[HDL_chol (umol/L)]]</f>
        <v>4.54</v>
      </c>
      <c r="AG132" s="17">
        <f>Data6[[#This Row],[Non_HDL (umol/L)]]-(Data6[[#This Row],[TAG (umol/L)]]/2200)</f>
        <v>3.6742727272727276</v>
      </c>
      <c r="AH132" s="17">
        <v>1516.1566875000003</v>
      </c>
      <c r="AI132" s="50">
        <f>'[28]plasma H2O'!$L$4</f>
        <v>3.0252370623537273E-3</v>
      </c>
      <c r="AJ132" s="17">
        <f>[1]DNL_160!$AH$5</f>
        <v>18.691324817188438</v>
      </c>
      <c r="AK132" s="23">
        <f>(Data6[[#This Row],[DNL (%)]]/100)*Data6[[#This Row],[VLDL (umol/L)]]</f>
        <v>283.38977119814967</v>
      </c>
      <c r="AL132" s="17">
        <f>[4]SAMPLES!$L$52</f>
        <v>26.510622534428052</v>
      </c>
      <c r="AM132" s="56">
        <f>(Data6[[#This Row],[Gluconeogensis (%)]]/100)*Data6[[#This Row],[Glucose (mmol/L)]]</f>
        <v>1.485655286829348</v>
      </c>
      <c r="AN132" s="61">
        <f>Data6[[#This Row],[Glucose (mmol/L)]]-Data6[[#This Row],[Gluconeogenesis (mmol/L)]]</f>
        <v>4.1183447131706519</v>
      </c>
      <c r="AO132" s="61" t="s">
        <v>536</v>
      </c>
      <c r="AP132" s="15"/>
    </row>
    <row r="133" spans="1:42" s="19" customFormat="1" x14ac:dyDescent="0.25">
      <c r="A133" s="19">
        <v>209</v>
      </c>
      <c r="B133" s="19" t="s">
        <v>257</v>
      </c>
      <c r="C133" s="19" t="s">
        <v>250</v>
      </c>
      <c r="D133" s="19">
        <v>1</v>
      </c>
      <c r="E133" s="19" t="s">
        <v>228</v>
      </c>
      <c r="G133" s="19" t="s">
        <v>227</v>
      </c>
      <c r="H133" s="19">
        <f>'[82]Metformin Arm '!$AE$7</f>
        <v>48</v>
      </c>
      <c r="K133" s="19">
        <v>152.5</v>
      </c>
      <c r="L133" s="19">
        <f>'[82]Metformin Arm '!$AE$5</f>
        <v>80.599999999999994</v>
      </c>
      <c r="M133" s="20">
        <f>L133/((K133/100)*(K133/100))</f>
        <v>34.657350174684225</v>
      </c>
      <c r="P133" s="21" t="e">
        <f>Data6[[#This Row],[Waist_Circumference]]/Data6[[#This Row],[Hip_circumference]]</f>
        <v>#DIV/0!</v>
      </c>
      <c r="Q133" s="22">
        <v>30547.399999999998</v>
      </c>
      <c r="R133" s="22">
        <v>50052.6</v>
      </c>
      <c r="S133" s="22">
        <f>Q133+R133</f>
        <v>80600</v>
      </c>
      <c r="T133" s="21">
        <f>(Data6[[#This Row],[Total_fat_g]]/Data6[[#This Row],[Total_mass_g]])*100</f>
        <v>37.899999999999991</v>
      </c>
      <c r="U133" s="21">
        <f>(Data6[[#This Row],[Lean_mass_g]]/Data6[[#This Row],[Total_mass_g]])*100</f>
        <v>62.1</v>
      </c>
      <c r="V133" s="21"/>
      <c r="W133" s="21">
        <v>7.87</v>
      </c>
      <c r="X133" s="21">
        <f>[83]Glucose!$I$4</f>
        <v>5.9509999999999996</v>
      </c>
      <c r="Y133" s="21">
        <f>[97]Insulin!$I9</f>
        <v>17.602499999999999</v>
      </c>
      <c r="Z133" s="21">
        <f>(Data6[[#This Row],[Glucose (mmol/L)]]*Data6[[#This Row],[Insulin (umol/L)]])/22.5</f>
        <v>4.6556656666666658</v>
      </c>
      <c r="AA133" s="21">
        <f>[97]NEFA!$C5</f>
        <v>1042.7</v>
      </c>
      <c r="AB133" s="21">
        <f>[97]TAG!$I6</f>
        <v>2530.5</v>
      </c>
      <c r="AC133" s="21">
        <f>'[97]Ranbut 3-OHB'!$C5</f>
        <v>119.3</v>
      </c>
      <c r="AD133" s="21">
        <f>'[97]Apo B, HDL, Cholesterol, ALT'!$C$6</f>
        <v>6.07</v>
      </c>
      <c r="AE133" s="21">
        <f>'[97]Apo B, HDL, Cholesterol, ALT'!$J$6</f>
        <v>1</v>
      </c>
      <c r="AF133" s="21">
        <f>Data6[[#This Row],[total_chol (umol/L)]]-Data6[[#This Row],[HDL_chol (umol/L)]]</f>
        <v>5.07</v>
      </c>
      <c r="AG133" s="21">
        <f>Data6[[#This Row],[Non_HDL (umol/L)]]-(Data6[[#This Row],[TAG (umol/L)]]/2200)</f>
        <v>3.9197727272727274</v>
      </c>
      <c r="AH133" s="21">
        <f>[83]Lipoproteins!$I$3</f>
        <v>1715.171955</v>
      </c>
      <c r="AI133" s="54">
        <v>4.5606431345139309E-3</v>
      </c>
      <c r="AJ133" s="21">
        <f>[86]dnl!$I$3</f>
        <v>8.3944771776661451</v>
      </c>
      <c r="AK133" s="23">
        <f>(Data6[[#This Row],[DNL (%)]]/100)*Data6[[#This Row],[VLDL (umol/L)]]</f>
        <v>143.97971832020522</v>
      </c>
      <c r="AL133" s="21">
        <f>[4]SAMPLES!$L$205</f>
        <v>14.578926059947294</v>
      </c>
      <c r="AM133" s="61">
        <f>(Data6[[#This Row],[Gluconeogensis (%)]]/100)*Data6[[#This Row],[Glucose (mmol/L)]]</f>
        <v>0.86759188982746349</v>
      </c>
      <c r="AN133" s="61">
        <f>Data6[[#This Row],[Glucose (mmol/L)]]-Data6[[#This Row],[Gluconeogenesis (mmol/L)]]</f>
        <v>5.0834081101725364</v>
      </c>
      <c r="AO133" s="61" t="s">
        <v>536</v>
      </c>
    </row>
    <row r="134" spans="1:42" s="19" customFormat="1" x14ac:dyDescent="0.25">
      <c r="A134" s="15">
        <v>31</v>
      </c>
      <c r="B134" s="15" t="s">
        <v>69</v>
      </c>
      <c r="C134" s="15" t="s">
        <v>70</v>
      </c>
      <c r="D134" s="15" t="s">
        <v>386</v>
      </c>
      <c r="E134" s="15"/>
      <c r="F134" s="15">
        <v>3118</v>
      </c>
      <c r="G134" s="15" t="s">
        <v>228</v>
      </c>
      <c r="H134" s="15">
        <v>47</v>
      </c>
      <c r="I134" s="15" t="s">
        <v>146</v>
      </c>
      <c r="J134" s="15"/>
      <c r="K134" s="15">
        <v>177</v>
      </c>
      <c r="L134" s="15">
        <v>95</v>
      </c>
      <c r="M134" s="16">
        <f>L134/((K134/100)*(K134/100))</f>
        <v>30.323342589932647</v>
      </c>
      <c r="N134" s="15">
        <v>100</v>
      </c>
      <c r="O134" s="15">
        <v>107</v>
      </c>
      <c r="P134" s="17">
        <f>Data6[[#This Row],[Waist_Circumference]]/Data6[[#This Row],[Hip_circumference]]</f>
        <v>0.93457943925233644</v>
      </c>
      <c r="Q134" s="18">
        <f>'[1]Anthro data'!$AF$27</f>
        <v>30657.259995050001</v>
      </c>
      <c r="R134" s="18">
        <f>'[1]Anthro data'!$AF$28</f>
        <v>61946.508388278002</v>
      </c>
      <c r="S134" s="18">
        <f>Q134+R134</f>
        <v>92603.768383328003</v>
      </c>
      <c r="T134" s="17">
        <f>(Data6[[#This Row],[Total_fat_g]]/Data6[[#This Row],[Total_mass_g]])*100</f>
        <v>33.105844967502861</v>
      </c>
      <c r="U134" s="17">
        <f>(Data6[[#This Row],[Lean_mass_g]]/Data6[[#This Row],[Total_mass_g]])*100</f>
        <v>66.894155032497139</v>
      </c>
      <c r="V134" s="17">
        <v>2022.2772500000001</v>
      </c>
      <c r="W134" s="17">
        <v>8.8000000000000007</v>
      </c>
      <c r="X134" s="17">
        <f>[1]Glucose!$AF$3</f>
        <v>5.798</v>
      </c>
      <c r="Y134" s="17">
        <f>'[1]Insulin+HOMA'!$AF$3</f>
        <v>17.843499999999999</v>
      </c>
      <c r="Z134" s="21">
        <f>(Data6[[#This Row],[Glucose (mmol/L)]]*Data6[[#This Row],[Insulin (umol/L)]])/22.5</f>
        <v>4.5980716888888882</v>
      </c>
      <c r="AA134" s="17">
        <f>[1]NEFA!$AF$3</f>
        <v>465</v>
      </c>
      <c r="AB134" s="17">
        <f>[1]TAG!$AF$3</f>
        <v>3914.1</v>
      </c>
      <c r="AC134" s="17">
        <f>'[1]3-OHB'!$AF$3</f>
        <v>46.9</v>
      </c>
      <c r="AD134" s="17">
        <f>'[35]Apo B, HDL, Cholesterol, ALT'!$F$6</f>
        <v>5.47</v>
      </c>
      <c r="AE134" s="17">
        <f>'[35]Apo B, HDL, Cholesterol, ALT'!$M$6</f>
        <v>0.88</v>
      </c>
      <c r="AF134" s="17">
        <f>Data6[[#This Row],[total_chol (umol/L)]]-Data6[[#This Row],[HDL_chol (umol/L)]]</f>
        <v>4.59</v>
      </c>
      <c r="AG134" s="17">
        <f>Data6[[#This Row],[Non_HDL (umol/L)]]-(Data6[[#This Row],[TAG (umol/L)]]/2200)</f>
        <v>2.8108636363636363</v>
      </c>
      <c r="AH134" s="17">
        <v>1490.8384124999998</v>
      </c>
      <c r="AI134" s="50">
        <f>'[28]plasma H2O'!$J$4</f>
        <v>3.2265105003723687E-3</v>
      </c>
      <c r="AJ134" s="17">
        <f>[1]DNL_160!$AF$5</f>
        <v>10.653186464508865</v>
      </c>
      <c r="AK134" s="23">
        <f>(Data6[[#This Row],[DNL (%)]]/100)*Data6[[#This Row],[VLDL (umol/L)]]</f>
        <v>158.82179596814882</v>
      </c>
      <c r="AL134" s="17">
        <f>[4]SAMPLES!$L$50</f>
        <v>37.967195062669582</v>
      </c>
      <c r="AM134" s="56">
        <f>(Data6[[#This Row],[Gluconeogensis (%)]]/100)*Data6[[#This Row],[Glucose (mmol/L)]]</f>
        <v>2.2013379697335824</v>
      </c>
      <c r="AN134" s="61">
        <f>Data6[[#This Row],[Glucose (mmol/L)]]-Data6[[#This Row],[Gluconeogenesis (mmol/L)]]</f>
        <v>3.5966620302664176</v>
      </c>
      <c r="AO134" s="61" t="s">
        <v>536</v>
      </c>
      <c r="AP134" s="15"/>
    </row>
    <row r="135" spans="1:42" s="19" customFormat="1" x14ac:dyDescent="0.25">
      <c r="A135" s="19">
        <v>202</v>
      </c>
      <c r="B135" s="19" t="s">
        <v>249</v>
      </c>
      <c r="C135" s="19" t="s">
        <v>250</v>
      </c>
      <c r="D135" s="19">
        <v>1</v>
      </c>
      <c r="E135" s="19" t="s">
        <v>228</v>
      </c>
      <c r="G135" s="19" t="s">
        <v>227</v>
      </c>
      <c r="H135" s="19">
        <f>'[82]Metformin Arm '!$C$7</f>
        <v>55</v>
      </c>
      <c r="K135" s="19">
        <v>164.5</v>
      </c>
      <c r="L135" s="19">
        <f>'[82]Metformin Arm '!$C$5</f>
        <v>95.7</v>
      </c>
      <c r="M135" s="20">
        <f>L135/((K135/100)*(K135/100))</f>
        <v>35.365526926026185</v>
      </c>
      <c r="P135" s="21" t="e">
        <f>Data6[[#This Row],[Waist_Circumference]]/Data6[[#This Row],[Hip_circumference]]</f>
        <v>#DIV/0!</v>
      </c>
      <c r="Q135" s="22">
        <v>44213.400000000009</v>
      </c>
      <c r="R135" s="22">
        <v>51486.600000000006</v>
      </c>
      <c r="S135" s="22">
        <f>Q135+R135</f>
        <v>95700.000000000015</v>
      </c>
      <c r="T135" s="21">
        <f>(Data6[[#This Row],[Total_fat_g]]/Data6[[#This Row],[Total_mass_g]])*100</f>
        <v>46.2</v>
      </c>
      <c r="U135" s="21">
        <f>(Data6[[#This Row],[Lean_mass_g]]/Data6[[#This Row],[Total_mass_g]])*100</f>
        <v>53.800000000000004</v>
      </c>
      <c r="V135" s="21"/>
      <c r="W135" s="21">
        <v>6.73</v>
      </c>
      <c r="X135" s="21">
        <f>[83]Glucose!$B$4</f>
        <v>5.4029999999999996</v>
      </c>
      <c r="Y135" s="21">
        <f>[84]Insulin!$I9</f>
        <v>18.9145</v>
      </c>
      <c r="Z135" s="21">
        <f>(Data6[[#This Row],[Glucose (mmol/L)]]*Data6[[#This Row],[Insulin (umol/L)]])/22.5</f>
        <v>4.5420019333333332</v>
      </c>
      <c r="AA135" s="21">
        <f>[84]NEFA!$F$5</f>
        <v>633.4</v>
      </c>
      <c r="AB135" s="21">
        <f>[84]TAG!$I$6</f>
        <v>365</v>
      </c>
      <c r="AC135" s="21">
        <f>'[84]Ranbut 3-OHB'!$F$5</f>
        <v>78.099999999999994</v>
      </c>
      <c r="AD135" s="21">
        <f>'[84]Apo B, HDL, Cholesterol, ALT'!$C$6</f>
        <v>4.0199999999999996</v>
      </c>
      <c r="AE135" s="21">
        <f>'[84]Apo B, HDL, Cholesterol, ALT'!$J$6</f>
        <v>1.74</v>
      </c>
      <c r="AF135" s="21">
        <f>Data6[[#This Row],[total_chol (umol/L)]]-Data6[[#This Row],[HDL_chol (umol/L)]]</f>
        <v>2.2799999999999994</v>
      </c>
      <c r="AG135" s="21">
        <f>Data6[[#This Row],[Non_HDL (umol/L)]]-(Data6[[#This Row],[TAG (umol/L)]]/2200)</f>
        <v>2.1140909090909084</v>
      </c>
      <c r="AH135" s="21">
        <f>'[85]calculations and TAG concs'!$H$4</f>
        <v>98.905829999999995</v>
      </c>
      <c r="AI135" s="54">
        <v>3.6464100390296524E-3</v>
      </c>
      <c r="AJ135" s="21">
        <f>[86]dnl!$B$3</f>
        <v>7.4843289396458808</v>
      </c>
      <c r="AK135" s="23">
        <f>(Data6[[#This Row],[DNL (%)]]/100)*Data6[[#This Row],[VLDL (umol/L)]]</f>
        <v>7.4024376576869564</v>
      </c>
      <c r="AL135" s="21">
        <f>[4]SAMPLES!$L$198</f>
        <v>26.026352756870995</v>
      </c>
      <c r="AM135" s="61">
        <f>(Data6[[#This Row],[Gluconeogensis (%)]]/100)*Data6[[#This Row],[Glucose (mmol/L)]]</f>
        <v>1.4062038394537397</v>
      </c>
      <c r="AN135" s="61">
        <f>Data6[[#This Row],[Glucose (mmol/L)]]-Data6[[#This Row],[Gluconeogenesis (mmol/L)]]</f>
        <v>3.9967961605462596</v>
      </c>
      <c r="AO135" s="61" t="s">
        <v>536</v>
      </c>
    </row>
    <row r="136" spans="1:42" s="19" customFormat="1" x14ac:dyDescent="0.25">
      <c r="A136" s="15">
        <v>26</v>
      </c>
      <c r="B136" s="15" t="s">
        <v>59</v>
      </c>
      <c r="C136" s="15" t="s">
        <v>60</v>
      </c>
      <c r="D136" s="15" t="s">
        <v>386</v>
      </c>
      <c r="E136" s="15"/>
      <c r="F136" s="15">
        <v>5144</v>
      </c>
      <c r="G136" s="15" t="s">
        <v>228</v>
      </c>
      <c r="H136" s="15">
        <v>37</v>
      </c>
      <c r="I136" s="15" t="s">
        <v>146</v>
      </c>
      <c r="J136" s="15"/>
      <c r="K136" s="15">
        <v>177</v>
      </c>
      <c r="L136" s="15">
        <v>90.6</v>
      </c>
      <c r="M136" s="16">
        <f>L136/((K136/100)*(K136/100))</f>
        <v>28.918893038398924</v>
      </c>
      <c r="N136" s="15">
        <v>96</v>
      </c>
      <c r="O136" s="15">
        <v>104</v>
      </c>
      <c r="P136" s="17">
        <f>Data6[[#This Row],[Waist_Circumference]]/Data6[[#This Row],[Hip_circumference]]</f>
        <v>0.92307692307692313</v>
      </c>
      <c r="Q136" s="18">
        <f>'[1]Anthro data'!$AA$27</f>
        <v>25557</v>
      </c>
      <c r="R136" s="18">
        <f>'[1]Anthro data'!$AA$28</f>
        <v>60377</v>
      </c>
      <c r="S136" s="18">
        <f>Q136+R136</f>
        <v>85934</v>
      </c>
      <c r="T136" s="17">
        <f>(Data6[[#This Row],[Total_fat_g]]/Data6[[#This Row],[Total_mass_g]])*100</f>
        <v>29.74026578537017</v>
      </c>
      <c r="U136" s="17">
        <f>(Data6[[#This Row],[Lean_mass_g]]/Data6[[#This Row],[Total_mass_g]])*100</f>
        <v>70.25973421462983</v>
      </c>
      <c r="V136" s="17">
        <v>1689</v>
      </c>
      <c r="W136" s="17">
        <v>17.399999999999999</v>
      </c>
      <c r="X136" s="17">
        <f>[1]Glucose!$AA$3</f>
        <v>5.4779999999999998</v>
      </c>
      <c r="Y136" s="17">
        <f>'[1]Insulin+HOMA'!$AA$3</f>
        <v>19.772500000000001</v>
      </c>
      <c r="Z136" s="21">
        <f>(Data6[[#This Row],[Glucose (mmol/L)]]*Data6[[#This Row],[Insulin (umol/L)]])/22.5</f>
        <v>4.813944666666667</v>
      </c>
      <c r="AA136" s="17">
        <f>[1]NEFA!$AA$3</f>
        <v>377.2</v>
      </c>
      <c r="AB136" s="17">
        <f>[1]TAG!$AA$3</f>
        <v>1815.1000000000001</v>
      </c>
      <c r="AC136" s="17">
        <f>'[1]3-OHB'!$AA$3</f>
        <v>34.799999999999997</v>
      </c>
      <c r="AD136" s="17">
        <f>'[30]Apo B, HDL, Cholesterol, ALT'!$F$6</f>
        <v>5.89</v>
      </c>
      <c r="AE136" s="17">
        <f>'[30]Apo B, HDL, Cholesterol, ALT'!$M$6</f>
        <v>1.31</v>
      </c>
      <c r="AF136" s="17">
        <f>Data6[[#This Row],[total_chol (umol/L)]]-Data6[[#This Row],[HDL_chol (umol/L)]]</f>
        <v>4.58</v>
      </c>
      <c r="AG136" s="17">
        <f>Data6[[#This Row],[Non_HDL (umol/L)]]-(Data6[[#This Row],[TAG (umol/L)]]/2200)</f>
        <v>3.7549545454545452</v>
      </c>
      <c r="AH136" s="17">
        <v>1005.6066075</v>
      </c>
      <c r="AI136" s="50">
        <f>'[28]plasma H2O'!$E$4</f>
        <v>2.4605799535627158E-3</v>
      </c>
      <c r="AJ136" s="17">
        <f>[1]DNL_160!$AA$5</f>
        <v>3.8404232782665657</v>
      </c>
      <c r="AK136" s="23">
        <f>(Data6[[#This Row],[DNL (%)]]/100)*Data6[[#This Row],[VLDL (umol/L)]]</f>
        <v>38.619550242216697</v>
      </c>
      <c r="AL136" s="64">
        <f>[4]SAMPLES!$L$271</f>
        <v>45.720575388202725</v>
      </c>
      <c r="AM136" s="56">
        <f>(Data6[[#This Row],[Gluconeogensis (%)]]/100)*Data6[[#This Row],[Glucose (mmol/L)]]</f>
        <v>2.5045731197657455</v>
      </c>
      <c r="AN136" s="61">
        <f>Data6[[#This Row],[Glucose (mmol/L)]]-Data6[[#This Row],[Gluconeogenesis (mmol/L)]]</f>
        <v>2.9734268802342543</v>
      </c>
      <c r="AO136" s="61" t="s">
        <v>536</v>
      </c>
      <c r="AP136" s="15"/>
    </row>
    <row r="137" spans="1:42" s="19" customFormat="1" x14ac:dyDescent="0.25">
      <c r="A137" s="15">
        <v>36</v>
      </c>
      <c r="B137" s="15" t="s">
        <v>79</v>
      </c>
      <c r="C137" s="15" t="s">
        <v>80</v>
      </c>
      <c r="D137" s="15" t="s">
        <v>386</v>
      </c>
      <c r="E137" s="15"/>
      <c r="F137" s="15">
        <v>2228</v>
      </c>
      <c r="G137" s="15" t="s">
        <v>228</v>
      </c>
      <c r="H137" s="15">
        <v>52</v>
      </c>
      <c r="I137" s="15" t="s">
        <v>146</v>
      </c>
      <c r="J137" s="15"/>
      <c r="K137" s="15">
        <v>182</v>
      </c>
      <c r="L137" s="15">
        <v>114.7</v>
      </c>
      <c r="M137" s="16">
        <f>L137/((K137/100)*(K137/100))</f>
        <v>34.627460451636274</v>
      </c>
      <c r="N137" s="15">
        <v>127</v>
      </c>
      <c r="O137" s="15">
        <v>121</v>
      </c>
      <c r="P137" s="17">
        <f>Data6[[#This Row],[Waist_Circumference]]/Data6[[#This Row],[Hip_circumference]]</f>
        <v>1.0495867768595042</v>
      </c>
      <c r="Q137" s="18">
        <f>'[1]Anthro data'!$AK$27</f>
        <v>52650.435560881997</v>
      </c>
      <c r="R137" s="18">
        <f>'[1]Anthro data'!$AK$28</f>
        <v>58426.35308157</v>
      </c>
      <c r="S137" s="18">
        <f>Q137+R137</f>
        <v>111076.788642452</v>
      </c>
      <c r="T137" s="17">
        <f>(Data6[[#This Row],[Total_fat_g]]/Data6[[#This Row],[Total_mass_g]])*100</f>
        <v>47.400033980420403</v>
      </c>
      <c r="U137" s="17">
        <f>(Data6[[#This Row],[Lean_mass_g]]/Data6[[#This Row],[Total_mass_g]])*100</f>
        <v>52.599966019579604</v>
      </c>
      <c r="V137" s="17">
        <v>3720.7962320000001</v>
      </c>
      <c r="W137" s="17">
        <v>22.410586169999998</v>
      </c>
      <c r="X137" s="17">
        <f>[1]Glucose!$AK$3</f>
        <v>6.093</v>
      </c>
      <c r="Y137" s="17">
        <f>'[1]Insulin+HOMA'!$AK$3</f>
        <v>20.111000000000001</v>
      </c>
      <c r="Z137" s="21">
        <f>(Data6[[#This Row],[Glucose (mmol/L)]]*Data6[[#This Row],[Insulin (umol/L)]])/22.5</f>
        <v>5.4460588000000003</v>
      </c>
      <c r="AA137" s="17">
        <f>[1]NEFA!$AK$3</f>
        <v>719.7</v>
      </c>
      <c r="AB137" s="17">
        <f>[1]TAG!$AK$3</f>
        <v>1788.8</v>
      </c>
      <c r="AC137" s="17">
        <f>'[1]3-OHB'!$AK$3</f>
        <v>204.1</v>
      </c>
      <c r="AD137" s="17">
        <f>'[40]Apo B, HDL, Cholesterol, ALT'!$F$6</f>
        <v>5.53</v>
      </c>
      <c r="AE137" s="17">
        <f>'[40]Apo B, HDL, Cholesterol, ALT'!$M$6</f>
        <v>0.99</v>
      </c>
      <c r="AF137" s="17">
        <f>Data6[[#This Row],[total_chol (umol/L)]]-Data6[[#This Row],[HDL_chol (umol/L)]]</f>
        <v>4.54</v>
      </c>
      <c r="AG137" s="17">
        <f>Data6[[#This Row],[Non_HDL (umol/L)]]-(Data6[[#This Row],[TAG (umol/L)]]/2200)</f>
        <v>3.7269090909090909</v>
      </c>
      <c r="AH137" s="17">
        <v>1069.25368875</v>
      </c>
      <c r="AI137" s="50">
        <f>'[28]plasma H2O'!$O$4</f>
        <v>3.9242687151871429E-3</v>
      </c>
      <c r="AJ137" s="17">
        <f>[1]DNL_160!$AK$5</f>
        <v>8.3091128816447632</v>
      </c>
      <c r="AK137" s="23">
        <f>(Data6[[#This Row],[DNL (%)]]/100)*Data6[[#This Row],[VLDL (umol/L)]]</f>
        <v>88.845495989388056</v>
      </c>
      <c r="AL137" s="17">
        <f>[4]SAMPLES!$L$55</f>
        <v>42.05978602036339</v>
      </c>
      <c r="AM137" s="56">
        <f>(Data6[[#This Row],[Gluconeogensis (%)]]/100)*Data6[[#This Row],[Glucose (mmol/L)]]</f>
        <v>2.562702762220741</v>
      </c>
      <c r="AN137" s="61">
        <f>Data6[[#This Row],[Glucose (mmol/L)]]-Data6[[#This Row],[Gluconeogenesis (mmol/L)]]</f>
        <v>3.530297237779259</v>
      </c>
      <c r="AO137" s="61" t="s">
        <v>536</v>
      </c>
      <c r="AP137" s="15"/>
    </row>
    <row r="138" spans="1:42" s="19" customFormat="1" x14ac:dyDescent="0.25">
      <c r="A138" s="23">
        <v>18</v>
      </c>
      <c r="B138" s="23" t="s">
        <v>49</v>
      </c>
      <c r="C138" s="23" t="s">
        <v>32</v>
      </c>
      <c r="D138" s="23"/>
      <c r="E138" s="23"/>
      <c r="F138" s="23">
        <v>4485</v>
      </c>
      <c r="G138" s="23" t="s">
        <v>227</v>
      </c>
      <c r="H138" s="26">
        <v>43.3</v>
      </c>
      <c r="I138" s="23" t="s">
        <v>146</v>
      </c>
      <c r="J138" s="23"/>
      <c r="K138" s="23">
        <v>168</v>
      </c>
      <c r="L138" s="23">
        <v>75.7</v>
      </c>
      <c r="M138" s="24">
        <f>L138/((K138/100)*(K138/100))</f>
        <v>26.821145124716558</v>
      </c>
      <c r="N138" s="23">
        <v>97</v>
      </c>
      <c r="O138" s="23">
        <v>106</v>
      </c>
      <c r="P138" s="25">
        <f>Data6[[#This Row],[Waist_Circumference]]/Data6[[#This Row],[Hip_circumference]]</f>
        <v>0.91509433962264153</v>
      </c>
      <c r="Q138" s="26">
        <f>'[1]Anthro data'!$S$27</f>
        <v>34565</v>
      </c>
      <c r="R138" s="26">
        <f>'[1]Anthro data'!$S$28</f>
        <v>39068</v>
      </c>
      <c r="S138" s="26">
        <f>Q138+R138</f>
        <v>73633</v>
      </c>
      <c r="T138" s="25">
        <f>(Data6[[#This Row],[Total_fat_g]]/Data6[[#This Row],[Total_mass_g]])*100</f>
        <v>46.942267733217442</v>
      </c>
      <c r="U138" s="25">
        <f>(Data6[[#This Row],[Lean_mass_g]]/Data6[[#This Row],[Total_mass_g]])*100</f>
        <v>53.057732266782551</v>
      </c>
      <c r="V138" s="25">
        <v>1318</v>
      </c>
      <c r="W138" s="25">
        <v>3.4098656510000001</v>
      </c>
      <c r="X138" s="25">
        <f>[1]Glucose!$S$3</f>
        <v>5.4589999999999996</v>
      </c>
      <c r="Y138" s="25">
        <f>'[1]Insulin+HOMA'!$S$3</f>
        <v>20.179000000000002</v>
      </c>
      <c r="Z138" s="21">
        <f>(Data6[[#This Row],[Glucose (mmol/L)]]*Data6[[#This Row],[Insulin (umol/L)]])/22.5</f>
        <v>4.8958738222222227</v>
      </c>
      <c r="AA138" s="25">
        <f>[1]NEFA!$S$3</f>
        <v>327.3</v>
      </c>
      <c r="AB138" s="25">
        <f>[1]TAG!$S$3</f>
        <v>1062.7</v>
      </c>
      <c r="AC138" s="25">
        <f>'[1]3-OHB'!$S$3</f>
        <v>23.5</v>
      </c>
      <c r="AD138" s="25">
        <f>'[21]Basal ApoB,Chol,HDL,ALT'!$F$2</f>
        <v>4.41</v>
      </c>
      <c r="AE138" s="25">
        <f>'[21]Basal ApoB,Chol,HDL,ALT'!$J$2</f>
        <v>1.17</v>
      </c>
      <c r="AF138" s="25">
        <f>Data6[[#This Row],[total_chol (umol/L)]]-Data6[[#This Row],[HDL_chol (umol/L)]]</f>
        <v>3.24</v>
      </c>
      <c r="AG138" s="25">
        <f>Data6[[#This Row],[Non_HDL (umol/L)]]-(Data6[[#This Row],[TAG (umol/L)]]/2200)</f>
        <v>2.7569545454545459</v>
      </c>
      <c r="AH138" s="25">
        <v>710.81276625000021</v>
      </c>
      <c r="AI138" s="49">
        <f>[3]NC18!$B$3</f>
        <v>3.5015461486800044E-3</v>
      </c>
      <c r="AJ138" s="25">
        <f>[1]DNL_160!$S$5</f>
        <v>24.460940734606055</v>
      </c>
      <c r="AK138" s="23">
        <f>(Data6[[#This Row],[DNL (%)]]/100)*Data6[[#This Row],[VLDL (umol/L)]]</f>
        <v>173.87148948642641</v>
      </c>
      <c r="AL138" s="63">
        <f>[4]SAMPLES!$L$20</f>
        <v>66.125111122083808</v>
      </c>
      <c r="AM138" s="55">
        <f>(Data6[[#This Row],[Gluconeogensis (%)]]/100)*Data6[[#This Row],[Glucose (mmol/L)]]</f>
        <v>3.6097698161545551</v>
      </c>
      <c r="AN138" s="61">
        <f>Data6[[#This Row],[Glucose (mmol/L)]]-Data6[[#This Row],[Gluconeogenesis (mmol/L)]]</f>
        <v>1.8492301838454446</v>
      </c>
      <c r="AO138" s="61" t="s">
        <v>536</v>
      </c>
      <c r="AP138" s="23"/>
    </row>
    <row r="139" spans="1:42" s="19" customFormat="1" x14ac:dyDescent="0.25">
      <c r="A139" s="7">
        <v>119</v>
      </c>
      <c r="B139" s="7" t="s">
        <v>205</v>
      </c>
      <c r="C139" s="7" t="s">
        <v>206</v>
      </c>
      <c r="D139" s="7"/>
      <c r="E139" s="7"/>
      <c r="F139" s="7"/>
      <c r="G139" s="7" t="s">
        <v>227</v>
      </c>
      <c r="H139" s="7">
        <v>44</v>
      </c>
      <c r="I139" s="7" t="s">
        <v>229</v>
      </c>
      <c r="J139" s="7"/>
      <c r="K139" s="7">
        <v>175</v>
      </c>
      <c r="L139" s="7">
        <v>89</v>
      </c>
      <c r="M139" s="8">
        <f>L139/((K139/100)*(K139/100))</f>
        <v>29.061224489795919</v>
      </c>
      <c r="N139" s="7">
        <v>96</v>
      </c>
      <c r="O139" s="7">
        <v>106</v>
      </c>
      <c r="P139" s="9">
        <f>Data6[[#This Row],[Waist_Circumference]]/Data6[[#This Row],[Hip_circumference]]</f>
        <v>0.90566037735849059</v>
      </c>
      <c r="Q139" s="10">
        <v>39000</v>
      </c>
      <c r="R139" s="10">
        <v>47330</v>
      </c>
      <c r="S139" s="10">
        <f>Q139+R139</f>
        <v>86330</v>
      </c>
      <c r="T139" s="9">
        <f>(Data6[[#This Row],[Total_fat_g]]/Data6[[#This Row],[Total_mass_g]])*100</f>
        <v>45.175489401135174</v>
      </c>
      <c r="U139" s="9">
        <f>(Data6[[#This Row],[Lean_mass_g]]/Data6[[#This Row],[Total_mass_g]])*100</f>
        <v>54.824510598864819</v>
      </c>
      <c r="V139" s="9"/>
      <c r="W139" s="9">
        <v>6.8</v>
      </c>
      <c r="X139" s="9">
        <v>5.1100000000000003</v>
      </c>
      <c r="Y139" s="9">
        <v>20.38</v>
      </c>
      <c r="Z139" s="21">
        <f>(Data6[[#This Row],[Glucose (mmol/L)]]*Data6[[#This Row],[Insulin (umol/L)]])/22.5</f>
        <v>4.6285244444444444</v>
      </c>
      <c r="AA139" s="9">
        <v>662.65</v>
      </c>
      <c r="AB139" s="9">
        <v>587.4</v>
      </c>
      <c r="AC139" s="9">
        <v>23.75</v>
      </c>
      <c r="AD139" s="9">
        <v>4.5</v>
      </c>
      <c r="AE139" s="9">
        <v>1.79</v>
      </c>
      <c r="AF139" s="9">
        <f>Data6[[#This Row],[total_chol (umol/L)]]-Data6[[#This Row],[HDL_chol (umol/L)]]</f>
        <v>2.71</v>
      </c>
      <c r="AG139" s="9">
        <f>Data6[[#This Row],[Non_HDL (umol/L)]]-(Data6[[#This Row],[TAG (umol/L)]]/2200)</f>
        <v>2.4430000000000001</v>
      </c>
      <c r="AH139" s="9">
        <v>120.5</v>
      </c>
      <c r="AI139" s="51">
        <v>3.8097099511223247E-3</v>
      </c>
      <c r="AJ139" s="9">
        <v>15.731695819658341</v>
      </c>
      <c r="AK139" s="23">
        <f>(Data6[[#This Row],[DNL (%)]]/100)*Data6[[#This Row],[VLDL (umol/L)]]</f>
        <v>18.956693462688303</v>
      </c>
      <c r="AL139" s="9">
        <f>[4]SAMPLES!$L$267</f>
        <v>11.337841484684898</v>
      </c>
      <c r="AM139" s="57">
        <f>(Data6[[#This Row],[Gluconeogensis (%)]]/100)*Data6[[#This Row],[Glucose (mmol/L)]]</f>
        <v>0.57936369986739833</v>
      </c>
      <c r="AN139" s="61">
        <f>Data6[[#This Row],[Glucose (mmol/L)]]-Data6[[#This Row],[Gluconeogenesis (mmol/L)]]</f>
        <v>4.5306363001326018</v>
      </c>
      <c r="AO139" s="61" t="s">
        <v>536</v>
      </c>
      <c r="AP139" s="7"/>
    </row>
    <row r="140" spans="1:42" s="19" customFormat="1" x14ac:dyDescent="0.25">
      <c r="A140" s="7">
        <v>90</v>
      </c>
      <c r="B140" s="7" t="s">
        <v>152</v>
      </c>
      <c r="C140" s="7" t="s">
        <v>153</v>
      </c>
      <c r="D140" s="7"/>
      <c r="E140" s="7"/>
      <c r="F140" s="7"/>
      <c r="G140" s="7" t="s">
        <v>227</v>
      </c>
      <c r="H140" s="7">
        <v>41</v>
      </c>
      <c r="I140" s="7" t="s">
        <v>229</v>
      </c>
      <c r="J140" s="7"/>
      <c r="K140" s="7">
        <v>172</v>
      </c>
      <c r="L140" s="7">
        <v>64.05</v>
      </c>
      <c r="M140" s="8">
        <f>L140/((K140/100)*(K140/100))</f>
        <v>21.650216333153057</v>
      </c>
      <c r="N140" s="7">
        <v>79</v>
      </c>
      <c r="O140" s="7">
        <v>97</v>
      </c>
      <c r="P140" s="9">
        <f>Data6[[#This Row],[Waist_Circumference]]/Data6[[#This Row],[Hip_circumference]]</f>
        <v>0.81443298969072164</v>
      </c>
      <c r="Q140" s="10">
        <v>23720</v>
      </c>
      <c r="R140" s="10">
        <v>39660</v>
      </c>
      <c r="S140" s="10">
        <f>Q140+R140</f>
        <v>63380</v>
      </c>
      <c r="T140" s="9">
        <f>(Data6[[#This Row],[Total_fat_g]]/Data6[[#This Row],[Total_mass_g]])*100</f>
        <v>37.425055222467655</v>
      </c>
      <c r="U140" s="9">
        <f>(Data6[[#This Row],[Lean_mass_g]]/Data6[[#This Row],[Total_mass_g]])*100</f>
        <v>62.574944777532352</v>
      </c>
      <c r="V140" s="9">
        <v>390</v>
      </c>
      <c r="W140" s="9">
        <v>1.52</v>
      </c>
      <c r="X140" s="9">
        <v>4.78</v>
      </c>
      <c r="Y140" s="9">
        <v>20.79</v>
      </c>
      <c r="Z140" s="21">
        <f>(Data6[[#This Row],[Glucose (mmol/L)]]*Data6[[#This Row],[Insulin (umol/L)]])/22.5</f>
        <v>4.4167199999999998</v>
      </c>
      <c r="AA140" s="9">
        <v>736.82</v>
      </c>
      <c r="AB140" s="9">
        <v>1085.3499999999999</v>
      </c>
      <c r="AC140" s="9">
        <v>25</v>
      </c>
      <c r="AD140" s="9">
        <v>5.0999999999999996</v>
      </c>
      <c r="AE140" s="9">
        <v>1.44</v>
      </c>
      <c r="AF140" s="9">
        <f>Data6[[#This Row],[total_chol (umol/L)]]-Data6[[#This Row],[HDL_chol (umol/L)]]</f>
        <v>3.6599999999999997</v>
      </c>
      <c r="AG140" s="9">
        <f>Data6[[#This Row],[Non_HDL (umol/L)]]-(Data6[[#This Row],[TAG (umol/L)]]/2200)</f>
        <v>3.1666590909090906</v>
      </c>
      <c r="AH140" s="9">
        <v>292.91000000000003</v>
      </c>
      <c r="AI140" s="51">
        <v>4.5000846644386288E-3</v>
      </c>
      <c r="AJ140" s="9">
        <v>8.8281167332723012</v>
      </c>
      <c r="AK140" s="23">
        <f>(Data6[[#This Row],[DNL (%)]]/100)*Data6[[#This Row],[VLDL (umol/L)]]</f>
        <v>25.8584367234279</v>
      </c>
      <c r="AL140" s="9">
        <f>[4]SAMPLES!$L$239</f>
        <v>23.487683473091366</v>
      </c>
      <c r="AM140" s="57">
        <f>(Data6[[#This Row],[Gluconeogensis (%)]]/100)*Data6[[#This Row],[Glucose (mmol/L)]]</f>
        <v>1.1227112700137674</v>
      </c>
      <c r="AN140" s="61">
        <f>Data6[[#This Row],[Glucose (mmol/L)]]-Data6[[#This Row],[Gluconeogenesis (mmol/L)]]</f>
        <v>3.6572887299862327</v>
      </c>
      <c r="AO140" s="61" t="s">
        <v>536</v>
      </c>
      <c r="AP140" s="7"/>
    </row>
    <row r="141" spans="1:42" s="19" customFormat="1" x14ac:dyDescent="0.25">
      <c r="A141" s="19">
        <v>210</v>
      </c>
      <c r="B141" s="19" t="s">
        <v>303</v>
      </c>
      <c r="C141" s="19" t="s">
        <v>250</v>
      </c>
      <c r="D141" s="19">
        <v>1</v>
      </c>
      <c r="E141" s="19" t="s">
        <v>228</v>
      </c>
      <c r="G141" s="19" t="s">
        <v>228</v>
      </c>
      <c r="H141" s="19">
        <f>'[82]Metformin Arm '!$AI$7</f>
        <v>45</v>
      </c>
      <c r="K141" s="19">
        <v>185.5</v>
      </c>
      <c r="L141" s="19">
        <f>'[82]Metformin Arm '!$AI$5</f>
        <v>114.9</v>
      </c>
      <c r="M141" s="20">
        <f>L141/((K141/100)*(K141/100))</f>
        <v>33.391213373922021</v>
      </c>
      <c r="P141" s="21" t="e">
        <f>Data6[[#This Row],[Waist_Circumference]]/Data6[[#This Row],[Hip_circumference]]</f>
        <v>#DIV/0!</v>
      </c>
      <c r="Q141" s="22">
        <v>31597.5</v>
      </c>
      <c r="R141" s="22">
        <v>83302.5</v>
      </c>
      <c r="S141" s="22">
        <f>Q141+R141</f>
        <v>114900</v>
      </c>
      <c r="T141" s="21">
        <f>(Data6[[#This Row],[Total_fat_g]]/Data6[[#This Row],[Total_mass_g]])*100</f>
        <v>27.500000000000004</v>
      </c>
      <c r="U141" s="21">
        <f>(Data6[[#This Row],[Lean_mass_g]]/Data6[[#This Row],[Total_mass_g]])*100</f>
        <v>72.5</v>
      </c>
      <c r="V141" s="21"/>
      <c r="W141" s="21">
        <v>13.54</v>
      </c>
      <c r="X141" s="21">
        <f>[83]Glucose!$J$4</f>
        <v>5.4720000000000004</v>
      </c>
      <c r="Y141" s="21">
        <f>[98]Insulin!$I9</f>
        <v>21.371500000000001</v>
      </c>
      <c r="Z141" s="21">
        <f>(Data6[[#This Row],[Glucose (mmol/L)]]*Data6[[#This Row],[Insulin (umol/L)]])/22.5</f>
        <v>5.1975488000000007</v>
      </c>
      <c r="AA141" s="21">
        <f>[98]NEFA!$C5</f>
        <v>564.1</v>
      </c>
      <c r="AB141" s="21">
        <f>[98]TAG!$I6</f>
        <v>4352.2000000000007</v>
      </c>
      <c r="AC141" s="21">
        <f>'[98]Ranbut 3-OHB'!$C5</f>
        <v>49.6</v>
      </c>
      <c r="AD141" s="21">
        <f>'[98]Apo B, HDL, Cholesterol, ALT'!$C$6</f>
        <v>4.62</v>
      </c>
      <c r="AE141" s="21">
        <f>'[98]Apo B, HDL, Cholesterol, ALT'!$J$6</f>
        <v>0.74</v>
      </c>
      <c r="AF141" s="21">
        <f>Data6[[#This Row],[total_chol (umol/L)]]-Data6[[#This Row],[HDL_chol (umol/L)]]</f>
        <v>3.88</v>
      </c>
      <c r="AG141" s="21">
        <f>Data6[[#This Row],[Non_HDL (umol/L)]]-(Data6[[#This Row],[TAG (umol/L)]]/2200)</f>
        <v>1.9017272727272723</v>
      </c>
      <c r="AH141" s="21">
        <f>'[99]calculations and TAG concs'!$H$4</f>
        <v>1520.7412050000003</v>
      </c>
      <c r="AI141" s="54">
        <v>3.9937235596385718E-3</v>
      </c>
      <c r="AJ141" s="21">
        <f>[86]dnl!$J$3</f>
        <v>6.0386137155219499</v>
      </c>
      <c r="AK141" s="23">
        <f>(Data6[[#This Row],[DNL (%)]]/100)*Data6[[#This Row],[VLDL (umol/L)]]</f>
        <v>91.831686982723781</v>
      </c>
      <c r="AL141" s="21">
        <f>[4]SAMPLES!$L$206</f>
        <v>23.028571851214753</v>
      </c>
      <c r="AM141" s="61">
        <f>(Data6[[#This Row],[Gluconeogensis (%)]]/100)*Data6[[#This Row],[Glucose (mmol/L)]]</f>
        <v>1.2601234516984714</v>
      </c>
      <c r="AN141" s="61">
        <f>Data6[[#This Row],[Glucose (mmol/L)]]-Data6[[#This Row],[Gluconeogenesis (mmol/L)]]</f>
        <v>4.2118765483015288</v>
      </c>
      <c r="AO141" s="61" t="s">
        <v>536</v>
      </c>
    </row>
    <row r="142" spans="1:42" s="19" customFormat="1" x14ac:dyDescent="0.25">
      <c r="A142" s="19">
        <v>208</v>
      </c>
      <c r="B142" s="19" t="s">
        <v>256</v>
      </c>
      <c r="C142" s="19" t="s">
        <v>250</v>
      </c>
      <c r="D142" s="19">
        <v>1</v>
      </c>
      <c r="E142" s="19" t="s">
        <v>228</v>
      </c>
      <c r="G142" s="19" t="s">
        <v>227</v>
      </c>
      <c r="H142" s="19">
        <f>'[82]Metformin Arm '!$AA$7</f>
        <v>63</v>
      </c>
      <c r="K142" s="19">
        <v>152</v>
      </c>
      <c r="L142" s="19">
        <f>'[82]Metformin Arm '!$AA$5</f>
        <v>77.06</v>
      </c>
      <c r="M142" s="20">
        <f>L142/((K142/100)*(K142/100))</f>
        <v>33.35353185595568</v>
      </c>
      <c r="P142" s="21" t="e">
        <f>Data6[[#This Row],[Waist_Circumference]]/Data6[[#This Row],[Hip_circumference]]</f>
        <v>#DIV/0!</v>
      </c>
      <c r="Q142" s="22">
        <v>34368.76</v>
      </c>
      <c r="R142" s="22">
        <v>42691.24</v>
      </c>
      <c r="S142" s="22">
        <f>Q142+R142</f>
        <v>77060</v>
      </c>
      <c r="T142" s="21">
        <f>(Data6[[#This Row],[Total_fat_g]]/Data6[[#This Row],[Total_mass_g]])*100</f>
        <v>44.6</v>
      </c>
      <c r="U142" s="21">
        <f>(Data6[[#This Row],[Lean_mass_g]]/Data6[[#This Row],[Total_mass_g]])*100</f>
        <v>55.399999999999991</v>
      </c>
      <c r="V142" s="21"/>
      <c r="W142" s="21">
        <v>15.34</v>
      </c>
      <c r="X142" s="21">
        <f>[83]Glucose!$H$4</f>
        <v>11.159000000000001</v>
      </c>
      <c r="Y142" s="21">
        <f>[96]Insulin!$I9</f>
        <v>21.965</v>
      </c>
      <c r="Z142" s="21">
        <f>(Data6[[#This Row],[Glucose (mmol/L)]]*Data6[[#This Row],[Insulin (umol/L)]])/22.5</f>
        <v>10.893663777777778</v>
      </c>
      <c r="AA142" s="21">
        <f>[96]NEFA!$F5</f>
        <v>612.6</v>
      </c>
      <c r="AB142" s="21">
        <f>[96]TAG!$I6</f>
        <v>1270.3</v>
      </c>
      <c r="AC142" s="21">
        <f>'[96]Ranbut 3-OHB'!$F5</f>
        <v>55.1</v>
      </c>
      <c r="AD142" s="21">
        <f>'[96]Apo B, HDL, Cholesterol, ALT'!$C$6</f>
        <v>3.54</v>
      </c>
      <c r="AE142" s="21">
        <f>'[96]Apo B, HDL, Cholesterol, ALT'!$J$6</f>
        <v>1.24</v>
      </c>
      <c r="AF142" s="21">
        <f>Data6[[#This Row],[total_chol (umol/L)]]-Data6[[#This Row],[HDL_chol (umol/L)]]</f>
        <v>2.2999999999999998</v>
      </c>
      <c r="AG142" s="21">
        <f>Data6[[#This Row],[Non_HDL (umol/L)]]-(Data6[[#This Row],[TAG (umol/L)]]/2200)</f>
        <v>1.7225909090909091</v>
      </c>
      <c r="AH142" s="21">
        <f>[83]Lipoproteins!H$3</f>
        <v>748.67915249999999</v>
      </c>
      <c r="AI142" s="54">
        <v>4.1022121631510734E-3</v>
      </c>
      <c r="AJ142" s="21">
        <f>[86]dnl!$H$3</f>
        <v>2.8778302963615112</v>
      </c>
      <c r="AK142" s="23">
        <f>(Data6[[#This Row],[DNL (%)]]/100)*Data6[[#This Row],[VLDL (umol/L)]]</f>
        <v>21.545715473187602</v>
      </c>
      <c r="AL142" s="21">
        <f>[4]SAMPLES!$L$204</f>
        <v>21.825290896466036</v>
      </c>
      <c r="AM142" s="61">
        <f>(Data6[[#This Row],[Gluconeogensis (%)]]/100)*Data6[[#This Row],[Glucose (mmol/L)]]</f>
        <v>2.4354842111366453</v>
      </c>
      <c r="AN142" s="61">
        <f>Data6[[#This Row],[Glucose (mmol/L)]]-Data6[[#This Row],[Gluconeogenesis (mmol/L)]]</f>
        <v>8.7235157888633559</v>
      </c>
      <c r="AO142" s="61" t="s">
        <v>536</v>
      </c>
    </row>
    <row r="143" spans="1:42" s="19" customFormat="1" x14ac:dyDescent="0.25">
      <c r="A143" s="19">
        <v>204</v>
      </c>
      <c r="B143" s="19" t="s">
        <v>252</v>
      </c>
      <c r="C143" s="19" t="s">
        <v>250</v>
      </c>
      <c r="D143" s="19">
        <v>1</v>
      </c>
      <c r="E143" s="19" t="s">
        <v>228</v>
      </c>
      <c r="G143" s="19" t="s">
        <v>228</v>
      </c>
      <c r="H143" s="19">
        <f>'[82]Metformin Arm '!$K$7</f>
        <v>50</v>
      </c>
      <c r="K143" s="19">
        <v>182.5</v>
      </c>
      <c r="L143" s="19">
        <f>'[82]Metformin Arm '!$K$5</f>
        <v>111.3</v>
      </c>
      <c r="M143" s="20">
        <f>L143/((K143/100)*(K143/100))</f>
        <v>33.417151435541378</v>
      </c>
      <c r="P143" s="21" t="e">
        <f>Data6[[#This Row],[Waist_Circumference]]/Data6[[#This Row],[Hip_circumference]]</f>
        <v>#DIV/0!</v>
      </c>
      <c r="Q143" s="22">
        <v>39066.299999999996</v>
      </c>
      <c r="R143" s="22">
        <v>72233.7</v>
      </c>
      <c r="S143" s="22">
        <f>Q143+R143</f>
        <v>111300</v>
      </c>
      <c r="T143" s="21">
        <f>(Data6[[#This Row],[Total_fat_g]]/Data6[[#This Row],[Total_mass_g]])*100</f>
        <v>35.099999999999994</v>
      </c>
      <c r="U143" s="21">
        <f>(Data6[[#This Row],[Lean_mass_g]]/Data6[[#This Row],[Total_mass_g]])*100</f>
        <v>64.900000000000006</v>
      </c>
      <c r="V143" s="21"/>
      <c r="W143" s="21">
        <v>28.41</v>
      </c>
      <c r="X143" s="21">
        <f>[83]Glucose!$D$4</f>
        <v>5.8280000000000003</v>
      </c>
      <c r="Y143" s="21">
        <f>[89]Insulin!$I9</f>
        <v>23.057000000000002</v>
      </c>
      <c r="Z143" s="21">
        <f>(Data6[[#This Row],[Glucose (mmol/L)]]*Data6[[#This Row],[Insulin (umol/L)]])/22.5</f>
        <v>5.9722753777777786</v>
      </c>
      <c r="AA143" s="21">
        <f>[90]NEFA!$F$5</f>
        <v>697</v>
      </c>
      <c r="AB143" s="21">
        <f>[90]TAG!$I$6</f>
        <v>2342.5</v>
      </c>
      <c r="AC143" s="21">
        <f>'[90]Ranbut 3-OHB'!$F$5</f>
        <v>105.6</v>
      </c>
      <c r="AD143" s="21">
        <f>'[90]Apo B, HDL, Cholesterol, ALT'!$C$6</f>
        <v>5.45</v>
      </c>
      <c r="AE143" s="21">
        <f>'[90]Apo B, HDL, Cholesterol, ALT'!$J$6</f>
        <v>0.85</v>
      </c>
      <c r="AF143" s="21">
        <f>Data6[[#This Row],[total_chol (umol/L)]]-Data6[[#This Row],[HDL_chol (umol/L)]]</f>
        <v>4.6000000000000005</v>
      </c>
      <c r="AG143" s="21">
        <f>Data6[[#This Row],[Non_HDL (umol/L)]]-(Data6[[#This Row],[TAG (umol/L)]]/2200)</f>
        <v>3.5352272727272736</v>
      </c>
      <c r="AH143" s="21">
        <f>'[91]calculations and TAG concs'!$H$4</f>
        <v>1297.9474781250003</v>
      </c>
      <c r="AI143" s="54">
        <v>3.3419930331895224E-3</v>
      </c>
      <c r="AJ143" s="21">
        <f>[86]dnl!$D$3</f>
        <v>9.894469660976414</v>
      </c>
      <c r="AK143" s="23">
        <f>(Data6[[#This Row],[DNL (%)]]/100)*Data6[[#This Row],[VLDL (umol/L)]]</f>
        <v>128.42501943848663</v>
      </c>
      <c r="AL143" s="21">
        <f>[4]SAMPLES!$L$200</f>
        <v>34.483981786925398</v>
      </c>
      <c r="AM143" s="61">
        <f>(Data6[[#This Row],[Gluconeogensis (%)]]/100)*Data6[[#This Row],[Glucose (mmol/L)]]</f>
        <v>2.0097264585420125</v>
      </c>
      <c r="AN143" s="61">
        <f>Data6[[#This Row],[Glucose (mmol/L)]]-Data6[[#This Row],[Gluconeogenesis (mmol/L)]]</f>
        <v>3.8182735414579878</v>
      </c>
      <c r="AO143" s="61" t="s">
        <v>536</v>
      </c>
    </row>
    <row r="144" spans="1:42" s="19" customFormat="1" x14ac:dyDescent="0.25">
      <c r="A144" s="23">
        <v>13</v>
      </c>
      <c r="B144" s="23" t="s">
        <v>44</v>
      </c>
      <c r="C144" s="23" t="s">
        <v>32</v>
      </c>
      <c r="D144" s="23"/>
      <c r="E144" s="23"/>
      <c r="F144" s="23">
        <v>4587</v>
      </c>
      <c r="G144" s="23" t="s">
        <v>227</v>
      </c>
      <c r="H144" s="26">
        <v>49.1</v>
      </c>
      <c r="I144" s="23" t="s">
        <v>146</v>
      </c>
      <c r="J144" s="23"/>
      <c r="K144" s="23">
        <v>165</v>
      </c>
      <c r="L144" s="23">
        <v>93.3</v>
      </c>
      <c r="M144" s="24">
        <f>L144/((K144/100)*(K144/100))</f>
        <v>34.269972451790636</v>
      </c>
      <c r="N144" s="23">
        <v>104</v>
      </c>
      <c r="O144" s="23">
        <v>119</v>
      </c>
      <c r="P144" s="25">
        <f>Data6[[#This Row],[Waist_Circumference]]/Data6[[#This Row],[Hip_circumference]]</f>
        <v>0.87394957983193278</v>
      </c>
      <c r="Q144" s="26">
        <f>'[1]Anthro data'!$N$27</f>
        <v>46828</v>
      </c>
      <c r="R144" s="26">
        <f>'[1]Anthro data'!$N$28</f>
        <v>43556</v>
      </c>
      <c r="S144" s="26">
        <f>Q144+R144</f>
        <v>90384</v>
      </c>
      <c r="T144" s="25">
        <f>(Data6[[#This Row],[Total_fat_g]]/Data6[[#This Row],[Total_mass_g]])*100</f>
        <v>51.810054876969382</v>
      </c>
      <c r="U144" s="25">
        <f>(Data6[[#This Row],[Lean_mass_g]]/Data6[[#This Row],[Total_mass_g]])*100</f>
        <v>48.189945123030625</v>
      </c>
      <c r="V144" s="25">
        <v>1613</v>
      </c>
      <c r="W144" s="25">
        <v>6.1615384620000002</v>
      </c>
      <c r="X144" s="25">
        <f>[1]Glucose!$N$3</f>
        <v>4.9820000000000002</v>
      </c>
      <c r="Y144" s="25">
        <f>'[1]Insulin+HOMA'!$N$3</f>
        <v>23.234999999999999</v>
      </c>
      <c r="Z144" s="21">
        <f>(Data6[[#This Row],[Glucose (mmol/L)]]*Data6[[#This Row],[Insulin (umol/L)]])/22.5</f>
        <v>5.1447453333333337</v>
      </c>
      <c r="AA144" s="25">
        <f>[1]NEFA!$N$3</f>
        <v>574</v>
      </c>
      <c r="AB144" s="25">
        <f>[1]TAG!$N$3</f>
        <v>2132.1</v>
      </c>
      <c r="AC144" s="25">
        <f>'[1]3-OHB'!$N$3</f>
        <v>81</v>
      </c>
      <c r="AD144" s="25">
        <f>'[16]Basal ApoB,Chol,HDL,ALT'!$F$2</f>
        <v>6.45</v>
      </c>
      <c r="AE144" s="25">
        <f>'[16]Basal ApoB,Chol,HDL,ALT'!$J$2</f>
        <v>1.28</v>
      </c>
      <c r="AF144" s="25">
        <f>Data6[[#This Row],[total_chol (umol/L)]]-Data6[[#This Row],[HDL_chol (umol/L)]]</f>
        <v>5.17</v>
      </c>
      <c r="AG144" s="25">
        <f>Data6[[#This Row],[Non_HDL (umol/L)]]-(Data6[[#This Row],[TAG (umol/L)]]/2200)</f>
        <v>4.2008636363636365</v>
      </c>
      <c r="AH144" s="25">
        <v>1274.6426550000001</v>
      </c>
      <c r="AI144" s="49">
        <f>[3]LJ13!$B$3</f>
        <v>4.4730059723960235E-3</v>
      </c>
      <c r="AJ144" s="25">
        <f>[1]DNL_160!$N$5</f>
        <v>7.6211072007958025</v>
      </c>
      <c r="AK144" s="23">
        <f>(Data6[[#This Row],[DNL (%)]]/100)*Data6[[#This Row],[VLDL (umol/L)]]</f>
        <v>97.141883164619813</v>
      </c>
      <c r="AL144" s="25">
        <f>[4]SAMPLES!$L$15</f>
        <v>48.06904347492133</v>
      </c>
      <c r="AM144" s="55">
        <f>(Data6[[#This Row],[Gluconeogensis (%)]]/100)*Data6[[#This Row],[Glucose (mmol/L)]]</f>
        <v>2.3947997459205808</v>
      </c>
      <c r="AN144" s="61">
        <f>Data6[[#This Row],[Glucose (mmol/L)]]-Data6[[#This Row],[Gluconeogenesis (mmol/L)]]</f>
        <v>2.5872002540794194</v>
      </c>
      <c r="AO144" s="61" t="s">
        <v>536</v>
      </c>
      <c r="AP144" s="23"/>
    </row>
    <row r="145" spans="1:42" s="19" customFormat="1" x14ac:dyDescent="0.25">
      <c r="A145" s="19">
        <v>218</v>
      </c>
      <c r="B145" s="19" t="s">
        <v>263</v>
      </c>
      <c r="C145" s="19" t="s">
        <v>250</v>
      </c>
      <c r="D145" s="19">
        <v>1</v>
      </c>
      <c r="E145" s="19" t="s">
        <v>318</v>
      </c>
      <c r="G145" s="19" t="s">
        <v>228</v>
      </c>
      <c r="H145" s="19">
        <f>'[82]Dipagloflozin Arm'!$AA$7</f>
        <v>54</v>
      </c>
      <c r="K145" s="19">
        <v>172.5</v>
      </c>
      <c r="L145" s="19">
        <f>'[82]Dipagloflozin Arm'!$AA$5</f>
        <v>93.1</v>
      </c>
      <c r="M145" s="20">
        <f>L145/((K145/100)*(K145/100))</f>
        <v>31.287544633480355</v>
      </c>
      <c r="P145" s="21" t="e">
        <f>Data6[[#This Row],[Waist_Circumference]]/Data6[[#This Row],[Hip_circumference]]</f>
        <v>#DIV/0!</v>
      </c>
      <c r="Q145" s="22">
        <v>42900</v>
      </c>
      <c r="R145" s="22">
        <v>53160.1</v>
      </c>
      <c r="S145" s="22">
        <f>Q145+R145</f>
        <v>96060.1</v>
      </c>
      <c r="T145" s="21">
        <f>(Data6[[#This Row],[Total_fat_g]]/Data6[[#This Row],[Total_mass_g]])*100</f>
        <v>44.659541266353045</v>
      </c>
      <c r="U145" s="21">
        <f>(Data6[[#This Row],[Lean_mass_g]]/Data6[[#This Row],[Total_mass_g]])*100</f>
        <v>55.340458733646948</v>
      </c>
      <c r="V145" s="21"/>
      <c r="W145" s="21">
        <v>16.11</v>
      </c>
      <c r="X145" s="21">
        <f>[109]Glucose!$C6</f>
        <v>5.577</v>
      </c>
      <c r="Y145" s="21">
        <f>[109]Insulin!$I9</f>
        <v>23.411999999999999</v>
      </c>
      <c r="Z145" s="21">
        <f>(Data6[[#This Row],[Glucose (mmol/L)]]*Data6[[#This Row],[Insulin (umol/L)]])/22.5</f>
        <v>5.8030543999999997</v>
      </c>
      <c r="AA145" s="21">
        <f>[109]NEFA!$F5</f>
        <v>571.5</v>
      </c>
      <c r="AB145" s="21">
        <f>[109]TAG!$I6</f>
        <v>1866.2</v>
      </c>
      <c r="AC145" s="21">
        <f>'[109]Ranbut 3-OHB'!$C5</f>
        <v>29.5</v>
      </c>
      <c r="AD145" s="21">
        <f>'[109]Apo B, HDL, Cholesterol, ALT'!$C$6</f>
        <v>5.21</v>
      </c>
      <c r="AE145" s="21">
        <f>'[109]Apo B, HDL, Cholesterol, ALT'!$J$6</f>
        <v>1.42</v>
      </c>
      <c r="AF145" s="21">
        <f>Data6[[#This Row],[total_chol (umol/L)]]-Data6[[#This Row],[HDL_chol (umol/L)]]</f>
        <v>3.79</v>
      </c>
      <c r="AG145" s="21">
        <f>Data6[[#This Row],[Non_HDL (umol/L)]]-(Data6[[#This Row],[TAG (umol/L)]]/2200)</f>
        <v>2.941727272727273</v>
      </c>
      <c r="AH145" s="21">
        <f>[102]Lipoproteins!H$3</f>
        <v>1225.7629837500003</v>
      </c>
      <c r="AI145" s="54">
        <v>4.8981742350269119E-3</v>
      </c>
      <c r="AJ145" s="21">
        <f>'[103]VLDL__DNL data DAPA'!H$20</f>
        <v>8.6541355652603063</v>
      </c>
      <c r="AK145" s="23">
        <f>(Data6[[#This Row],[DNL (%)]]/100)*Data6[[#This Row],[VLDL (umol/L)]]</f>
        <v>106.0791903225047</v>
      </c>
      <c r="AL145" s="21">
        <f>[4]SAMPLES!$L$214</f>
        <v>14.121463743751816</v>
      </c>
      <c r="AM145" s="61">
        <f>(Data6[[#This Row],[Gluconeogensis (%)]]/100)*Data6[[#This Row],[Glucose (mmol/L)]]</f>
        <v>0.78755403298903881</v>
      </c>
      <c r="AN145" s="61">
        <f>Data6[[#This Row],[Glucose (mmol/L)]]-Data6[[#This Row],[Gluconeogenesis (mmol/L)]]</f>
        <v>4.7894459670109608</v>
      </c>
      <c r="AO145" s="61" t="s">
        <v>536</v>
      </c>
    </row>
    <row r="146" spans="1:42" s="19" customFormat="1" x14ac:dyDescent="0.25">
      <c r="A146" s="23">
        <v>8</v>
      </c>
      <c r="B146" s="23" t="s">
        <v>39</v>
      </c>
      <c r="C146" s="23" t="s">
        <v>32</v>
      </c>
      <c r="D146" s="23"/>
      <c r="E146" s="23"/>
      <c r="F146" s="23"/>
      <c r="G146" s="23" t="s">
        <v>228</v>
      </c>
      <c r="H146" s="26">
        <v>42.9</v>
      </c>
      <c r="I146" s="23"/>
      <c r="J146" s="23"/>
      <c r="K146" s="23">
        <v>188</v>
      </c>
      <c r="L146" s="23">
        <v>99.5</v>
      </c>
      <c r="M146" s="24">
        <f>L146/((K146/100)*(K146/100))</f>
        <v>28.151878678134903</v>
      </c>
      <c r="N146" s="23">
        <v>100</v>
      </c>
      <c r="O146" s="23">
        <v>107</v>
      </c>
      <c r="P146" s="25">
        <f>Data6[[#This Row],[Waist_Circumference]]/Data6[[#This Row],[Hip_circumference]]</f>
        <v>0.93457943925233644</v>
      </c>
      <c r="Q146" s="26">
        <f>'[1]Anthro data'!$I$27</f>
        <v>34158</v>
      </c>
      <c r="R146" s="26">
        <f>'[1]Anthro data'!$I$28</f>
        <v>60006</v>
      </c>
      <c r="S146" s="26">
        <f>Q146+R146</f>
        <v>94164</v>
      </c>
      <c r="T146" s="25">
        <f>(Data6[[#This Row],[Total_fat_g]]/Data6[[#This Row],[Total_mass_g]])*100</f>
        <v>36.275009557792785</v>
      </c>
      <c r="U146" s="25">
        <f>(Data6[[#This Row],[Lean_mass_g]]/Data6[[#This Row],[Total_mass_g]])*100</f>
        <v>63.724990442207208</v>
      </c>
      <c r="V146" s="25">
        <v>1299</v>
      </c>
      <c r="W146" s="25">
        <v>20.658122120000002</v>
      </c>
      <c r="X146" s="25">
        <f>[1]Glucose!$I$3</f>
        <v>5.298</v>
      </c>
      <c r="Y146" s="25">
        <f>'[1]Insulin+HOMA'!$I$3</f>
        <v>25.892499999999998</v>
      </c>
      <c r="Z146" s="21">
        <f>(Data6[[#This Row],[Glucose (mmol/L)]]*Data6[[#This Row],[Insulin (umol/L)]])/22.5</f>
        <v>6.096820666666666</v>
      </c>
      <c r="AA146" s="25">
        <f>[1]NEFA!$I$3</f>
        <v>294.7</v>
      </c>
      <c r="AB146" s="25">
        <f>[1]TAG!$I$3</f>
        <v>2154.4</v>
      </c>
      <c r="AC146" s="25">
        <f>'[1]3-OHB'!$I$3</f>
        <v>29.3</v>
      </c>
      <c r="AD146" s="25">
        <f>'[11]Basal ApoB,Chol,HDL,ALT'!$F$2</f>
        <v>7.12</v>
      </c>
      <c r="AE146" s="25">
        <f>'[11]Basal ApoB,Chol,HDL,ALT'!$J$2</f>
        <v>1.08</v>
      </c>
      <c r="AF146" s="25">
        <f>Data6[[#This Row],[total_chol (umol/L)]]-Data6[[#This Row],[HDL_chol (umol/L)]]</f>
        <v>6.04</v>
      </c>
      <c r="AG146" s="25">
        <f>Data6[[#This Row],[Non_HDL (umol/L)]]-(Data6[[#This Row],[TAG (umol/L)]]/2200)</f>
        <v>5.0607272727272727</v>
      </c>
      <c r="AH146" s="25">
        <v>1529.9377612500002</v>
      </c>
      <c r="AI146" s="49">
        <f>[3]DA8!$B$3</f>
        <v>3.5731095020398295E-3</v>
      </c>
      <c r="AJ146" s="25">
        <f>[1]DNL_160!$I$5</f>
        <v>13.823788083950173</v>
      </c>
      <c r="AK146" s="23">
        <f>(Data6[[#This Row],[DNL (%)]]/100)*Data6[[#This Row],[VLDL (umol/L)]]</f>
        <v>211.49535393153158</v>
      </c>
      <c r="AL146" s="62">
        <f>[4]SAMPLES!$L$10</f>
        <v>20.205244855939437</v>
      </c>
      <c r="AM146" s="55">
        <f>(Data6[[#This Row],[Gluconeogensis (%)]]/100)*Data6[[#This Row],[Glucose (mmol/L)]]</f>
        <v>1.0704738724676712</v>
      </c>
      <c r="AN146" s="61">
        <f>Data6[[#This Row],[Glucose (mmol/L)]]-Data6[[#This Row],[Gluconeogenesis (mmol/L)]]</f>
        <v>4.2275261275323288</v>
      </c>
      <c r="AO146" s="61" t="s">
        <v>536</v>
      </c>
      <c r="AP146" s="23"/>
    </row>
    <row r="147" spans="1:42" s="19" customFormat="1" x14ac:dyDescent="0.25">
      <c r="A147" s="11">
        <v>178</v>
      </c>
      <c r="B147" s="11" t="s">
        <v>291</v>
      </c>
      <c r="C147" s="11" t="s">
        <v>233</v>
      </c>
      <c r="D147" s="11">
        <v>1</v>
      </c>
      <c r="E147" s="11"/>
      <c r="F147" s="11" t="s">
        <v>395</v>
      </c>
      <c r="G147" s="11" t="s">
        <v>228</v>
      </c>
      <c r="H147" s="11">
        <f>[63]Characteristics!$F$8</f>
        <v>51</v>
      </c>
      <c r="I147" s="11"/>
      <c r="J147" s="11"/>
      <c r="K147" s="11">
        <f>'[63]Anthro, DXA, Liver fat'!$F$6</f>
        <v>172</v>
      </c>
      <c r="L147" s="11">
        <f>'[63]Anthro, DXA, Liver fat'!$F$5</f>
        <v>101.1</v>
      </c>
      <c r="M147" s="12">
        <f>L147/((K147/100)*(K147/100))</f>
        <v>34.173877771768524</v>
      </c>
      <c r="N147" s="11">
        <f>'[63]Anthro, DXA, Liver fat'!$F$8</f>
        <v>110</v>
      </c>
      <c r="O147" s="11"/>
      <c r="P147" s="13" t="e">
        <f>Data6[[#This Row],[Waist_Circumference]]/Data6[[#This Row],[Hip_circumference]]</f>
        <v>#DIV/0!</v>
      </c>
      <c r="Q147" s="14">
        <f>'[63]Anthro, DXA, Liver fat'!$F$19</f>
        <v>41876.253297304</v>
      </c>
      <c r="R147" s="14">
        <f>'[63]Anthro, DXA, Liver fat'!$F$20</f>
        <v>55137.732429055002</v>
      </c>
      <c r="S147" s="14">
        <f>Q147+R147</f>
        <v>97013.985726359009</v>
      </c>
      <c r="T147" s="13">
        <f>(Data6[[#This Row],[Total_fat_g]]/Data6[[#This Row],[Total_mass_g]])*100</f>
        <v>43.165171478905734</v>
      </c>
      <c r="U147" s="13">
        <f>(Data6[[#This Row],[Lean_mass_g]]/Data6[[#This Row],[Total_mass_g]])*100</f>
        <v>56.834828521094259</v>
      </c>
      <c r="V147" s="13">
        <f>'[63]Anthro, DXA, Liver fat'!$F$27</f>
        <v>3347.3785451910999</v>
      </c>
      <c r="W147" s="13">
        <f>'[64]IHTG Corrected'!$D$10</f>
        <v>13.360367421718401</v>
      </c>
      <c r="X147" s="13">
        <f>[63]Glucose!$F$7</f>
        <v>5.3849999999999998</v>
      </c>
      <c r="Y147" s="13">
        <f>[70]Insulin!$K$4</f>
        <v>26.11375</v>
      </c>
      <c r="Z147" s="21">
        <f>(Data6[[#This Row],[Glucose (mmol/L)]]*Data6[[#This Row],[Insulin (umol/L)]])/22.5</f>
        <v>6.2498908333333336</v>
      </c>
      <c r="AA147" s="13">
        <f>[63]NEFA!$F$7</f>
        <v>650.9</v>
      </c>
      <c r="AB147" s="13">
        <f>[63]TAG!$F$7</f>
        <v>1936.6999999999998</v>
      </c>
      <c r="AC147" s="13">
        <f>'[63]3-OHB'!$F$7</f>
        <v>228.1</v>
      </c>
      <c r="AD147" s="13">
        <f>'[63]Apo B, Cholesterol, HDL, ALT'!$F$17</f>
        <v>4.13</v>
      </c>
      <c r="AE147" s="13">
        <f>'[63]Apo B, Cholesterol, HDL, ALT'!$F$27</f>
        <v>0.87</v>
      </c>
      <c r="AF147" s="13">
        <f>Data6[[#This Row],[total_chol (umol/L)]]-Data6[[#This Row],[HDL_chol (umol/L)]]</f>
        <v>3.26</v>
      </c>
      <c r="AG147" s="13">
        <f>Data6[[#This Row],[Non_HDL (umol/L)]]-(Data6[[#This Row],[TAG (umol/L)]]/2200)</f>
        <v>2.379681818181818</v>
      </c>
      <c r="AH147" s="13">
        <f>[66]Data!$AQ$83</f>
        <v>630.72301339591638</v>
      </c>
      <c r="AI147" s="53">
        <f>'[63]DNL_Bounds Visit A'!$F$16</f>
        <v>4.6447236832245324E-3</v>
      </c>
      <c r="AJ147" s="13">
        <f>'[63]DNL_Bounds Visit A'!$F$24</f>
        <v>4.796355216622195</v>
      </c>
      <c r="AK147" s="23">
        <f>(Data6[[#This Row],[DNL (%)]]/100)*Data6[[#This Row],[VLDL (umol/L)]]</f>
        <v>30.251716155451742</v>
      </c>
      <c r="AL147" s="13">
        <f>[4]SAMPLES!$L$112</f>
        <v>27.618721471000505</v>
      </c>
      <c r="AM147" s="60">
        <f>(Data6[[#This Row],[Gluconeogensis (%)]]/100)*Data6[[#This Row],[Glucose (mmol/L)]]</f>
        <v>1.4872681512133772</v>
      </c>
      <c r="AN147" s="61">
        <f>Data6[[#This Row],[Glucose (mmol/L)]]-Data6[[#This Row],[Gluconeogenesis (mmol/L)]]</f>
        <v>3.8977318487866226</v>
      </c>
      <c r="AO147" s="61" t="s">
        <v>536</v>
      </c>
      <c r="AP147" s="11"/>
    </row>
    <row r="148" spans="1:42" s="19" customFormat="1" x14ac:dyDescent="0.25">
      <c r="A148" s="19">
        <v>211</v>
      </c>
      <c r="B148" s="19" t="s">
        <v>258</v>
      </c>
      <c r="C148" s="19" t="s">
        <v>250</v>
      </c>
      <c r="D148" s="19">
        <v>1</v>
      </c>
      <c r="E148" s="19" t="s">
        <v>228</v>
      </c>
      <c r="G148" s="19" t="s">
        <v>227</v>
      </c>
      <c r="H148" s="19">
        <f>'[82]Metformin Arm '!$AQ$7</f>
        <v>46</v>
      </c>
      <c r="K148" s="19">
        <v>160.5</v>
      </c>
      <c r="L148" s="19">
        <f>'[82]Metformin Arm '!$AQ$5</f>
        <v>81</v>
      </c>
      <c r="M148" s="20">
        <f>L148/((K148/100)*(K148/100))</f>
        <v>31.44379421783562</v>
      </c>
      <c r="P148" s="21" t="e">
        <f>Data6[[#This Row],[Waist_Circumference]]/Data6[[#This Row],[Hip_circumference]]</f>
        <v>#DIV/0!</v>
      </c>
      <c r="Q148" s="22">
        <v>30780</v>
      </c>
      <c r="R148" s="22">
        <v>50220.000000000007</v>
      </c>
      <c r="S148" s="22">
        <f>Q148+R148</f>
        <v>81000</v>
      </c>
      <c r="T148" s="21">
        <f>(Data6[[#This Row],[Total_fat_g]]/Data6[[#This Row],[Total_mass_g]])*100</f>
        <v>38</v>
      </c>
      <c r="U148" s="21">
        <f>(Data6[[#This Row],[Lean_mass_g]]/Data6[[#This Row],[Total_mass_g]])*100</f>
        <v>62.000000000000014</v>
      </c>
      <c r="V148" s="21"/>
      <c r="W148" s="21">
        <v>18.690000000000001</v>
      </c>
      <c r="X148" s="21">
        <f>[83]Glucose!$K$4</f>
        <v>4.5209999999999999</v>
      </c>
      <c r="Y148" s="21">
        <f>[100]Insulin!$I9</f>
        <v>27.655000000000001</v>
      </c>
      <c r="Z148" s="21">
        <f>(Data6[[#This Row],[Glucose (mmol/L)]]*Data6[[#This Row],[Insulin (umol/L)]])/22.5</f>
        <v>5.5568113333333331</v>
      </c>
      <c r="AA148" s="21">
        <f>[100]NEFA!$C5</f>
        <v>251.3</v>
      </c>
      <c r="AB148" s="21">
        <f>[100]TAG!$I6</f>
        <v>765.4</v>
      </c>
      <c r="AC148" s="21">
        <f>'[100]Ranbut 3-OHB'!$C5</f>
        <v>27.4</v>
      </c>
      <c r="AD148" s="21">
        <f>'[100]Apo B, HDL, Cholesterol, ALT'!$C$6</f>
        <v>4.41</v>
      </c>
      <c r="AE148" s="21">
        <f>'[100]Apo B, HDL, Cholesterol, ALT'!$J$6</f>
        <v>0.83</v>
      </c>
      <c r="AF148" s="21">
        <f>Data6[[#This Row],[total_chol (umol/L)]]-Data6[[#This Row],[HDL_chol (umol/L)]]</f>
        <v>3.58</v>
      </c>
      <c r="AG148" s="21">
        <f>Data6[[#This Row],[Non_HDL (umol/L)]]-(Data6[[#This Row],[TAG (umol/L)]]/2200)</f>
        <v>3.2320909090909091</v>
      </c>
      <c r="AH148" s="21">
        <f>[83]Lipoproteins!$K$3</f>
        <v>635.32403999999997</v>
      </c>
      <c r="AI148" s="54">
        <v>4.3713966392755384E-3</v>
      </c>
      <c r="AJ148" s="21">
        <f>[86]dnl!$K$3</f>
        <v>1.0069448390170579</v>
      </c>
      <c r="AK148" s="23">
        <f>(Data6[[#This Row],[DNL (%)]]/100)*Data6[[#This Row],[VLDL (umol/L)]]</f>
        <v>6.3973626318146675</v>
      </c>
      <c r="AL148" s="21">
        <f>[4]SAMPLES!$L$207</f>
        <v>18.085316268452157</v>
      </c>
      <c r="AM148" s="61">
        <f>(Data6[[#This Row],[Gluconeogensis (%)]]/100)*Data6[[#This Row],[Glucose (mmol/L)]]</f>
        <v>0.81763714849672198</v>
      </c>
      <c r="AN148" s="61">
        <f>Data6[[#This Row],[Glucose (mmol/L)]]-Data6[[#This Row],[Gluconeogenesis (mmol/L)]]</f>
        <v>3.7033628515032779</v>
      </c>
      <c r="AO148" s="61" t="s">
        <v>536</v>
      </c>
    </row>
    <row r="149" spans="1:42" s="19" customFormat="1" x14ac:dyDescent="0.25">
      <c r="A149" s="19">
        <v>216</v>
      </c>
      <c r="B149" s="19" t="s">
        <v>261</v>
      </c>
      <c r="C149" s="19" t="s">
        <v>250</v>
      </c>
      <c r="D149" s="19">
        <v>1</v>
      </c>
      <c r="E149" s="19" t="s">
        <v>318</v>
      </c>
      <c r="G149" s="19" t="s">
        <v>227</v>
      </c>
      <c r="H149" s="19">
        <f>'[82]Dipagloflozin Arm'!$S$7</f>
        <v>51</v>
      </c>
      <c r="K149" s="19">
        <v>160</v>
      </c>
      <c r="L149" s="19">
        <f>'[82]Dipagloflozin Arm'!$S$5</f>
        <v>92.3</v>
      </c>
      <c r="M149" s="20">
        <f>L149/((K149/100)*(K149/100))</f>
        <v>36.054687499999993</v>
      </c>
      <c r="P149" s="21" t="e">
        <f>Data6[[#This Row],[Waist_Circumference]]/Data6[[#This Row],[Hip_circumference]]</f>
        <v>#DIV/0!</v>
      </c>
      <c r="Q149" s="22">
        <v>49200</v>
      </c>
      <c r="R149" s="22">
        <v>46888.399999999994</v>
      </c>
      <c r="S149" s="22">
        <f>Q149+R149</f>
        <v>96088.4</v>
      </c>
      <c r="T149" s="21">
        <f>(Data6[[#This Row],[Total_fat_g]]/Data6[[#This Row],[Total_mass_g]])*100</f>
        <v>51.202850708306102</v>
      </c>
      <c r="U149" s="21">
        <f>(Data6[[#This Row],[Lean_mass_g]]/Data6[[#This Row],[Total_mass_g]])*100</f>
        <v>48.797149291693898</v>
      </c>
      <c r="V149" s="21"/>
      <c r="W149" s="21">
        <v>13.54</v>
      </c>
      <c r="X149" s="21">
        <f>[107]Glucose!$C6</f>
        <v>5.5990000000000002</v>
      </c>
      <c r="Y149" s="21">
        <f>[107]Insulin!$I9</f>
        <v>28.106999999999999</v>
      </c>
      <c r="Z149" s="21">
        <f>(Data6[[#This Row],[Glucose (mmol/L)]]*Data6[[#This Row],[Insulin (umol/L)]])/22.5</f>
        <v>6.9942707999999998</v>
      </c>
      <c r="AA149" s="21">
        <f>[107]NEFA!$C5</f>
        <v>1251.7</v>
      </c>
      <c r="AB149" s="21">
        <f>[107]TAG!$I6</f>
        <v>1530.2</v>
      </c>
      <c r="AC149" s="21">
        <f>'[107]Ranbut 3-OHB'!$C5</f>
        <v>228.1</v>
      </c>
      <c r="AD149" s="21">
        <f>'[107]Apo B, HDL, Cholesterol, ALT'!$C$6</f>
        <v>4.9000000000000004</v>
      </c>
      <c r="AE149" s="21">
        <f>'[107]Apo B, HDL, Cholesterol, ALT'!$J$6</f>
        <v>1.34</v>
      </c>
      <c r="AF149" s="21">
        <f>Data6[[#This Row],[total_chol (umol/L)]]-Data6[[#This Row],[HDL_chol (umol/L)]]</f>
        <v>3.5600000000000005</v>
      </c>
      <c r="AG149" s="21">
        <f>Data6[[#This Row],[Non_HDL (umol/L)]]-(Data6[[#This Row],[TAG (umol/L)]]/2200)</f>
        <v>2.8644545454545458</v>
      </c>
      <c r="AH149" s="21">
        <f>[102]Lipoproteins!F$3</f>
        <v>908.15243999999996</v>
      </c>
      <c r="AI149" s="54">
        <v>5.6475256053878375E-3</v>
      </c>
      <c r="AJ149" s="21">
        <f>'[103]VLDL__DNL data DAPA'!F$20</f>
        <v>7.521878102827122</v>
      </c>
      <c r="AK149" s="23">
        <f>(Data6[[#This Row],[DNL (%)]]/100)*Data6[[#This Row],[VLDL (umol/L)]]</f>
        <v>68.310119524650204</v>
      </c>
      <c r="AL149" s="21">
        <f>[4]SAMPLES!$L$212</f>
        <v>28.47231614593111</v>
      </c>
      <c r="AM149" s="61">
        <f>(Data6[[#This Row],[Gluconeogensis (%)]]/100)*Data6[[#This Row],[Glucose (mmol/L)]]</f>
        <v>1.5941649810106828</v>
      </c>
      <c r="AN149" s="61">
        <f>Data6[[#This Row],[Glucose (mmol/L)]]-Data6[[#This Row],[Gluconeogenesis (mmol/L)]]</f>
        <v>4.0048350189893176</v>
      </c>
      <c r="AO149" s="61" t="s">
        <v>536</v>
      </c>
    </row>
    <row r="150" spans="1:42" s="19" customFormat="1" x14ac:dyDescent="0.25">
      <c r="A150" s="19">
        <v>217</v>
      </c>
      <c r="B150" s="19" t="s">
        <v>262</v>
      </c>
      <c r="C150" s="19" t="s">
        <v>250</v>
      </c>
      <c r="D150" s="19">
        <v>1</v>
      </c>
      <c r="E150" s="19" t="s">
        <v>318</v>
      </c>
      <c r="G150" s="19" t="s">
        <v>227</v>
      </c>
      <c r="H150" s="19">
        <f>'[82]Dipagloflozin Arm'!$W$7</f>
        <v>51</v>
      </c>
      <c r="K150" s="19">
        <v>162</v>
      </c>
      <c r="L150" s="19">
        <f>'[82]Dipagloflozin Arm'!$W$5</f>
        <v>77.3</v>
      </c>
      <c r="M150" s="20">
        <f>L150/((K150/100)*(K150/100))</f>
        <v>29.454351470812369</v>
      </c>
      <c r="P150" s="21" t="e">
        <f>Data6[[#This Row],[Waist_Circumference]]/Data6[[#This Row],[Hip_circumference]]</f>
        <v>#DIV/0!</v>
      </c>
      <c r="Q150" s="22">
        <v>35500</v>
      </c>
      <c r="R150" s="22">
        <v>49858.5</v>
      </c>
      <c r="S150" s="22">
        <f>Q150+R150</f>
        <v>85358.5</v>
      </c>
      <c r="T150" s="21">
        <f>(Data6[[#This Row],[Total_fat_g]]/Data6[[#This Row],[Total_mass_g]])*100</f>
        <v>41.589296906576379</v>
      </c>
      <c r="U150" s="21">
        <f>(Data6[[#This Row],[Lean_mass_g]]/Data6[[#This Row],[Total_mass_g]])*100</f>
        <v>58.410703093423621</v>
      </c>
      <c r="V150" s="21"/>
      <c r="W150" s="21">
        <v>34.07</v>
      </c>
      <c r="X150" s="21">
        <f>[108]Glucose!$C6</f>
        <v>6.5270000000000001</v>
      </c>
      <c r="Y150" s="21">
        <f>[108]Insulin!$I9</f>
        <v>28.107500000000002</v>
      </c>
      <c r="Z150" s="21">
        <f>(Data6[[#This Row],[Glucose (mmol/L)]]*Data6[[#This Row],[Insulin (umol/L)]])/22.5</f>
        <v>8.1536734444444452</v>
      </c>
      <c r="AA150" s="21">
        <f>[108]NEFA!$C5</f>
        <v>688.5</v>
      </c>
      <c r="AB150" s="21">
        <f>[108]TAG!$I6</f>
        <v>1040.3</v>
      </c>
      <c r="AC150" s="21">
        <f>'[108]Ranbut 3-OHB'!$C5</f>
        <v>80.3</v>
      </c>
      <c r="AD150" s="21">
        <f>'[108]Apo B, HDL, Cholesterol, ALT'!$C$6</f>
        <v>4.05</v>
      </c>
      <c r="AE150" s="21">
        <f>'[108]Apo B, HDL, Cholesterol, ALT'!$J$6</f>
        <v>1.18</v>
      </c>
      <c r="AF150" s="21">
        <f>Data6[[#This Row],[total_chol (umol/L)]]-Data6[[#This Row],[HDL_chol (umol/L)]]</f>
        <v>2.87</v>
      </c>
      <c r="AG150" s="21">
        <f>Data6[[#This Row],[Non_HDL (umol/L)]]-(Data6[[#This Row],[TAG (umol/L)]]/2200)</f>
        <v>2.3971363636363638</v>
      </c>
      <c r="AH150" s="21">
        <f>[102]Lipoproteins!G$3</f>
        <v>101.53542749999998</v>
      </c>
      <c r="AI150" s="54">
        <v>4.7658844711661657E-3</v>
      </c>
      <c r="AJ150" s="21">
        <f>'[103]VLDL__DNL data DAPA'!G$20</f>
        <v>1.1761410726545745</v>
      </c>
      <c r="AK150" s="23">
        <f>(Data6[[#This Row],[DNL (%)]]/100)*Data6[[#This Row],[VLDL (umol/L)]]</f>
        <v>1.1941998661229076</v>
      </c>
      <c r="AL150" s="21">
        <f>[4]SAMPLES!$L$213</f>
        <v>30.559298323277932</v>
      </c>
      <c r="AM150" s="61">
        <f>(Data6[[#This Row],[Gluconeogensis (%)]]/100)*Data6[[#This Row],[Glucose (mmol/L)]]</f>
        <v>1.9946054015603507</v>
      </c>
      <c r="AN150" s="61">
        <f>Data6[[#This Row],[Glucose (mmol/L)]]-Data6[[#This Row],[Gluconeogenesis (mmol/L)]]</f>
        <v>4.5323945984396499</v>
      </c>
      <c r="AO150" s="61" t="s">
        <v>536</v>
      </c>
    </row>
    <row r="151" spans="1:42" s="19" customFormat="1" x14ac:dyDescent="0.25">
      <c r="A151" s="7">
        <v>92</v>
      </c>
      <c r="B151" s="7" t="s">
        <v>156</v>
      </c>
      <c r="C151" s="7" t="s">
        <v>157</v>
      </c>
      <c r="D151" s="7"/>
      <c r="E151" s="7"/>
      <c r="F151" s="7"/>
      <c r="G151" s="7" t="s">
        <v>227</v>
      </c>
      <c r="H151" s="7">
        <v>39</v>
      </c>
      <c r="I151" s="7" t="s">
        <v>146</v>
      </c>
      <c r="J151" s="7"/>
      <c r="K151" s="7">
        <v>157</v>
      </c>
      <c r="L151" s="7">
        <v>65.599999999999994</v>
      </c>
      <c r="M151" s="8">
        <f>L151/((K151/100)*(K151/100))</f>
        <v>26.613655726398633</v>
      </c>
      <c r="N151" s="7">
        <v>93</v>
      </c>
      <c r="O151" s="7">
        <v>97</v>
      </c>
      <c r="P151" s="9">
        <f>Data6[[#This Row],[Waist_Circumference]]/Data6[[#This Row],[Hip_circumference]]</f>
        <v>0.95876288659793818</v>
      </c>
      <c r="Q151" s="10">
        <v>24230</v>
      </c>
      <c r="R151" s="10">
        <v>37670</v>
      </c>
      <c r="S151" s="10">
        <f>Q151+R151</f>
        <v>61900</v>
      </c>
      <c r="T151" s="9">
        <f>(Data6[[#This Row],[Total_fat_g]]/Data6[[#This Row],[Total_mass_g]])*100</f>
        <v>39.143780290791597</v>
      </c>
      <c r="U151" s="9">
        <f>(Data6[[#This Row],[Lean_mass_g]]/Data6[[#This Row],[Total_mass_g]])*100</f>
        <v>60.856219709208403</v>
      </c>
      <c r="V151" s="9">
        <v>1058</v>
      </c>
      <c r="W151" s="9">
        <v>11.45</v>
      </c>
      <c r="X151" s="9">
        <v>5.35</v>
      </c>
      <c r="Y151" s="9">
        <v>29.26</v>
      </c>
      <c r="Z151" s="21">
        <f>(Data6[[#This Row],[Glucose (mmol/L)]]*Data6[[#This Row],[Insulin (umol/L)]])/22.5</f>
        <v>6.9573777777777774</v>
      </c>
      <c r="AA151" s="9">
        <v>457.95</v>
      </c>
      <c r="AB151" s="9">
        <v>4510.3999999999996</v>
      </c>
      <c r="AC151" s="9">
        <v>13.55</v>
      </c>
      <c r="AD151" s="9">
        <v>5.0999999999999996</v>
      </c>
      <c r="AE151" s="9">
        <v>1.31</v>
      </c>
      <c r="AF151" s="9">
        <f>Data6[[#This Row],[total_chol (umol/L)]]-Data6[[#This Row],[HDL_chol (umol/L)]]</f>
        <v>3.7899999999999996</v>
      </c>
      <c r="AG151" s="9">
        <f>Data6[[#This Row],[Non_HDL (umol/L)]]-(Data6[[#This Row],[TAG (umol/L)]]/2200)</f>
        <v>1.7398181818181815</v>
      </c>
      <c r="AH151" s="9">
        <v>2082.71</v>
      </c>
      <c r="AI151" s="51">
        <v>4.8912743689080995E-3</v>
      </c>
      <c r="AJ151" s="9">
        <v>22.967615516523857</v>
      </c>
      <c r="AK151" s="23">
        <f>(Data6[[#This Row],[DNL (%)]]/100)*Data6[[#This Row],[VLDL (umol/L)]]</f>
        <v>478.34882512419404</v>
      </c>
      <c r="AL151" s="9">
        <f>[4]SAMPLES!$L$241</f>
        <v>16.086414074136709</v>
      </c>
      <c r="AM151" s="57">
        <f>(Data6[[#This Row],[Gluconeogensis (%)]]/100)*Data6[[#This Row],[Glucose (mmol/L)]]</f>
        <v>0.86062315296631386</v>
      </c>
      <c r="AN151" s="61">
        <f>Data6[[#This Row],[Glucose (mmol/L)]]-Data6[[#This Row],[Gluconeogenesis (mmol/L)]]</f>
        <v>4.4893768470336859</v>
      </c>
      <c r="AO151" s="61" t="s">
        <v>536</v>
      </c>
      <c r="AP151" s="7"/>
    </row>
    <row r="152" spans="1:42" s="19" customFormat="1" x14ac:dyDescent="0.25">
      <c r="A152" s="19">
        <v>221</v>
      </c>
      <c r="B152" s="19" t="s">
        <v>266</v>
      </c>
      <c r="C152" s="19" t="s">
        <v>250</v>
      </c>
      <c r="D152" s="19">
        <v>1</v>
      </c>
      <c r="E152" s="19" t="s">
        <v>318</v>
      </c>
      <c r="G152" s="19" t="s">
        <v>227</v>
      </c>
      <c r="H152" s="19">
        <f>'[82]Metformin Arm '!$AQ$7</f>
        <v>46</v>
      </c>
      <c r="K152" s="19">
        <v>159.50000000000003</v>
      </c>
      <c r="L152" s="19">
        <f>'[82]Dipagloflozin Arm'!$AM$5</f>
        <v>94.95</v>
      </c>
      <c r="M152" s="20">
        <f>L152/((K152/100)*(K152/100))</f>
        <v>37.322746435274809</v>
      </c>
      <c r="P152" s="21" t="e">
        <f>Data6[[#This Row],[Waist_Circumference]]/Data6[[#This Row],[Hip_circumference]]</f>
        <v>#DIV/0!</v>
      </c>
      <c r="Q152" s="22">
        <v>42100</v>
      </c>
      <c r="R152" s="22">
        <v>54976.05</v>
      </c>
      <c r="S152" s="22">
        <f>Q152+R152</f>
        <v>97076.05</v>
      </c>
      <c r="T152" s="21">
        <f>(Data6[[#This Row],[Total_fat_g]]/Data6[[#This Row],[Total_mass_g]])*100</f>
        <v>43.368060402128023</v>
      </c>
      <c r="U152" s="21">
        <f>(Data6[[#This Row],[Lean_mass_g]]/Data6[[#This Row],[Total_mass_g]])*100</f>
        <v>56.631939597871984</v>
      </c>
      <c r="V152" s="21"/>
      <c r="W152" s="21">
        <v>15.73</v>
      </c>
      <c r="X152" s="21">
        <f>[112]Glucose!$F6</f>
        <v>6.4080000000000004</v>
      </c>
      <c r="Y152" s="21">
        <f>[112]Insulin!$I9</f>
        <v>32.417499999999997</v>
      </c>
      <c r="Z152" s="21">
        <f>(Data6[[#This Row],[Glucose (mmol/L)]]*Data6[[#This Row],[Insulin (umol/L)]])/22.5</f>
        <v>9.2325039999999987</v>
      </c>
      <c r="AA152" s="21">
        <f>[112]NEFA!$F5</f>
        <v>581.70000000000005</v>
      </c>
      <c r="AB152" s="21">
        <f>[112]TAG!$I6</f>
        <v>1333.7</v>
      </c>
      <c r="AC152" s="21">
        <f>'[112]Ranbut 3-OHB'!$F5</f>
        <v>40.6</v>
      </c>
      <c r="AD152" s="21">
        <f>'[112]Apo B, HDL, Cholesterol, ALT'!$C$6</f>
        <v>5.01</v>
      </c>
      <c r="AE152" s="21">
        <f>'[112]Apo B, HDL, Cholesterol, ALT'!$J$6</f>
        <v>0.7</v>
      </c>
      <c r="AF152" s="21">
        <f>Data6[[#This Row],[total_chol (umol/L)]]-Data6[[#This Row],[HDL_chol (umol/L)]]</f>
        <v>4.3099999999999996</v>
      </c>
      <c r="AG152" s="21">
        <f>Data6[[#This Row],[Non_HDL (umol/L)]]-(Data6[[#This Row],[TAG (umol/L)]]/2200)</f>
        <v>3.7037727272727268</v>
      </c>
      <c r="AH152" s="21">
        <f>[102]Lipoproteins!K$3</f>
        <v>932.10830999999996</v>
      </c>
      <c r="AI152" s="54">
        <v>4.3508899635868008E-3</v>
      </c>
      <c r="AJ152" s="21">
        <f>'[103]VLDL__DNL data DAPA'!K$20</f>
        <v>5.8311732847532793</v>
      </c>
      <c r="AK152" s="23">
        <f>(Data6[[#This Row],[DNL (%)]]/100)*Data6[[#This Row],[VLDL (umol/L)]]</f>
        <v>54.352850757685275</v>
      </c>
      <c r="AL152" s="21">
        <f>[4]SAMPLES!$L$217</f>
        <v>20.928371359511125</v>
      </c>
      <c r="AM152" s="61">
        <f>(Data6[[#This Row],[Gluconeogensis (%)]]/100)*Data6[[#This Row],[Glucose (mmol/L)]]</f>
        <v>1.341090036717473</v>
      </c>
      <c r="AN152" s="61">
        <f>Data6[[#This Row],[Glucose (mmol/L)]]-Data6[[#This Row],[Gluconeogenesis (mmol/L)]]</f>
        <v>5.0669099632825274</v>
      </c>
      <c r="AO152" s="61" t="s">
        <v>536</v>
      </c>
    </row>
    <row r="153" spans="1:42" s="19" customFormat="1" x14ac:dyDescent="0.25">
      <c r="A153" s="19">
        <v>215</v>
      </c>
      <c r="B153" s="19" t="s">
        <v>260</v>
      </c>
      <c r="C153" s="19" t="s">
        <v>250</v>
      </c>
      <c r="D153" s="19">
        <v>1</v>
      </c>
      <c r="E153" s="19" t="s">
        <v>318</v>
      </c>
      <c r="G153" s="19" t="s">
        <v>228</v>
      </c>
      <c r="H153" s="19">
        <f>'[82]Dipagloflozin Arm'!$O$7</f>
        <v>50</v>
      </c>
      <c r="K153" s="19">
        <v>180.5</v>
      </c>
      <c r="L153" s="19">
        <f>'[82]Dipagloflozin Arm'!$O$5</f>
        <v>120.3</v>
      </c>
      <c r="M153" s="20">
        <f>L153/((K153/100)*(K153/100))</f>
        <v>36.924210219381372</v>
      </c>
      <c r="P153" s="21" t="e">
        <f>Data6[[#This Row],[Waist_Circumference]]/Data6[[#This Row],[Hip_circumference]]</f>
        <v>#DIV/0!</v>
      </c>
      <c r="Q153" s="22">
        <v>33900</v>
      </c>
      <c r="R153" s="22">
        <v>79518.3</v>
      </c>
      <c r="S153" s="22">
        <f>Q153+R153</f>
        <v>113418.3</v>
      </c>
      <c r="T153" s="21">
        <f>(Data6[[#This Row],[Total_fat_g]]/Data6[[#This Row],[Total_mass_g]])*100</f>
        <v>29.889356479509921</v>
      </c>
      <c r="U153" s="21">
        <f>(Data6[[#This Row],[Lean_mass_g]]/Data6[[#This Row],[Total_mass_g]])*100</f>
        <v>70.110643520490072</v>
      </c>
      <c r="V153" s="21"/>
      <c r="W153" s="21">
        <v>9.19</v>
      </c>
      <c r="X153" s="21">
        <f>[106]Glucose!$C6</f>
        <v>5.734</v>
      </c>
      <c r="Y153" s="21">
        <f>[106]Insulin!$I9</f>
        <v>33.664999999999999</v>
      </c>
      <c r="Z153" s="21">
        <f>(Data6[[#This Row],[Glucose (mmol/L)]]*Data6[[#This Row],[Insulin (umol/L)]])/22.5</f>
        <v>8.5793382222222228</v>
      </c>
      <c r="AA153" s="21">
        <f>[106]NEFA!$C5</f>
        <v>429.8</v>
      </c>
      <c r="AB153" s="21">
        <f>[106]TAG!$I6</f>
        <v>928</v>
      </c>
      <c r="AC153" s="21">
        <f>'[106]Ranbut 3-OHB'!$F5</f>
        <v>50</v>
      </c>
      <c r="AD153" s="21">
        <f>'[106]Apo B, HDL, Cholesterol, ALT'!$C$6</f>
        <v>4.59</v>
      </c>
      <c r="AE153" s="21">
        <f>'[106]Apo B, HDL, Cholesterol, ALT'!$J$6</f>
        <v>0.77</v>
      </c>
      <c r="AF153" s="21">
        <f>Data6[[#This Row],[total_chol (umol/L)]]-Data6[[#This Row],[HDL_chol (umol/L)]]</f>
        <v>3.82</v>
      </c>
      <c r="AG153" s="21">
        <f>Data6[[#This Row],[Non_HDL (umol/L)]]-(Data6[[#This Row],[TAG (umol/L)]]/2200)</f>
        <v>3.398181818181818</v>
      </c>
      <c r="AH153" s="21">
        <f>[102]Lipoproteins!E$3</f>
        <v>101.67093</v>
      </c>
      <c r="AI153" s="54">
        <v>3.7886111547635036E-3</v>
      </c>
      <c r="AJ153" s="21">
        <f>'[103]VLDL__DNL data DAPA'!E$20</f>
        <v>8.8956818554210138</v>
      </c>
      <c r="AK153" s="23">
        <f>(Data6[[#This Row],[DNL (%)]]/100)*Data6[[#This Row],[VLDL (umol/L)]]</f>
        <v>9.0443224722478011</v>
      </c>
      <c r="AL153" s="21">
        <f>[4]SAMPLES!$L$211</f>
        <v>11.066271533623913</v>
      </c>
      <c r="AM153" s="61">
        <f>(Data6[[#This Row],[Gluconeogensis (%)]]/100)*Data6[[#This Row],[Glucose (mmol/L)]]</f>
        <v>0.63454000973799518</v>
      </c>
      <c r="AN153" s="61">
        <f>Data6[[#This Row],[Glucose (mmol/L)]]-Data6[[#This Row],[Gluconeogenesis (mmol/L)]]</f>
        <v>5.0994599902620052</v>
      </c>
      <c r="AO153" s="61" t="s">
        <v>536</v>
      </c>
    </row>
    <row r="154" spans="1:42" s="19" customFormat="1" x14ac:dyDescent="0.25">
      <c r="A154" s="19">
        <v>220</v>
      </c>
      <c r="B154" s="19" t="s">
        <v>265</v>
      </c>
      <c r="C154" s="19" t="s">
        <v>250</v>
      </c>
      <c r="D154" s="19">
        <v>1</v>
      </c>
      <c r="E154" s="19" t="s">
        <v>318</v>
      </c>
      <c r="G154" s="19" t="s">
        <v>227</v>
      </c>
      <c r="H154" s="19">
        <f>'[82]Dipagloflozin Arm'!$AI$7</f>
        <v>49</v>
      </c>
      <c r="K154" s="19">
        <v>165.5</v>
      </c>
      <c r="L154" s="19">
        <f>'[82]Dipagloflozin Arm'!$AI$5</f>
        <v>97.5</v>
      </c>
      <c r="M154" s="20">
        <f>L154/((K154/100)*(K154/100))</f>
        <v>35.596608282144189</v>
      </c>
      <c r="P154" s="21" t="e">
        <f>Data6[[#This Row],[Waist_Circumference]]/Data6[[#This Row],[Hip_circumference]]</f>
        <v>#DIV/0!</v>
      </c>
      <c r="Q154" s="22">
        <v>43700</v>
      </c>
      <c r="R154" s="22">
        <v>54892.5</v>
      </c>
      <c r="S154" s="22">
        <f>Q154+R154</f>
        <v>98592.5</v>
      </c>
      <c r="T154" s="21">
        <f>(Data6[[#This Row],[Total_fat_g]]/Data6[[#This Row],[Total_mass_g]])*100</f>
        <v>44.323858305652053</v>
      </c>
      <c r="U154" s="21">
        <f>(Data6[[#This Row],[Lean_mass_g]]/Data6[[#This Row],[Total_mass_g]])*100</f>
        <v>55.676141694347947</v>
      </c>
      <c r="V154" s="21"/>
      <c r="W154" s="21">
        <v>16.25</v>
      </c>
      <c r="X154" s="21">
        <f>[111]Glucose!$C6</f>
        <v>6.343</v>
      </c>
      <c r="Y154" s="21">
        <f>[111]Insulin!$I9</f>
        <v>34.166499999999999</v>
      </c>
      <c r="Z154" s="21">
        <f>(Data6[[#This Row],[Glucose (mmol/L)]]*Data6[[#This Row],[Insulin (umol/L)]])/22.5</f>
        <v>9.6319159777777781</v>
      </c>
      <c r="AA154" s="21">
        <f>[111]NEFA!$F5</f>
        <v>590.20000000000005</v>
      </c>
      <c r="AB154" s="21">
        <f>[111]TAG!$I6</f>
        <v>1334.1000000000001</v>
      </c>
      <c r="AC154" s="21">
        <f>'[111]Ranbut 3-OHB'!$F5</f>
        <v>81.5</v>
      </c>
      <c r="AD154" s="21">
        <f>'[111]Apo B, HDL, Cholesterol, ALT'!$C$6</f>
        <v>6.39</v>
      </c>
      <c r="AE154" s="21">
        <f>'[111]Apo B, HDL, Cholesterol, ALT'!$J$6</f>
        <v>1.59</v>
      </c>
      <c r="AF154" s="21">
        <f>Data6[[#This Row],[total_chol (umol/L)]]-Data6[[#This Row],[HDL_chol (umol/L)]]</f>
        <v>4.8</v>
      </c>
      <c r="AG154" s="21">
        <f>Data6[[#This Row],[Non_HDL (umol/L)]]-(Data6[[#This Row],[TAG (umol/L)]]/2200)</f>
        <v>4.1935909090909087</v>
      </c>
      <c r="AH154" s="21">
        <f>[102]Lipoproteins!J$3</f>
        <v>449.95668000000006</v>
      </c>
      <c r="AI154" s="54">
        <v>5.1391547476350944E-3</v>
      </c>
      <c r="AJ154" s="21">
        <f>'[103]VLDL__DNL data DAPA'!J$20</f>
        <v>2.6268428606502776</v>
      </c>
      <c r="AK154" s="23">
        <f>(Data6[[#This Row],[DNL (%)]]/100)*Data6[[#This Row],[VLDL (umol/L)]]</f>
        <v>11.819654924599016</v>
      </c>
      <c r="AL154" s="21">
        <f>[4]SAMPLES!$L$216</f>
        <v>17.605710601332795</v>
      </c>
      <c r="AM154" s="61">
        <f>(Data6[[#This Row],[Gluconeogensis (%)]]/100)*Data6[[#This Row],[Glucose (mmol/L)]]</f>
        <v>1.1167302234425391</v>
      </c>
      <c r="AN154" s="61">
        <f>Data6[[#This Row],[Glucose (mmol/L)]]-Data6[[#This Row],[Gluconeogenesis (mmol/L)]]</f>
        <v>5.2262697765574604</v>
      </c>
      <c r="AO154" s="61" t="s">
        <v>536</v>
      </c>
    </row>
    <row r="155" spans="1:42" x14ac:dyDescent="0.25">
      <c r="A155" s="19">
        <v>203</v>
      </c>
      <c r="B155" s="19" t="s">
        <v>251</v>
      </c>
      <c r="C155" s="19" t="s">
        <v>250</v>
      </c>
      <c r="D155" s="19">
        <v>1</v>
      </c>
      <c r="E155" s="19" t="s">
        <v>228</v>
      </c>
      <c r="F155" s="19"/>
      <c r="G155" s="19" t="s">
        <v>227</v>
      </c>
      <c r="H155" s="19">
        <f>'[82]Metformin Arm '!$G$7</f>
        <v>51</v>
      </c>
      <c r="I155" s="19"/>
      <c r="J155" s="19"/>
      <c r="K155" s="19">
        <v>154</v>
      </c>
      <c r="L155" s="19">
        <f>'[82]Metformin Arm '!$G$5</f>
        <v>82.2</v>
      </c>
      <c r="M155" s="20">
        <f>L155/((K155/100)*(K155/100))</f>
        <v>34.660145049755442</v>
      </c>
      <c r="N155" s="19"/>
      <c r="O155" s="19"/>
      <c r="P155" s="21" t="e">
        <f>Data6[[#This Row],[Waist_Circumference]]/Data6[[#This Row],[Hip_circumference]]</f>
        <v>#DIV/0!</v>
      </c>
      <c r="Q155" s="22">
        <v>35099.4</v>
      </c>
      <c r="R155" s="22">
        <v>47100.6</v>
      </c>
      <c r="S155" s="22">
        <f>Q155+R155</f>
        <v>82200</v>
      </c>
      <c r="T155" s="21">
        <f>(Data6[[#This Row],[Total_fat_g]]/Data6[[#This Row],[Total_mass_g]])*100</f>
        <v>42.699999999999996</v>
      </c>
      <c r="U155" s="21">
        <f>(Data6[[#This Row],[Lean_mass_g]]/Data6[[#This Row],[Total_mass_g]])*100</f>
        <v>57.3</v>
      </c>
      <c r="V155" s="21"/>
      <c r="W155" s="21">
        <v>26.61</v>
      </c>
      <c r="X155" s="21">
        <f>[83]Glucose!$C$4</f>
        <v>6.6740000000000004</v>
      </c>
      <c r="Y155" s="21">
        <f>[87]Insulin!$I9</f>
        <v>41.305</v>
      </c>
      <c r="Z155" s="21">
        <f>(Data6[[#This Row],[Glucose (mmol/L)]]*Data6[[#This Row],[Insulin (umol/L)]])/22.5</f>
        <v>12.251980888888889</v>
      </c>
      <c r="AA155" s="21">
        <f>[87]NEFA!$F$5</f>
        <v>805.4</v>
      </c>
      <c r="AB155" s="21">
        <f>[87]TAG!$I$6</f>
        <v>2069.8000000000002</v>
      </c>
      <c r="AC155" s="21">
        <f>'[87]Ranbut 3-OHB'!$F$5</f>
        <v>215.3</v>
      </c>
      <c r="AD155" s="21">
        <f>'[87]Apo B, HDL, Cholesterol, ALT'!$C$6</f>
        <v>4.29</v>
      </c>
      <c r="AE155" s="21">
        <f>'[87]Apo B, HDL, Cholesterol, ALT'!$J$6</f>
        <v>0.9</v>
      </c>
      <c r="AF155" s="21">
        <f>Data6[[#This Row],[total_chol (umol/L)]]-Data6[[#This Row],[HDL_chol (umol/L)]]</f>
        <v>3.39</v>
      </c>
      <c r="AG155" s="21">
        <f>Data6[[#This Row],[Non_HDL (umol/L)]]-(Data6[[#This Row],[TAG (umol/L)]]/2200)</f>
        <v>2.4491818181818181</v>
      </c>
      <c r="AH155" s="21">
        <f>'[88]calculations and TAG concs'!$H$4</f>
        <v>1596.9589124999998</v>
      </c>
      <c r="AI155" s="54">
        <v>3.4221575817647795E-3</v>
      </c>
      <c r="AJ155" s="21">
        <f>[86]dnl!$C$3</f>
        <v>3.8944953998748826</v>
      </c>
      <c r="AK155" s="23">
        <f>(Data6[[#This Row],[DNL (%)]]/100)*Data6[[#This Row],[VLDL (umol/L)]]</f>
        <v>62.193491385204439</v>
      </c>
      <c r="AL155" s="21">
        <f>[4]SAMPLES!$L$199</f>
        <v>27.322832693623329</v>
      </c>
      <c r="AM155" s="61">
        <f>(Data6[[#This Row],[Gluconeogensis (%)]]/100)*Data6[[#This Row],[Glucose (mmol/L)]]</f>
        <v>1.8235258539724211</v>
      </c>
      <c r="AN155" s="61">
        <f>Data6[[#This Row],[Glucose (mmol/L)]]-Data6[[#This Row],[Gluconeogenesis (mmol/L)]]</f>
        <v>4.8504741460275795</v>
      </c>
      <c r="AO155" s="61" t="s">
        <v>536</v>
      </c>
      <c r="AP155" s="19"/>
    </row>
    <row r="156" spans="1:42" x14ac:dyDescent="0.25">
      <c r="A156" s="19">
        <v>207</v>
      </c>
      <c r="B156" s="19" t="s">
        <v>255</v>
      </c>
      <c r="C156" s="19" t="s">
        <v>250</v>
      </c>
      <c r="D156" s="19">
        <v>1</v>
      </c>
      <c r="E156" s="19" t="s">
        <v>228</v>
      </c>
      <c r="F156" s="19"/>
      <c r="G156" s="19" t="s">
        <v>228</v>
      </c>
      <c r="H156" s="19">
        <f>'[82]Metformin Arm '!$W$7</f>
        <v>36</v>
      </c>
      <c r="I156" s="19"/>
      <c r="J156" s="19"/>
      <c r="K156" s="19">
        <v>172</v>
      </c>
      <c r="L156" s="19">
        <f>'[82]Metformin Arm '!$W$5</f>
        <v>125.1</v>
      </c>
      <c r="M156" s="20">
        <f>L156/((K156/100)*(K156/100))</f>
        <v>42.286371011357495</v>
      </c>
      <c r="N156" s="19"/>
      <c r="O156" s="19"/>
      <c r="P156" s="21" t="e">
        <f>Data6[[#This Row],[Waist_Circumference]]/Data6[[#This Row],[Hip_circumference]]</f>
        <v>#DIV/0!</v>
      </c>
      <c r="Q156" s="22">
        <v>44035.200000000004</v>
      </c>
      <c r="R156" s="22">
        <v>81064.799999999988</v>
      </c>
      <c r="S156" s="22">
        <f>Q156+R156</f>
        <v>125100</v>
      </c>
      <c r="T156" s="21">
        <f>(Data6[[#This Row],[Total_fat_g]]/Data6[[#This Row],[Total_mass_g]])*100</f>
        <v>35.200000000000003</v>
      </c>
      <c r="U156" s="21">
        <f>(Data6[[#This Row],[Lean_mass_g]]/Data6[[#This Row],[Total_mass_g]])*100</f>
        <v>64.8</v>
      </c>
      <c r="V156" s="21"/>
      <c r="W156" s="21">
        <v>36.4</v>
      </c>
      <c r="X156" s="21">
        <f>[83]Glucose!$G$4</f>
        <v>8.4469999999999992</v>
      </c>
      <c r="Y156" s="21">
        <f>[95]Insulin!$I9</f>
        <v>62.718999999999994</v>
      </c>
      <c r="Z156" s="21">
        <f>(Data6[[#This Row],[Glucose (mmol/L)]]*Data6[[#This Row],[Insulin (umol/L)]])/22.5</f>
        <v>23.546106355555555</v>
      </c>
      <c r="AA156" s="21">
        <f>[95]NEFA!$F5</f>
        <v>632.4</v>
      </c>
      <c r="AB156" s="21">
        <f>[95]TAG!$I6</f>
        <v>1047.9000000000001</v>
      </c>
      <c r="AC156" s="21">
        <f>'[95]Ranbut 3-OHB'!$F5</f>
        <v>79.400000000000006</v>
      </c>
      <c r="AD156" s="21">
        <f>'[95]Apo B, HDL, Cholesterol, ALT'!$C$6</f>
        <v>4.25</v>
      </c>
      <c r="AE156" s="21">
        <f>'[95]Apo B, HDL, Cholesterol, ALT'!$J$6</f>
        <v>1.18</v>
      </c>
      <c r="AF156" s="21">
        <f>Data6[[#This Row],[total_chol (umol/L)]]-Data6[[#This Row],[HDL_chol (umol/L)]]</f>
        <v>3.0700000000000003</v>
      </c>
      <c r="AG156" s="21">
        <f>Data6[[#This Row],[Non_HDL (umol/L)]]-(Data6[[#This Row],[TAG (umol/L)]]/2200)</f>
        <v>2.5936818181818184</v>
      </c>
      <c r="AH156" s="21">
        <f>[83]Lipoproteins!G$3</f>
        <v>599.91045374999999</v>
      </c>
      <c r="AI156" s="54">
        <v>4.1892222106076401E-3</v>
      </c>
      <c r="AJ156" s="21">
        <f>[86]dnl!$G$3</f>
        <v>3.430180332615544</v>
      </c>
      <c r="AK156" s="23">
        <f>(Data6[[#This Row],[DNL (%)]]/100)*Data6[[#This Row],[VLDL (umol/L)]]</f>
        <v>20.578010397837168</v>
      </c>
      <c r="AL156" s="21">
        <f>[4]SAMPLES!$L$203</f>
        <v>15.211630511138255</v>
      </c>
      <c r="AM156" s="61">
        <f>(Data6[[#This Row],[Gluconeogensis (%)]]/100)*Data6[[#This Row],[Glucose (mmol/L)]]</f>
        <v>1.2849264292758482</v>
      </c>
      <c r="AN156" s="61">
        <f>Data6[[#This Row],[Glucose (mmol/L)]]-Data6[[#This Row],[Gluconeogenesis (mmol/L)]]</f>
        <v>7.162073570724151</v>
      </c>
      <c r="AO156" s="61" t="s">
        <v>536</v>
      </c>
      <c r="AP156" s="19"/>
    </row>
    <row r="157" spans="1:42" x14ac:dyDescent="0.25">
      <c r="A157" s="11">
        <v>170</v>
      </c>
      <c r="B157" s="11" t="s">
        <v>287</v>
      </c>
      <c r="C157" s="11" t="s">
        <v>233</v>
      </c>
      <c r="D157" s="11">
        <v>1</v>
      </c>
      <c r="E157" s="11"/>
      <c r="F157" s="11" t="s">
        <v>391</v>
      </c>
      <c r="G157" s="11" t="s">
        <v>228</v>
      </c>
      <c r="H157" s="11">
        <f>[63]Characteristics!$B$8</f>
        <v>53</v>
      </c>
      <c r="I157" s="11"/>
      <c r="J157" s="11"/>
      <c r="K157" s="11">
        <f>'[63]Anthro, DXA, Liver fat'!$B$6</f>
        <v>166</v>
      </c>
      <c r="L157" s="11">
        <f>'[63]Anthro, DXA, Liver fat'!$B$5</f>
        <v>75.8</v>
      </c>
      <c r="M157" s="12">
        <f>L157/((K157/100)*(K157/100))</f>
        <v>27.507620844825084</v>
      </c>
      <c r="N157" s="11">
        <f>'[63]Anthro, DXA, Liver fat'!$B$8</f>
        <v>85</v>
      </c>
      <c r="O157" s="11"/>
      <c r="P157" s="13" t="e">
        <f>Data6[[#This Row],[Waist_Circumference]]/Data6[[#This Row],[Hip_circumference]]</f>
        <v>#DIV/0!</v>
      </c>
      <c r="Q157" s="14">
        <f>'[63]Anthro, DXA, Liver fat'!$B$19</f>
        <v>11757.809644860001</v>
      </c>
      <c r="R157" s="14">
        <f>'[63]Anthro, DXA, Liver fat'!$B$20</f>
        <v>62617.963468372996</v>
      </c>
      <c r="S157" s="14">
        <f>Q157+R157</f>
        <v>74375.773113232994</v>
      </c>
      <c r="T157" s="13">
        <f>(Data6[[#This Row],[Total_fat_g]]/Data6[[#This Row],[Total_mass_g]])*100</f>
        <v>15.808655362760918</v>
      </c>
      <c r="U157" s="13">
        <f>(Data6[[#This Row],[Lean_mass_g]]/Data6[[#This Row],[Total_mass_g]])*100</f>
        <v>84.191344637239084</v>
      </c>
      <c r="V157" s="13">
        <f>'[63]Anthro, DXA, Liver fat'!$B$27</f>
        <v>44.081997781406997</v>
      </c>
      <c r="W157" s="13">
        <f>'[64]IHTG Corrected'!$D$2</f>
        <v>1.084542857243836</v>
      </c>
      <c r="X157" s="13">
        <f>[63]Glucose!$B$7</f>
        <v>4.8150000000000004</v>
      </c>
      <c r="Y157" s="13" t="e">
        <f>[65]Insulin!$I$3</f>
        <v>#REF!</v>
      </c>
      <c r="Z157" s="21" t="e">
        <f>(Data6[[#This Row],[Glucose (mmol/L)]]*Data6[[#This Row],[Insulin (umol/L)]])/22.5</f>
        <v>#REF!</v>
      </c>
      <c r="AA157" s="13">
        <f>[63]NEFA!$B$7</f>
        <v>263.697</v>
      </c>
      <c r="AB157" s="13">
        <f>[63]TAG!$B$7</f>
        <v>595.93499999999995</v>
      </c>
      <c r="AC157" s="13">
        <f>'[63]3-OHB'!$B$7</f>
        <v>44.2</v>
      </c>
      <c r="AD157" s="13">
        <f>'[63]Apo B, Cholesterol, HDL, ALT'!$B$17</f>
        <v>4.82</v>
      </c>
      <c r="AE157" s="13">
        <f>'[63]Apo B, Cholesterol, HDL, ALT'!$B$27</f>
        <v>1.62</v>
      </c>
      <c r="AF157" s="13">
        <f>Data6[[#This Row],[total_chol (umol/L)]]-Data6[[#This Row],[HDL_chol (umol/L)]]</f>
        <v>3.2</v>
      </c>
      <c r="AG157" s="13">
        <f>Data6[[#This Row],[Non_HDL (umol/L)]]-(Data6[[#This Row],[TAG (umol/L)]]/2200)</f>
        <v>2.9291204545454548</v>
      </c>
      <c r="AH157" s="13">
        <f>[66]Data!$AQ$3</f>
        <v>175.53442149184397</v>
      </c>
      <c r="AI157" s="53">
        <f>'[63]DNL_Bounds Visit A'!$B$16</f>
        <v>3.5590794305319804E-3</v>
      </c>
      <c r="AJ157" s="13">
        <f>'[63]DNL_Bounds Visit A'!$B$24</f>
        <v>1.2601837306102144</v>
      </c>
      <c r="AK157" s="23">
        <f>(Data6[[#This Row],[DNL (%)]]/100)*Data6[[#This Row],[VLDL (umol/L)]]</f>
        <v>2.2120562212609771</v>
      </c>
      <c r="AL157" s="13">
        <f>[4]SAMPLES!$L$104</f>
        <v>27.947320387818447</v>
      </c>
      <c r="AM157" s="60">
        <f>(Data6[[#This Row],[Gluconeogensis (%)]]/100)*Data6[[#This Row],[Glucose (mmol/L)]]</f>
        <v>1.3456634766734583</v>
      </c>
      <c r="AN157" s="61">
        <f>Data6[[#This Row],[Glucose (mmol/L)]]-Data6[[#This Row],[Gluconeogenesis (mmol/L)]]</f>
        <v>3.4693365233265423</v>
      </c>
      <c r="AO157" s="61" t="s">
        <v>536</v>
      </c>
      <c r="AP157" s="11"/>
    </row>
    <row r="158" spans="1:42" x14ac:dyDescent="0.25">
      <c r="A158" s="7">
        <v>110</v>
      </c>
      <c r="B158" s="7" t="s">
        <v>101</v>
      </c>
      <c r="C158" s="7" t="s">
        <v>189</v>
      </c>
      <c r="D158" s="7"/>
      <c r="E158" s="7"/>
      <c r="F158" s="7"/>
      <c r="G158" s="7" t="s">
        <v>227</v>
      </c>
      <c r="H158" s="7">
        <v>55</v>
      </c>
      <c r="I158" s="7" t="s">
        <v>229</v>
      </c>
      <c r="J158" s="7"/>
      <c r="K158" s="7">
        <v>162.5</v>
      </c>
      <c r="L158" s="7">
        <v>58.3</v>
      </c>
      <c r="M158" s="8">
        <f>L158/((K158/100)*(K158/100))</f>
        <v>22.078106508875738</v>
      </c>
      <c r="N158" s="7">
        <v>83</v>
      </c>
      <c r="O158" s="7">
        <v>94</v>
      </c>
      <c r="P158" s="9">
        <f>Data6[[#This Row],[Waist_Circumference]]/Data6[[#This Row],[Hip_circumference]]</f>
        <v>0.88297872340425532</v>
      </c>
      <c r="Q158" s="10">
        <v>0</v>
      </c>
      <c r="R158" s="10">
        <v>0</v>
      </c>
      <c r="S158" s="10"/>
      <c r="T158" s="9"/>
      <c r="U158" s="9"/>
      <c r="V158" s="9"/>
      <c r="W158" s="9">
        <v>0.63</v>
      </c>
      <c r="X158" s="9">
        <v>6.13</v>
      </c>
      <c r="Y158" s="9"/>
      <c r="Z158" s="21">
        <f>(Data6[[#This Row],[Glucose (mmol/L)]]*Data6[[#This Row],[Insulin (umol/L)]])/22.5</f>
        <v>0</v>
      </c>
      <c r="AA158" s="9">
        <v>499</v>
      </c>
      <c r="AB158" s="9">
        <v>873.65</v>
      </c>
      <c r="AC158" s="9">
        <v>46.5</v>
      </c>
      <c r="AD158" s="9">
        <v>8.9</v>
      </c>
      <c r="AE158" s="9">
        <v>1.8</v>
      </c>
      <c r="AF158" s="9">
        <f>Data6[[#This Row],[total_chol (umol/L)]]-Data6[[#This Row],[HDL_chol (umol/L)]]</f>
        <v>7.1000000000000005</v>
      </c>
      <c r="AG158" s="9">
        <f>Data6[[#This Row],[Non_HDL (umol/L)]]-(Data6[[#This Row],[TAG (umol/L)]]/2200)</f>
        <v>6.702886363636364</v>
      </c>
      <c r="AH158" s="9">
        <v>232.49</v>
      </c>
      <c r="AI158" s="51">
        <v>3.506418801136695E-3</v>
      </c>
      <c r="AJ158" s="9">
        <v>4.9983543946859283</v>
      </c>
      <c r="AK158" s="23">
        <f>(Data6[[#This Row],[DNL (%)]]/100)*Data6[[#This Row],[VLDL (umol/L)]]</f>
        <v>11.620674132205316</v>
      </c>
      <c r="AL158" s="9"/>
      <c r="AM158" s="57"/>
      <c r="AN158" s="61"/>
      <c r="AO158" s="61" t="s">
        <v>536</v>
      </c>
      <c r="AP158" s="7" t="s">
        <v>412</v>
      </c>
    </row>
  </sheetData>
  <phoneticPr fontId="6" type="noConversion"/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4C08D-D671-8048-B059-6060BB30E944}">
  <dimension ref="A1:BJ33"/>
  <sheetViews>
    <sheetView zoomScale="140" zoomScaleNormal="140" workbookViewId="0">
      <selection activeCell="E17" sqref="E17"/>
    </sheetView>
  </sheetViews>
  <sheetFormatPr defaultColWidth="11.42578125" defaultRowHeight="15" x14ac:dyDescent="0.25"/>
  <cols>
    <col min="1" max="1" width="13.7109375" customWidth="1"/>
    <col min="5" max="6" width="13.28515625" customWidth="1"/>
    <col min="14" max="14" width="20.140625" customWidth="1"/>
    <col min="15" max="15" width="18.28515625" customWidth="1"/>
    <col min="16" max="16" width="16.140625" customWidth="1"/>
    <col min="17" max="17" width="11.85546875" customWidth="1"/>
    <col min="18" max="18" width="13.28515625" customWidth="1"/>
    <col min="19" max="19" width="13.42578125" customWidth="1"/>
    <col min="20" max="20" width="12.28515625" customWidth="1"/>
    <col min="21" max="21" width="13.85546875" customWidth="1"/>
    <col min="22" max="22" width="14.140625" customWidth="1"/>
    <col min="24" max="26" width="16.7109375" customWidth="1"/>
    <col min="27" max="27" width="15.7109375" customWidth="1"/>
    <col min="29" max="29" width="14.42578125" customWidth="1"/>
    <col min="30" max="30" width="13.7109375" customWidth="1"/>
    <col min="31" max="31" width="14.85546875" customWidth="1"/>
    <col min="32" max="32" width="18.28515625" customWidth="1"/>
    <col min="33" max="33" width="17.85546875" customWidth="1"/>
    <col min="34" max="34" width="17.7109375" customWidth="1"/>
    <col min="35" max="35" width="15.85546875" customWidth="1"/>
    <col min="36" max="36" width="14.42578125" customWidth="1"/>
    <col min="37" max="37" width="25.85546875" customWidth="1"/>
    <col min="39" max="39" width="13.7109375" customWidth="1"/>
    <col min="40" max="40" width="18.28515625" customWidth="1"/>
    <col min="41" max="41" width="24.140625" customWidth="1"/>
    <col min="42" max="42" width="20.140625" style="3" customWidth="1"/>
    <col min="43" max="43" width="19.42578125" customWidth="1"/>
    <col min="44" max="44" width="21.28515625" customWidth="1"/>
  </cols>
  <sheetData>
    <row r="1" spans="1:44" x14ac:dyDescent="0.25">
      <c r="A1" t="s">
        <v>322</v>
      </c>
      <c r="B1" t="s">
        <v>0</v>
      </c>
      <c r="C1" t="s">
        <v>1</v>
      </c>
      <c r="D1" t="s">
        <v>10</v>
      </c>
      <c r="E1" t="s">
        <v>11</v>
      </c>
      <c r="F1" t="s">
        <v>390</v>
      </c>
      <c r="G1" t="s">
        <v>2</v>
      </c>
      <c r="H1" t="s">
        <v>6</v>
      </c>
      <c r="I1" t="s">
        <v>28</v>
      </c>
      <c r="J1" t="s">
        <v>29</v>
      </c>
      <c r="K1" t="s">
        <v>3</v>
      </c>
      <c r="L1" t="s">
        <v>4</v>
      </c>
      <c r="M1" t="s">
        <v>5</v>
      </c>
      <c r="N1" s="1" t="s">
        <v>7</v>
      </c>
      <c r="O1" s="1" t="s">
        <v>30</v>
      </c>
      <c r="P1" s="1" t="s">
        <v>286</v>
      </c>
      <c r="Q1" t="s">
        <v>12</v>
      </c>
      <c r="R1" s="2" t="s">
        <v>13</v>
      </c>
      <c r="S1" s="2" t="s">
        <v>14</v>
      </c>
      <c r="T1" s="4" t="s">
        <v>15</v>
      </c>
      <c r="U1" s="4" t="s">
        <v>16</v>
      </c>
      <c r="V1" t="s">
        <v>8</v>
      </c>
      <c r="W1" t="s">
        <v>9</v>
      </c>
      <c r="X1" s="3" t="s">
        <v>484</v>
      </c>
      <c r="Y1" s="3" t="s">
        <v>485</v>
      </c>
      <c r="Z1" s="3" t="s">
        <v>490</v>
      </c>
      <c r="AA1" s="3" t="s">
        <v>422</v>
      </c>
      <c r="AB1" s="3" t="s">
        <v>17</v>
      </c>
      <c r="AC1" s="3" t="s">
        <v>421</v>
      </c>
      <c r="AD1" t="s">
        <v>420</v>
      </c>
      <c r="AE1" t="s">
        <v>419</v>
      </c>
      <c r="AF1" t="s">
        <v>418</v>
      </c>
      <c r="AG1" t="s">
        <v>417</v>
      </c>
      <c r="AH1" t="s">
        <v>416</v>
      </c>
      <c r="AI1" s="3" t="s">
        <v>21</v>
      </c>
      <c r="AJ1" t="s">
        <v>415</v>
      </c>
      <c r="AK1" t="s">
        <v>483</v>
      </c>
      <c r="AL1" t="s">
        <v>320</v>
      </c>
      <c r="AM1" t="s">
        <v>388</v>
      </c>
      <c r="AN1" t="s">
        <v>408</v>
      </c>
      <c r="AO1" t="s">
        <v>481</v>
      </c>
      <c r="AP1" s="3" t="s">
        <v>480</v>
      </c>
      <c r="AQ1" t="s">
        <v>482</v>
      </c>
      <c r="AR1" t="s">
        <v>486</v>
      </c>
    </row>
    <row r="2" spans="1:44" s="23" customFormat="1" x14ac:dyDescent="0.25">
      <c r="A2" s="7">
        <v>79</v>
      </c>
      <c r="B2" s="7" t="s">
        <v>132</v>
      </c>
      <c r="C2" s="7" t="s">
        <v>133</v>
      </c>
      <c r="D2" s="7"/>
      <c r="E2" s="7"/>
      <c r="F2" s="7"/>
      <c r="G2" s="7" t="s">
        <v>227</v>
      </c>
      <c r="H2" s="7">
        <v>55</v>
      </c>
      <c r="I2" s="7" t="s">
        <v>229</v>
      </c>
      <c r="J2" s="7"/>
      <c r="K2" s="7">
        <v>172</v>
      </c>
      <c r="L2" s="7">
        <v>69</v>
      </c>
      <c r="M2" s="8">
        <v>23.323418063818284</v>
      </c>
      <c r="N2" s="7">
        <v>88</v>
      </c>
      <c r="O2" s="7">
        <v>102</v>
      </c>
      <c r="P2" s="9">
        <v>0.86274509803921573</v>
      </c>
      <c r="Q2" s="10">
        <v>21960</v>
      </c>
      <c r="R2" s="10">
        <v>45240</v>
      </c>
      <c r="S2" s="10">
        <v>67200</v>
      </c>
      <c r="T2" s="9">
        <v>32.678571428571431</v>
      </c>
      <c r="U2" s="9">
        <v>67.321428571428584</v>
      </c>
      <c r="V2" s="9">
        <v>189</v>
      </c>
      <c r="W2" s="9">
        <v>0.71</v>
      </c>
      <c r="X2" s="9">
        <v>4.45</v>
      </c>
      <c r="Y2" s="9">
        <v>4.5955000000000004</v>
      </c>
      <c r="Z2" s="9">
        <f>Table7[[#This Row],[Glucose (umol/L) at 480mins]]-Table7[[#This Row],[Glucose (umol/L) at 0mins]]</f>
        <v>0.14550000000000018</v>
      </c>
      <c r="AA2" s="9">
        <v>7.06</v>
      </c>
      <c r="AB2" s="9">
        <v>1.3963111111111111</v>
      </c>
      <c r="AC2" s="9">
        <v>697.46</v>
      </c>
      <c r="AD2" s="9">
        <v>548.95000000000005</v>
      </c>
      <c r="AE2" s="9">
        <v>26.9</v>
      </c>
      <c r="AF2" s="9">
        <v>6.3</v>
      </c>
      <c r="AG2" s="9">
        <v>1.74</v>
      </c>
      <c r="AH2" s="9">
        <v>4.5599999999999996</v>
      </c>
      <c r="AI2" s="9">
        <v>4.3104772727272724</v>
      </c>
      <c r="AJ2" s="9">
        <v>110.79</v>
      </c>
      <c r="AK2" s="51">
        <v>4.507389333968043E-3</v>
      </c>
      <c r="AL2" s="9">
        <v>1.7764800718457481</v>
      </c>
      <c r="AM2" s="7">
        <v>1.9681622715979046</v>
      </c>
      <c r="AN2" s="65">
        <v>5.1547763079577109</v>
      </c>
      <c r="AO2" s="57">
        <v>0.22938754570411815</v>
      </c>
      <c r="AP2" s="9">
        <v>36.190095814987842</v>
      </c>
      <c r="AQ2" s="9">
        <f>Table7[[#This Row],[Glucose (umol/L) at 480mins]]*(Table7[[#This Row],[Gluconeogenesis (%) at 480mins]]/100)</f>
        <v>1.6631158531777666</v>
      </c>
      <c r="AR2" s="9">
        <f>Table7[[#This Row],[Gluconeogenesis (%) at 480mins]]-Table7[[#This Row],[Gluconeogensis (%) at 0mins]]</f>
        <v>31.035319507030131</v>
      </c>
    </row>
    <row r="3" spans="1:44" s="23" customFormat="1" x14ac:dyDescent="0.25">
      <c r="A3" s="7">
        <v>65</v>
      </c>
      <c r="B3" s="7" t="s">
        <v>107</v>
      </c>
      <c r="C3" s="7" t="s">
        <v>108</v>
      </c>
      <c r="D3" s="7"/>
      <c r="E3" s="7"/>
      <c r="F3" s="7"/>
      <c r="G3" s="7" t="s">
        <v>227</v>
      </c>
      <c r="H3" s="7">
        <v>58</v>
      </c>
      <c r="I3" s="7" t="s">
        <v>229</v>
      </c>
      <c r="J3" s="7"/>
      <c r="K3" s="7">
        <v>157</v>
      </c>
      <c r="L3" s="7">
        <v>57.8</v>
      </c>
      <c r="M3" s="8">
        <v>23.449227149174408</v>
      </c>
      <c r="N3" s="7">
        <v>74</v>
      </c>
      <c r="O3" s="7">
        <v>87</v>
      </c>
      <c r="P3" s="9">
        <v>0.85057471264367812</v>
      </c>
      <c r="Q3" s="10">
        <v>17040</v>
      </c>
      <c r="R3" s="10">
        <v>39410</v>
      </c>
      <c r="S3" s="10">
        <v>56450</v>
      </c>
      <c r="T3" s="9">
        <v>30.186005314437551</v>
      </c>
      <c r="U3" s="9">
        <v>69.813994685562449</v>
      </c>
      <c r="V3" s="9">
        <v>61</v>
      </c>
      <c r="W3" s="9">
        <v>0.53</v>
      </c>
      <c r="X3" s="9">
        <v>4.93</v>
      </c>
      <c r="Y3" s="9">
        <v>4.9290000000000003</v>
      </c>
      <c r="Z3" s="9">
        <f>Table7[[#This Row],[Glucose (umol/L) at 480mins]]-Table7[[#This Row],[Glucose (umol/L) at 0mins]]</f>
        <v>-9.9999999999944578E-4</v>
      </c>
      <c r="AA3" s="9">
        <v>11.7</v>
      </c>
      <c r="AB3" s="9">
        <v>2.5635999999999997</v>
      </c>
      <c r="AC3" s="9">
        <v>582.1</v>
      </c>
      <c r="AD3" s="9">
        <v>520.95000000000005</v>
      </c>
      <c r="AE3" s="9">
        <v>71.400000000000006</v>
      </c>
      <c r="AF3" s="9">
        <v>6</v>
      </c>
      <c r="AG3" s="9">
        <v>2.2200000000000002</v>
      </c>
      <c r="AH3" s="9">
        <v>3.78</v>
      </c>
      <c r="AI3" s="9">
        <v>3.5432045454545453</v>
      </c>
      <c r="AJ3" s="9">
        <v>114.69</v>
      </c>
      <c r="AK3" s="51">
        <v>4.3623716603482764E-3</v>
      </c>
      <c r="AL3" s="9">
        <v>3.1314084947989143</v>
      </c>
      <c r="AM3" s="7">
        <v>3.5914124026848748</v>
      </c>
      <c r="AN3" s="9">
        <v>9.3453372234787757</v>
      </c>
      <c r="AO3" s="57">
        <v>0.46072512511750358</v>
      </c>
      <c r="AP3" s="9">
        <v>46.608062497236006</v>
      </c>
      <c r="AQ3" s="9">
        <f>Table7[[#This Row],[Glucose (umol/L) at 480mins]]*(Table7[[#This Row],[Gluconeogenesis (%) at 480mins]]/100)</f>
        <v>2.2973114004887631</v>
      </c>
      <c r="AR3" s="9">
        <f>Table7[[#This Row],[Gluconeogenesis (%) at 480mins]]-Table7[[#This Row],[Gluconeogensis (%) at 0mins]]</f>
        <v>37.262725273757226</v>
      </c>
    </row>
    <row r="4" spans="1:44" s="23" customFormat="1" x14ac:dyDescent="0.25">
      <c r="A4" s="7">
        <v>63</v>
      </c>
      <c r="B4" s="7" t="s">
        <v>99</v>
      </c>
      <c r="C4" s="7" t="s">
        <v>104</v>
      </c>
      <c r="D4" s="7"/>
      <c r="E4" s="7"/>
      <c r="F4" s="19"/>
      <c r="G4" s="7" t="s">
        <v>227</v>
      </c>
      <c r="H4" s="7">
        <v>63</v>
      </c>
      <c r="I4" s="7"/>
      <c r="J4" s="7"/>
      <c r="K4" s="7">
        <v>163</v>
      </c>
      <c r="L4" s="7">
        <v>73.3</v>
      </c>
      <c r="M4" s="8">
        <v>27.588543038879898</v>
      </c>
      <c r="N4" s="7">
        <v>82</v>
      </c>
      <c r="O4" s="7">
        <v>105</v>
      </c>
      <c r="P4" s="9">
        <v>0.78095238095238095</v>
      </c>
      <c r="Q4" s="10">
        <v>26730</v>
      </c>
      <c r="R4" s="10">
        <v>43660</v>
      </c>
      <c r="S4" s="10">
        <v>70390</v>
      </c>
      <c r="T4" s="9">
        <v>37.974144054553207</v>
      </c>
      <c r="U4" s="9">
        <v>62.025855945446793</v>
      </c>
      <c r="V4" s="9"/>
      <c r="W4" s="9">
        <v>0.68</v>
      </c>
      <c r="X4" s="9">
        <v>5.2</v>
      </c>
      <c r="Y4" s="9">
        <v>4.9930000000000003</v>
      </c>
      <c r="Z4" s="9">
        <f>Table7[[#This Row],[Glucose (umol/L) at 480mins]]-Table7[[#This Row],[Glucose (umol/L) at 0mins]]</f>
        <v>-0.20699999999999985</v>
      </c>
      <c r="AA4" s="9">
        <v>11.94</v>
      </c>
      <c r="AB4" s="9">
        <v>2.7594666666666665</v>
      </c>
      <c r="AC4" s="9">
        <v>446.56</v>
      </c>
      <c r="AD4" s="9">
        <v>452.25</v>
      </c>
      <c r="AE4" s="9">
        <v>58.85</v>
      </c>
      <c r="AF4" s="9">
        <v>5.6</v>
      </c>
      <c r="AG4" s="9">
        <v>2.0299999999999998</v>
      </c>
      <c r="AH4" s="9">
        <v>3.57</v>
      </c>
      <c r="AI4" s="9">
        <v>3.364431818181818</v>
      </c>
      <c r="AJ4" s="9">
        <v>89.53</v>
      </c>
      <c r="AK4" s="51">
        <v>4.6499762041988628E-3</v>
      </c>
      <c r="AL4" s="9">
        <v>5.0937719322015091</v>
      </c>
      <c r="AM4" s="7">
        <v>4.5604540109000116</v>
      </c>
      <c r="AN4" s="9">
        <v>11.486768072295387</v>
      </c>
      <c r="AO4" s="57">
        <v>0.59731193975936014</v>
      </c>
      <c r="AP4" s="9">
        <v>35.912160330815986</v>
      </c>
      <c r="AQ4" s="9">
        <f>Table7[[#This Row],[Glucose (umol/L) at 480mins]]*(Table7[[#This Row],[Gluconeogenesis (%) at 480mins]]/100)</f>
        <v>1.7930941653176422</v>
      </c>
      <c r="AR4" s="9">
        <f>Table7[[#This Row],[Gluconeogenesis (%) at 480mins]]-Table7[[#This Row],[Gluconeogensis (%) at 0mins]]</f>
        <v>24.425392258520599</v>
      </c>
    </row>
    <row r="5" spans="1:44" s="23" customFormat="1" x14ac:dyDescent="0.25">
      <c r="A5" s="7">
        <v>82</v>
      </c>
      <c r="B5" s="7" t="s">
        <v>137</v>
      </c>
      <c r="C5" s="7" t="s">
        <v>138</v>
      </c>
      <c r="D5" s="7"/>
      <c r="E5" s="7"/>
      <c r="F5" s="7"/>
      <c r="G5" s="7" t="s">
        <v>227</v>
      </c>
      <c r="H5" s="7">
        <v>42</v>
      </c>
      <c r="I5" s="7" t="s">
        <v>146</v>
      </c>
      <c r="J5" s="7"/>
      <c r="K5" s="7">
        <v>161</v>
      </c>
      <c r="L5" s="7">
        <v>62.2</v>
      </c>
      <c r="M5" s="8">
        <v>23.9959878091123</v>
      </c>
      <c r="N5" s="7">
        <v>87</v>
      </c>
      <c r="O5" s="7">
        <v>89</v>
      </c>
      <c r="P5" s="9">
        <v>0.97752808988764039</v>
      </c>
      <c r="Q5" s="10">
        <v>22200</v>
      </c>
      <c r="R5" s="10">
        <v>35730</v>
      </c>
      <c r="S5" s="10">
        <v>57930</v>
      </c>
      <c r="T5" s="9">
        <v>38.322112894873122</v>
      </c>
      <c r="U5" s="9">
        <v>61.677887105126871</v>
      </c>
      <c r="V5" s="9">
        <v>607</v>
      </c>
      <c r="W5" s="9">
        <v>0.77</v>
      </c>
      <c r="X5" s="9">
        <v>4.87</v>
      </c>
      <c r="Y5" s="9">
        <v>4.8475000000000001</v>
      </c>
      <c r="Z5" s="9">
        <f>Table7[[#This Row],[Glucose (umol/L) at 480mins]]-Table7[[#This Row],[Glucose (umol/L) at 0mins]]</f>
        <v>-2.2499999999999964E-2</v>
      </c>
      <c r="AA5" s="9">
        <v>15.14</v>
      </c>
      <c r="AB5" s="9">
        <v>3.2769688888888893</v>
      </c>
      <c r="AC5" s="9">
        <v>419.5</v>
      </c>
      <c r="AD5" s="9">
        <v>607</v>
      </c>
      <c r="AE5" s="9">
        <v>47.05</v>
      </c>
      <c r="AF5" s="9">
        <v>4.7</v>
      </c>
      <c r="AG5" s="9">
        <v>1.31</v>
      </c>
      <c r="AH5" s="9">
        <v>3.39</v>
      </c>
      <c r="AI5" s="9">
        <v>3.1140909090909092</v>
      </c>
      <c r="AJ5" s="9">
        <v>178.45</v>
      </c>
      <c r="AK5" s="51">
        <v>4.8555184742651528E-3</v>
      </c>
      <c r="AL5" s="9">
        <v>9.1882332649116965</v>
      </c>
      <c r="AM5" s="7">
        <v>16.396402261234922</v>
      </c>
      <c r="AN5" s="9">
        <v>11.966451886422485</v>
      </c>
      <c r="AO5" s="57">
        <v>0.58276620686877501</v>
      </c>
      <c r="AP5" s="9">
        <v>30.109231773137363</v>
      </c>
      <c r="AQ5" s="9">
        <f>Table7[[#This Row],[Glucose (umol/L) at 480mins]]*(Table7[[#This Row],[Gluconeogenesis (%) at 480mins]]/100)</f>
        <v>1.4595450102028338</v>
      </c>
      <c r="AR5" s="9">
        <f>Table7[[#This Row],[Gluconeogenesis (%) at 480mins]]-Table7[[#This Row],[Gluconeogensis (%) at 0mins]]</f>
        <v>18.142779886714877</v>
      </c>
    </row>
    <row r="6" spans="1:44" s="23" customFormat="1" x14ac:dyDescent="0.25">
      <c r="A6" s="7">
        <v>84</v>
      </c>
      <c r="B6" s="7" t="s">
        <v>141</v>
      </c>
      <c r="C6" s="7" t="s">
        <v>142</v>
      </c>
      <c r="D6" s="7"/>
      <c r="E6" s="7"/>
      <c r="F6" s="7"/>
      <c r="G6" s="7" t="s">
        <v>227</v>
      </c>
      <c r="H6" s="7">
        <v>40</v>
      </c>
      <c r="I6" s="7" t="s">
        <v>229</v>
      </c>
      <c r="J6" s="7"/>
      <c r="K6" s="7">
        <v>164</v>
      </c>
      <c r="L6" s="7">
        <v>74.099999999999994</v>
      </c>
      <c r="M6" s="8">
        <v>27.55056513979774</v>
      </c>
      <c r="N6" s="7">
        <v>76</v>
      </c>
      <c r="O6" s="7">
        <v>101</v>
      </c>
      <c r="P6" s="9">
        <v>0.75247524752475248</v>
      </c>
      <c r="Q6" s="10">
        <v>25210</v>
      </c>
      <c r="R6" s="10">
        <v>47800</v>
      </c>
      <c r="S6" s="10">
        <v>73010</v>
      </c>
      <c r="T6" s="9">
        <v>34.529516504588415</v>
      </c>
      <c r="U6" s="9">
        <v>65.470483495411585</v>
      </c>
      <c r="V6" s="9">
        <v>162</v>
      </c>
      <c r="W6" s="9">
        <v>0.49</v>
      </c>
      <c r="X6" s="9">
        <v>4.8600000000000003</v>
      </c>
      <c r="Y6" s="9">
        <v>4.7669999999999995</v>
      </c>
      <c r="Z6" s="9">
        <f>Table7[[#This Row],[Glucose (umol/L) at 480mins]]-Table7[[#This Row],[Glucose (umol/L) at 0mins]]</f>
        <v>-9.300000000000086E-2</v>
      </c>
      <c r="AA6" s="9">
        <v>9.82</v>
      </c>
      <c r="AB6" s="9">
        <v>2.1211200000000003</v>
      </c>
      <c r="AC6" s="9">
        <v>432.73</v>
      </c>
      <c r="AD6" s="9">
        <v>1060.3</v>
      </c>
      <c r="AE6" s="9">
        <v>28.9</v>
      </c>
      <c r="AF6" s="9">
        <v>5.8</v>
      </c>
      <c r="AG6" s="9">
        <v>1.64</v>
      </c>
      <c r="AH6" s="9">
        <v>4.16</v>
      </c>
      <c r="AI6" s="9">
        <v>3.6780454545454546</v>
      </c>
      <c r="AJ6" s="9">
        <v>356.74</v>
      </c>
      <c r="AK6" s="51">
        <v>4.9118152711567758E-3</v>
      </c>
      <c r="AL6" s="9">
        <v>11.290030750990647</v>
      </c>
      <c r="AM6" s="7">
        <v>40.276055701084033</v>
      </c>
      <c r="AN6" s="9">
        <v>12.160992436128595</v>
      </c>
      <c r="AO6" s="57">
        <v>0.59102423239584978</v>
      </c>
      <c r="AP6" s="9">
        <v>30.023247986908629</v>
      </c>
      <c r="AQ6" s="9">
        <f>Table7[[#This Row],[Glucose (umol/L) at 480mins]]*(Table7[[#This Row],[Gluconeogenesis (%) at 480mins]]/100)</f>
        <v>1.4312082315359342</v>
      </c>
      <c r="AR6" s="9">
        <f>Table7[[#This Row],[Gluconeogenesis (%) at 480mins]]-Table7[[#This Row],[Gluconeogensis (%) at 0mins]]</f>
        <v>17.862255550780034</v>
      </c>
    </row>
    <row r="7" spans="1:44" s="23" customFormat="1" x14ac:dyDescent="0.25">
      <c r="A7" s="7">
        <v>88</v>
      </c>
      <c r="B7" s="7" t="s">
        <v>148</v>
      </c>
      <c r="C7" s="7" t="s">
        <v>149</v>
      </c>
      <c r="D7" s="7"/>
      <c r="E7" s="7"/>
      <c r="F7" s="7"/>
      <c r="G7" s="7" t="s">
        <v>227</v>
      </c>
      <c r="H7" s="7">
        <v>38</v>
      </c>
      <c r="I7" s="7" t="s">
        <v>146</v>
      </c>
      <c r="J7" s="7"/>
      <c r="K7" s="7">
        <v>161.5</v>
      </c>
      <c r="L7" s="7">
        <v>63</v>
      </c>
      <c r="M7" s="8">
        <v>24.154357848728541</v>
      </c>
      <c r="N7" s="7">
        <v>83</v>
      </c>
      <c r="O7" s="7">
        <v>92</v>
      </c>
      <c r="P7" s="9">
        <v>0.90217391304347827</v>
      </c>
      <c r="Q7" s="10">
        <v>14490</v>
      </c>
      <c r="R7" s="10">
        <v>45680</v>
      </c>
      <c r="S7" s="10">
        <v>60170</v>
      </c>
      <c r="T7" s="9">
        <v>24.081768323084592</v>
      </c>
      <c r="U7" s="9">
        <v>75.918231676915411</v>
      </c>
      <c r="V7" s="9"/>
      <c r="W7" s="9">
        <v>0.56000000000000005</v>
      </c>
      <c r="X7" s="9">
        <v>6.16</v>
      </c>
      <c r="Y7" s="9">
        <v>5.1114999999999995</v>
      </c>
      <c r="Z7" s="9">
        <f>Table7[[#This Row],[Glucose (umol/L) at 480mins]]-Table7[[#This Row],[Glucose (umol/L) at 0mins]]</f>
        <v>-1.0485000000000007</v>
      </c>
      <c r="AA7" s="9">
        <v>9.94</v>
      </c>
      <c r="AB7" s="9">
        <v>2.7213511111111108</v>
      </c>
      <c r="AC7" s="9">
        <v>131.93</v>
      </c>
      <c r="AD7" s="9">
        <v>672.65</v>
      </c>
      <c r="AE7" s="9">
        <v>33.85</v>
      </c>
      <c r="AF7" s="9">
        <v>4.7</v>
      </c>
      <c r="AG7" s="9">
        <v>1.67</v>
      </c>
      <c r="AH7" s="9">
        <v>3.0300000000000002</v>
      </c>
      <c r="AI7" s="9">
        <v>2.7242500000000005</v>
      </c>
      <c r="AJ7" s="9">
        <v>96.77</v>
      </c>
      <c r="AK7" s="51">
        <v>4.2385500191714567E-3</v>
      </c>
      <c r="AL7" s="9">
        <v>4.7883012949371446</v>
      </c>
      <c r="AM7" s="7">
        <v>4.6336391631106748</v>
      </c>
      <c r="AN7" s="9">
        <v>13.534691800456248</v>
      </c>
      <c r="AO7" s="57">
        <v>0.83373701490810481</v>
      </c>
      <c r="AP7" s="9">
        <v>30.80382244210918</v>
      </c>
      <c r="AQ7" s="9">
        <f>Table7[[#This Row],[Glucose (umol/L) at 480mins]]*(Table7[[#This Row],[Gluconeogenesis (%) at 480mins]]/100)</f>
        <v>1.5745373841284105</v>
      </c>
      <c r="AR7" s="9">
        <f>Table7[[#This Row],[Gluconeogenesis (%) at 480mins]]-Table7[[#This Row],[Gluconeogensis (%) at 0mins]]</f>
        <v>17.269130641652932</v>
      </c>
    </row>
    <row r="8" spans="1:44" s="23" customFormat="1" x14ac:dyDescent="0.25">
      <c r="A8" s="7">
        <v>80</v>
      </c>
      <c r="B8" s="7" t="s">
        <v>134</v>
      </c>
      <c r="C8" s="7" t="s">
        <v>135</v>
      </c>
      <c r="D8" s="7"/>
      <c r="E8" s="7"/>
      <c r="F8" s="7"/>
      <c r="G8" s="7" t="s">
        <v>227</v>
      </c>
      <c r="H8" s="7">
        <v>38</v>
      </c>
      <c r="I8" s="7"/>
      <c r="J8" s="7"/>
      <c r="K8" s="7">
        <v>176</v>
      </c>
      <c r="L8" s="7">
        <v>96.7</v>
      </c>
      <c r="M8" s="8">
        <v>31.217716942148762</v>
      </c>
      <c r="N8" s="7">
        <v>109</v>
      </c>
      <c r="O8" s="7">
        <v>116</v>
      </c>
      <c r="P8" s="9">
        <v>0.93965517241379315</v>
      </c>
      <c r="Q8" s="10">
        <v>36370</v>
      </c>
      <c r="R8" s="10">
        <v>54630</v>
      </c>
      <c r="S8" s="10">
        <v>91000</v>
      </c>
      <c r="T8" s="9">
        <v>39.967032967032964</v>
      </c>
      <c r="U8" s="9">
        <v>60.032967032967036</v>
      </c>
      <c r="V8" s="9">
        <v>498</v>
      </c>
      <c r="W8" s="9">
        <v>1.18</v>
      </c>
      <c r="X8" s="9">
        <v>4.74</v>
      </c>
      <c r="Y8" s="9">
        <v>4.742</v>
      </c>
      <c r="Z8" s="9">
        <f>Table7[[#This Row],[Glucose (umol/L) at 480mins]]-Table7[[#This Row],[Glucose (umol/L) at 0mins]]</f>
        <v>1.9999999999997797E-3</v>
      </c>
      <c r="AA8" s="9">
        <v>10.49</v>
      </c>
      <c r="AB8" s="9">
        <v>2.2098933333333335</v>
      </c>
      <c r="AC8" s="9">
        <v>691.16</v>
      </c>
      <c r="AD8" s="9">
        <v>1135.5</v>
      </c>
      <c r="AE8" s="9">
        <v>28.15</v>
      </c>
      <c r="AF8" s="9">
        <v>4.4000000000000004</v>
      </c>
      <c r="AG8" s="9">
        <v>1.73</v>
      </c>
      <c r="AH8" s="9">
        <v>2.6700000000000004</v>
      </c>
      <c r="AI8" s="9">
        <v>2.1538636363636368</v>
      </c>
      <c r="AJ8" s="9">
        <v>528.64</v>
      </c>
      <c r="AK8" s="51">
        <v>5.0072525346752886E-3</v>
      </c>
      <c r="AL8" s="9">
        <v>35.475814811861298</v>
      </c>
      <c r="AM8" s="7">
        <v>187.53934742142357</v>
      </c>
      <c r="AN8" s="65">
        <v>13.745488070476716</v>
      </c>
      <c r="AO8" s="57">
        <v>0.65153613454059633</v>
      </c>
      <c r="AP8" s="9">
        <v>39.964457459439387</v>
      </c>
      <c r="AQ8" s="9">
        <f>Table7[[#This Row],[Glucose (umol/L) at 480mins]]*(Table7[[#This Row],[Gluconeogenesis (%) at 480mins]]/100)</f>
        <v>1.8951145727266159</v>
      </c>
      <c r="AR8" s="9">
        <f>Table7[[#This Row],[Gluconeogenesis (%) at 480mins]]-Table7[[#This Row],[Gluconeogensis (%) at 0mins]]</f>
        <v>26.21896938896267</v>
      </c>
    </row>
    <row r="9" spans="1:44" s="11" customFormat="1" x14ac:dyDescent="0.25">
      <c r="A9" s="7">
        <v>98</v>
      </c>
      <c r="B9" s="7" t="s">
        <v>168</v>
      </c>
      <c r="C9" s="7" t="s">
        <v>169</v>
      </c>
      <c r="D9" s="7"/>
      <c r="E9" s="7"/>
      <c r="F9" s="7"/>
      <c r="G9" s="7" t="s">
        <v>227</v>
      </c>
      <c r="H9" s="7">
        <v>40</v>
      </c>
      <c r="I9" s="7"/>
      <c r="J9" s="7"/>
      <c r="K9" s="7">
        <v>169</v>
      </c>
      <c r="L9" s="7">
        <v>82.15</v>
      </c>
      <c r="M9" s="8">
        <v>28.762998494450478</v>
      </c>
      <c r="N9" s="7">
        <v>97</v>
      </c>
      <c r="O9" s="7">
        <v>104</v>
      </c>
      <c r="P9" s="9">
        <v>0.93269230769230771</v>
      </c>
      <c r="Q9" s="10">
        <v>30440</v>
      </c>
      <c r="R9" s="10">
        <v>48090</v>
      </c>
      <c r="S9" s="10">
        <v>78530</v>
      </c>
      <c r="T9" s="9">
        <v>38.762256462498407</v>
      </c>
      <c r="U9" s="9">
        <v>61.237743537501586</v>
      </c>
      <c r="V9" s="9"/>
      <c r="W9" s="9">
        <v>1.88</v>
      </c>
      <c r="X9" s="9">
        <v>5.55</v>
      </c>
      <c r="Y9" s="9">
        <v>4.5960000000000001</v>
      </c>
      <c r="Z9" s="9">
        <f>Table7[[#This Row],[Glucose (umol/L) at 480mins]]-Table7[[#This Row],[Glucose (umol/L) at 0mins]]</f>
        <v>-0.95399999999999974</v>
      </c>
      <c r="AA9" s="9">
        <v>11.92</v>
      </c>
      <c r="AB9" s="9">
        <v>2.9402666666666661</v>
      </c>
      <c r="AC9" s="9">
        <v>648.37</v>
      </c>
      <c r="AD9" s="9">
        <v>1794</v>
      </c>
      <c r="AE9" s="9">
        <v>77</v>
      </c>
      <c r="AF9" s="9">
        <v>5.6</v>
      </c>
      <c r="AG9" s="9">
        <v>1.02</v>
      </c>
      <c r="AH9" s="9">
        <v>4.58</v>
      </c>
      <c r="AI9" s="9">
        <v>3.7645454545454546</v>
      </c>
      <c r="AJ9" s="9">
        <v>580.84</v>
      </c>
      <c r="AK9" s="51">
        <v>3.689054983687295E-3</v>
      </c>
      <c r="AL9" s="9">
        <v>10.602616804735556</v>
      </c>
      <c r="AM9" s="7">
        <v>61.584239448626001</v>
      </c>
      <c r="AN9" s="9">
        <v>34.464231805192455</v>
      </c>
      <c r="AO9" s="57">
        <v>1.912764865188181</v>
      </c>
      <c r="AP9" s="9">
        <v>46.932971116546419</v>
      </c>
      <c r="AQ9" s="9">
        <f>Table7[[#This Row],[Glucose (umol/L) at 480mins]]*(Table7[[#This Row],[Gluconeogenesis (%) at 480mins]]/100)</f>
        <v>2.1570393525164735</v>
      </c>
      <c r="AR9" s="9">
        <f>Table7[[#This Row],[Gluconeogenesis (%) at 480mins]]-Table7[[#This Row],[Gluconeogensis (%) at 0mins]]</f>
        <v>12.468739311353964</v>
      </c>
    </row>
    <row r="10" spans="1:44" s="11" customFormat="1" x14ac:dyDescent="0.25">
      <c r="A10" s="7">
        <v>94</v>
      </c>
      <c r="B10" s="7" t="s">
        <v>160</v>
      </c>
      <c r="C10" s="7" t="s">
        <v>161</v>
      </c>
      <c r="D10" s="7"/>
      <c r="E10" s="7"/>
      <c r="F10" s="7"/>
      <c r="G10" s="7" t="s">
        <v>227</v>
      </c>
      <c r="H10" s="7">
        <v>45</v>
      </c>
      <c r="I10" s="7" t="s">
        <v>229</v>
      </c>
      <c r="J10" s="7"/>
      <c r="K10" s="7">
        <v>163</v>
      </c>
      <c r="L10" s="7">
        <v>53.6</v>
      </c>
      <c r="M10" s="8">
        <v>20.17388686062705</v>
      </c>
      <c r="N10" s="7">
        <v>73</v>
      </c>
      <c r="O10" s="7">
        <v>89</v>
      </c>
      <c r="P10" s="9">
        <v>0.8202247191011236</v>
      </c>
      <c r="Q10" s="10">
        <v>12260</v>
      </c>
      <c r="R10" s="10">
        <v>38230</v>
      </c>
      <c r="S10" s="10">
        <v>50490</v>
      </c>
      <c r="T10" s="9">
        <v>24.282036046741929</v>
      </c>
      <c r="U10" s="9">
        <v>75.717963953258078</v>
      </c>
      <c r="V10" s="9"/>
      <c r="W10" s="9">
        <v>0.79</v>
      </c>
      <c r="X10" s="9">
        <v>5.25</v>
      </c>
      <c r="Y10" s="9">
        <v>4.8899999999999997</v>
      </c>
      <c r="Z10" s="9">
        <f>Table7[[#This Row],[Glucose (umol/L) at 480mins]]-Table7[[#This Row],[Glucose (umol/L) at 0mins]]</f>
        <v>-0.36000000000000032</v>
      </c>
      <c r="AA10" s="9">
        <v>7.8</v>
      </c>
      <c r="AB10" s="9">
        <v>1.8199999999999998</v>
      </c>
      <c r="AC10" s="9">
        <v>543.29999999999995</v>
      </c>
      <c r="AD10" s="9">
        <v>696.6</v>
      </c>
      <c r="AE10" s="9">
        <v>163.65</v>
      </c>
      <c r="AF10" s="9">
        <v>4.7</v>
      </c>
      <c r="AG10" s="9">
        <v>1.72</v>
      </c>
      <c r="AH10" s="9">
        <v>2.9800000000000004</v>
      </c>
      <c r="AI10" s="9">
        <v>2.6633636363636368</v>
      </c>
      <c r="AJ10" s="9">
        <v>105.11</v>
      </c>
      <c r="AK10" s="51">
        <v>4.2939544957694923E-3</v>
      </c>
      <c r="AL10" s="9">
        <v>6.1714673562815907</v>
      </c>
      <c r="AM10" s="7">
        <v>6.4868293381875803</v>
      </c>
      <c r="AN10" s="9">
        <v>36.859689901046202</v>
      </c>
      <c r="AO10" s="57">
        <v>1.9351337198049254</v>
      </c>
      <c r="AP10" s="9">
        <v>46.199737837504287</v>
      </c>
      <c r="AQ10" s="9">
        <f>Table7[[#This Row],[Glucose (umol/L) at 480mins]]*(Table7[[#This Row],[Gluconeogenesis (%) at 480mins]]/100)</f>
        <v>2.2591671802539595</v>
      </c>
      <c r="AR10" s="9">
        <f>Table7[[#This Row],[Gluconeogenesis (%) at 480mins]]-Table7[[#This Row],[Gluconeogensis (%) at 0mins]]</f>
        <v>9.3400479364580846</v>
      </c>
    </row>
    <row r="11" spans="1:44" s="11" customFormat="1" x14ac:dyDescent="0.25">
      <c r="A11" s="7">
        <v>70</v>
      </c>
      <c r="B11" s="7" t="s">
        <v>117</v>
      </c>
      <c r="C11" s="7" t="s">
        <v>118</v>
      </c>
      <c r="D11" s="7"/>
      <c r="E11" s="7"/>
      <c r="F11" s="7"/>
      <c r="G11" s="7" t="s">
        <v>227</v>
      </c>
      <c r="H11" s="7">
        <v>45</v>
      </c>
      <c r="I11" s="7" t="s">
        <v>146</v>
      </c>
      <c r="J11" s="7"/>
      <c r="K11" s="7">
        <v>165</v>
      </c>
      <c r="L11" s="7">
        <v>68.099999999999994</v>
      </c>
      <c r="M11" s="8">
        <v>25.013774104683197</v>
      </c>
      <c r="N11" s="7">
        <v>78</v>
      </c>
      <c r="O11" s="7">
        <v>102</v>
      </c>
      <c r="P11" s="9">
        <v>0.76470588235294112</v>
      </c>
      <c r="Q11" s="10">
        <v>25680</v>
      </c>
      <c r="R11" s="10">
        <v>42310</v>
      </c>
      <c r="S11" s="10">
        <v>67990</v>
      </c>
      <c r="T11" s="9">
        <v>37.770260332401826</v>
      </c>
      <c r="U11" s="9">
        <v>62.229739667598174</v>
      </c>
      <c r="V11" s="9">
        <v>92</v>
      </c>
      <c r="W11" s="9">
        <v>0.67</v>
      </c>
      <c r="X11" s="9">
        <v>4.71</v>
      </c>
      <c r="Y11" s="9">
        <v>4.2759999999999998</v>
      </c>
      <c r="Z11" s="9">
        <f>Table7[[#This Row],[Glucose (umol/L) at 480mins]]-Table7[[#This Row],[Glucose (umol/L) at 0mins]]</f>
        <v>-0.43400000000000016</v>
      </c>
      <c r="AA11" s="9">
        <v>9.23</v>
      </c>
      <c r="AB11" s="9">
        <v>1.9321466666666667</v>
      </c>
      <c r="AC11" s="9">
        <v>1074.24</v>
      </c>
      <c r="AD11" s="9">
        <v>482</v>
      </c>
      <c r="AE11" s="9">
        <v>140.6</v>
      </c>
      <c r="AF11" s="9">
        <v>4.7</v>
      </c>
      <c r="AG11" s="9">
        <v>2.48</v>
      </c>
      <c r="AH11" s="9">
        <v>2.2200000000000002</v>
      </c>
      <c r="AI11" s="9">
        <v>2.000909090909091</v>
      </c>
      <c r="AJ11" s="9">
        <v>98.29</v>
      </c>
      <c r="AK11" s="51">
        <v>4.7274264396296676E-3</v>
      </c>
      <c r="AL11" s="9">
        <v>8.0827327679754699</v>
      </c>
      <c r="AM11" s="7">
        <v>7.9445180376430899</v>
      </c>
      <c r="AN11" s="9">
        <v>37.48508346708784</v>
      </c>
      <c r="AO11" s="57">
        <v>1.7655474312998372</v>
      </c>
      <c r="AP11" s="9">
        <v>32.278414213939612</v>
      </c>
      <c r="AQ11" s="9">
        <f>Table7[[#This Row],[Glucose (umol/L) at 480mins]]*(Table7[[#This Row],[Gluconeogenesis (%) at 480mins]]/100)</f>
        <v>1.3802249917880576</v>
      </c>
      <c r="AR11" s="9">
        <f>Table7[[#This Row],[Gluconeogenesis (%) at 480mins]]-Table7[[#This Row],[Gluconeogensis (%) at 0mins]]</f>
        <v>-5.2066692531482275</v>
      </c>
    </row>
    <row r="12" spans="1:44" s="11" customFormat="1" x14ac:dyDescent="0.25">
      <c r="A12" s="7">
        <v>71</v>
      </c>
      <c r="B12" s="7" t="s">
        <v>101</v>
      </c>
      <c r="C12" s="7" t="s">
        <v>119</v>
      </c>
      <c r="D12" s="7"/>
      <c r="E12" s="7"/>
      <c r="F12" s="7"/>
      <c r="G12" s="7" t="s">
        <v>227</v>
      </c>
      <c r="H12" s="7">
        <v>59</v>
      </c>
      <c r="I12" s="7" t="s">
        <v>230</v>
      </c>
      <c r="J12" s="7"/>
      <c r="K12" s="7">
        <v>150.5</v>
      </c>
      <c r="L12" s="7">
        <v>58.8</v>
      </c>
      <c r="M12" s="8">
        <v>25.959978366684698</v>
      </c>
      <c r="N12" s="7">
        <v>76</v>
      </c>
      <c r="O12" s="7">
        <v>98</v>
      </c>
      <c r="P12" s="9">
        <v>0.77551020408163263</v>
      </c>
      <c r="Q12" s="10">
        <v>21620</v>
      </c>
      <c r="R12" s="10">
        <v>34880</v>
      </c>
      <c r="S12" s="10">
        <v>56500</v>
      </c>
      <c r="T12" s="9">
        <v>38.265486725663713</v>
      </c>
      <c r="U12" s="9">
        <v>61.73451327433628</v>
      </c>
      <c r="V12" s="9"/>
      <c r="W12" s="9">
        <v>1.63</v>
      </c>
      <c r="X12" s="9">
        <v>4.5</v>
      </c>
      <c r="Y12" s="9">
        <v>4.7374999999999998</v>
      </c>
      <c r="Z12" s="9">
        <f>Table7[[#This Row],[Glucose (umol/L) at 480mins]]-Table7[[#This Row],[Glucose (umol/L) at 0mins]]</f>
        <v>0.23749999999999982</v>
      </c>
      <c r="AA12" s="9">
        <v>10.38</v>
      </c>
      <c r="AB12" s="9">
        <v>2.0760000000000001</v>
      </c>
      <c r="AC12" s="9">
        <v>708.23</v>
      </c>
      <c r="AD12" s="9">
        <v>545.1</v>
      </c>
      <c r="AE12" s="9">
        <v>55.7</v>
      </c>
      <c r="AF12" s="9">
        <v>5.4</v>
      </c>
      <c r="AG12" s="9">
        <v>1.96</v>
      </c>
      <c r="AH12" s="9">
        <v>3.4400000000000004</v>
      </c>
      <c r="AI12" s="9">
        <v>3.1922272727272731</v>
      </c>
      <c r="AJ12" s="9">
        <v>82.36</v>
      </c>
      <c r="AK12" s="51">
        <v>5.0014823504457833E-3</v>
      </c>
      <c r="AL12" s="9">
        <v>3.2961069686543563</v>
      </c>
      <c r="AM12" s="7">
        <v>2.7146736993837277</v>
      </c>
      <c r="AN12" s="9">
        <v>38.826755464470445</v>
      </c>
      <c r="AO12" s="57">
        <v>1.74720399590117</v>
      </c>
      <c r="AP12" s="9">
        <v>31.02600907305353</v>
      </c>
      <c r="AQ12" s="9">
        <f>Table7[[#This Row],[Glucose (umol/L) at 480mins]]*(Table7[[#This Row],[Gluconeogenesis (%) at 480mins]]/100)</f>
        <v>1.4698571798359108</v>
      </c>
      <c r="AR12" s="9">
        <f>Table7[[#This Row],[Gluconeogenesis (%) at 480mins]]-Table7[[#This Row],[Gluconeogensis (%) at 0mins]]</f>
        <v>-7.8007463914169151</v>
      </c>
    </row>
    <row r="13" spans="1:44" s="19" customFormat="1" x14ac:dyDescent="0.25">
      <c r="A13" s="7">
        <v>69</v>
      </c>
      <c r="B13" s="7" t="s">
        <v>115</v>
      </c>
      <c r="C13" s="7" t="s">
        <v>116</v>
      </c>
      <c r="D13" s="7"/>
      <c r="E13" s="7"/>
      <c r="F13" s="7"/>
      <c r="G13" s="7" t="s">
        <v>227</v>
      </c>
      <c r="H13" s="7">
        <v>56</v>
      </c>
      <c r="I13" s="7" t="s">
        <v>229</v>
      </c>
      <c r="J13" s="7"/>
      <c r="K13" s="7">
        <v>168.5</v>
      </c>
      <c r="L13" s="7">
        <v>72.5</v>
      </c>
      <c r="M13" s="8">
        <v>25.535137229349555</v>
      </c>
      <c r="N13" s="7">
        <v>92</v>
      </c>
      <c r="O13" s="7">
        <v>99</v>
      </c>
      <c r="P13" s="9">
        <v>0.92929292929292928</v>
      </c>
      <c r="Q13" s="10">
        <v>24910</v>
      </c>
      <c r="R13" s="10">
        <v>45970</v>
      </c>
      <c r="S13" s="10">
        <v>70880</v>
      </c>
      <c r="T13" s="9">
        <v>35.143905191873586</v>
      </c>
      <c r="U13" s="9">
        <v>64.856094808126414</v>
      </c>
      <c r="V13" s="9"/>
      <c r="W13" s="9">
        <v>6.79</v>
      </c>
      <c r="X13" s="9">
        <v>5.1100000000000003</v>
      </c>
      <c r="Y13" s="9">
        <v>4.6050000000000004</v>
      </c>
      <c r="Z13" s="9">
        <f>Table7[[#This Row],[Glucose (umol/L) at 480mins]]-Table7[[#This Row],[Glucose (umol/L) at 0mins]]</f>
        <v>-0.50499999999999989</v>
      </c>
      <c r="AA13" s="9">
        <v>10.52</v>
      </c>
      <c r="AB13" s="9">
        <v>2.3892088888888892</v>
      </c>
      <c r="AC13" s="9">
        <v>542.27</v>
      </c>
      <c r="AD13" s="9">
        <v>2481.4</v>
      </c>
      <c r="AE13" s="9">
        <v>26</v>
      </c>
      <c r="AF13" s="9">
        <v>7.9</v>
      </c>
      <c r="AG13" s="9">
        <v>1.25</v>
      </c>
      <c r="AH13" s="9">
        <v>6.65</v>
      </c>
      <c r="AI13" s="9">
        <v>5.5220909090909096</v>
      </c>
      <c r="AJ13" s="9">
        <v>1090.27</v>
      </c>
      <c r="AK13" s="51">
        <v>4.9563384427968246E-3</v>
      </c>
      <c r="AL13" s="9">
        <v>19.060798022935053</v>
      </c>
      <c r="AM13" s="7">
        <v>207.814162604654</v>
      </c>
      <c r="AN13" s="9">
        <v>46.002866972534925</v>
      </c>
      <c r="AO13" s="57">
        <v>2.3507465022965346</v>
      </c>
      <c r="AP13" s="9">
        <v>37.102532757916784</v>
      </c>
      <c r="AQ13" s="9">
        <f>Table7[[#This Row],[Glucose (umol/L) at 480mins]]*(Table7[[#This Row],[Gluconeogenesis (%) at 480mins]]/100)</f>
        <v>1.708571633502068</v>
      </c>
      <c r="AR13" s="9">
        <f>Table7[[#This Row],[Gluconeogenesis (%) at 480mins]]-Table7[[#This Row],[Gluconeogensis (%) at 0mins]]</f>
        <v>-8.900334214618141</v>
      </c>
    </row>
    <row r="14" spans="1:44" s="19" customFormat="1" x14ac:dyDescent="0.25">
      <c r="A14" s="7">
        <v>72</v>
      </c>
      <c r="B14" s="7" t="s">
        <v>120</v>
      </c>
      <c r="C14" s="7" t="s">
        <v>121</v>
      </c>
      <c r="D14" s="7"/>
      <c r="E14" s="7"/>
      <c r="F14" s="7"/>
      <c r="G14" s="7" t="s">
        <v>227</v>
      </c>
      <c r="H14" s="7">
        <v>38</v>
      </c>
      <c r="I14" s="7" t="s">
        <v>146</v>
      </c>
      <c r="J14" s="7"/>
      <c r="K14" s="7">
        <v>162</v>
      </c>
      <c r="L14" s="7">
        <v>86.5</v>
      </c>
      <c r="M14" s="8">
        <v>32.95991464715744</v>
      </c>
      <c r="N14" s="7">
        <v>97</v>
      </c>
      <c r="O14" s="7">
        <v>101</v>
      </c>
      <c r="P14" s="9">
        <v>0.96039603960396036</v>
      </c>
      <c r="Q14" s="10">
        <v>34530</v>
      </c>
      <c r="R14" s="10">
        <v>43870</v>
      </c>
      <c r="S14" s="10">
        <v>78400</v>
      </c>
      <c r="T14" s="9">
        <v>44.04336734693878</v>
      </c>
      <c r="U14" s="9">
        <v>55.95663265306122</v>
      </c>
      <c r="V14" s="9"/>
      <c r="W14" s="9">
        <v>1.86</v>
      </c>
      <c r="X14" s="9">
        <v>5.0599999999999996</v>
      </c>
      <c r="Y14" s="9"/>
      <c r="Z14" s="9"/>
      <c r="AA14" s="9">
        <v>13.39</v>
      </c>
      <c r="AB14" s="9">
        <v>3.0112622222222223</v>
      </c>
      <c r="AC14" s="9">
        <v>873.99</v>
      </c>
      <c r="AD14" s="9">
        <v>822.35</v>
      </c>
      <c r="AE14" s="9">
        <v>42.15</v>
      </c>
      <c r="AF14" s="9">
        <v>4.8</v>
      </c>
      <c r="AG14" s="9">
        <v>1.38</v>
      </c>
      <c r="AH14" s="9">
        <v>3.42</v>
      </c>
      <c r="AI14" s="9">
        <v>3.0462045454545454</v>
      </c>
      <c r="AJ14" s="9">
        <v>210.62</v>
      </c>
      <c r="AK14" s="51">
        <v>5.5173085534148732E-3</v>
      </c>
      <c r="AL14" s="9">
        <v>13.424200957780711</v>
      </c>
      <c r="AM14" s="7">
        <v>28.274052057277732</v>
      </c>
      <c r="AN14" s="9">
        <v>51.586455054375627</v>
      </c>
      <c r="AO14" s="57">
        <v>2.6102746257514062</v>
      </c>
      <c r="AP14" s="9">
        <v>25.457072624623223</v>
      </c>
      <c r="AQ14" s="9"/>
      <c r="AR14" s="9"/>
    </row>
    <row r="15" spans="1:44" s="19" customFormat="1" x14ac:dyDescent="0.25">
      <c r="A15" s="7">
        <v>68</v>
      </c>
      <c r="B15" s="7" t="s">
        <v>113</v>
      </c>
      <c r="C15" s="7" t="s">
        <v>114</v>
      </c>
      <c r="D15" s="7"/>
      <c r="E15" s="7"/>
      <c r="F15" s="7"/>
      <c r="G15" s="7" t="s">
        <v>227</v>
      </c>
      <c r="H15" s="7">
        <v>56</v>
      </c>
      <c r="I15" s="7" t="s">
        <v>229</v>
      </c>
      <c r="J15" s="7"/>
      <c r="K15" s="7">
        <v>157</v>
      </c>
      <c r="L15" s="7">
        <v>65.3</v>
      </c>
      <c r="M15" s="8">
        <v>26.491946934966933</v>
      </c>
      <c r="N15" s="7">
        <v>86</v>
      </c>
      <c r="O15" s="7">
        <v>101</v>
      </c>
      <c r="P15" s="9">
        <v>0.85148514851485146</v>
      </c>
      <c r="Q15" s="10">
        <v>23460</v>
      </c>
      <c r="R15" s="10">
        <v>38390</v>
      </c>
      <c r="S15" s="10">
        <v>61850</v>
      </c>
      <c r="T15" s="9">
        <v>37.930476960388035</v>
      </c>
      <c r="U15" s="9">
        <v>62.069523039611965</v>
      </c>
      <c r="V15" s="9"/>
      <c r="W15" s="9">
        <v>0.46</v>
      </c>
      <c r="X15" s="9">
        <v>4.78</v>
      </c>
      <c r="Y15" s="9">
        <v>5.0190000000000001</v>
      </c>
      <c r="Z15" s="9">
        <f>Table7[[#This Row],[Glucose (umol/L) at 480mins]]-Table7[[#This Row],[Glucose (umol/L) at 0mins]]</f>
        <v>0.23899999999999988</v>
      </c>
      <c r="AA15" s="9">
        <v>9.93</v>
      </c>
      <c r="AB15" s="9">
        <v>2.1095733333333335</v>
      </c>
      <c r="AC15" s="9">
        <v>702.04</v>
      </c>
      <c r="AD15" s="9">
        <v>664.55</v>
      </c>
      <c r="AE15" s="9">
        <v>77.55</v>
      </c>
      <c r="AF15" s="9">
        <v>5.4</v>
      </c>
      <c r="AG15" s="9">
        <v>1.63</v>
      </c>
      <c r="AH15" s="9">
        <v>3.7700000000000005</v>
      </c>
      <c r="AI15" s="9">
        <v>3.4679318181818188</v>
      </c>
      <c r="AJ15" s="9">
        <v>162.26</v>
      </c>
      <c r="AK15" s="51">
        <v>5.4769570922502502E-3</v>
      </c>
      <c r="AL15" s="9">
        <v>11.257818962018103</v>
      </c>
      <c r="AM15" s="7">
        <v>18.266937047770572</v>
      </c>
      <c r="AN15" s="9">
        <v>59.717984556117507</v>
      </c>
      <c r="AO15" s="57">
        <v>2.8545196617824171</v>
      </c>
      <c r="AP15" s="9">
        <v>24.792198720519256</v>
      </c>
      <c r="AQ15" s="9">
        <f>Table7[[#This Row],[Glucose (umol/L) at 480mins]]*(Table7[[#This Row],[Gluconeogenesis (%) at 480mins]]/100)</f>
        <v>1.2443204537828616</v>
      </c>
      <c r="AR15" s="9">
        <f>Table7[[#This Row],[Gluconeogenesis (%) at 480mins]]-Table7[[#This Row],[Gluconeogensis (%) at 0mins]]</f>
        <v>-34.925785835598248</v>
      </c>
    </row>
    <row r="19" spans="42:62" x14ac:dyDescent="0.25">
      <c r="AQ19" t="s">
        <v>487</v>
      </c>
      <c r="AR19" s="76">
        <v>5.1547763079577109</v>
      </c>
      <c r="AS19" s="77">
        <v>9.3453372234787757</v>
      </c>
      <c r="AT19" s="77">
        <v>11.486768072295387</v>
      </c>
      <c r="AU19" s="77">
        <v>11.966451886422485</v>
      </c>
      <c r="AV19" s="77">
        <v>12.160992436128595</v>
      </c>
      <c r="AW19" s="77">
        <v>13.534691800456248</v>
      </c>
      <c r="AX19" s="76">
        <v>13.745488070476716</v>
      </c>
      <c r="AY19" s="77">
        <v>34.464231805192455</v>
      </c>
      <c r="AZ19" s="77">
        <v>36.859689901046202</v>
      </c>
      <c r="BA19" s="77">
        <v>37.48508346708784</v>
      </c>
      <c r="BB19" s="77">
        <v>38.826755464470445</v>
      </c>
      <c r="BC19" s="77">
        <v>46.002866972534925</v>
      </c>
      <c r="BD19" s="77">
        <v>51.586455054375627</v>
      </c>
      <c r="BE19" s="77">
        <v>59.717984556117507</v>
      </c>
    </row>
    <row r="20" spans="42:62" x14ac:dyDescent="0.25">
      <c r="AQ20" t="s">
        <v>488</v>
      </c>
      <c r="AR20" s="77">
        <v>36.190095814987842</v>
      </c>
      <c r="AS20" s="77">
        <v>46.608062497236006</v>
      </c>
      <c r="AT20" s="77">
        <v>35.912160330815986</v>
      </c>
      <c r="AU20" s="77">
        <v>30.109231773137363</v>
      </c>
      <c r="AV20" s="77">
        <v>30.023247986908629</v>
      </c>
      <c r="AW20" s="77">
        <v>30.80382244210918</v>
      </c>
      <c r="AX20" s="77">
        <v>39.964457459439387</v>
      </c>
      <c r="AY20" s="77">
        <v>46.932971116546419</v>
      </c>
      <c r="AZ20" s="77">
        <v>46.199737837504287</v>
      </c>
      <c r="BA20" s="77">
        <v>32.278414213939612</v>
      </c>
      <c r="BB20" s="77">
        <v>31.02600907305353</v>
      </c>
      <c r="BC20" s="77">
        <v>37.102532757916784</v>
      </c>
      <c r="BD20" s="77">
        <v>25.457072624623223</v>
      </c>
      <c r="BE20" s="77">
        <v>24.792198720519256</v>
      </c>
    </row>
    <row r="21" spans="42:62" x14ac:dyDescent="0.25">
      <c r="AP21"/>
      <c r="AQ21" t="s">
        <v>489</v>
      </c>
      <c r="AR21" s="77">
        <v>0.22938754570411815</v>
      </c>
      <c r="AS21" s="77">
        <v>0.46072512511750358</v>
      </c>
      <c r="AT21" s="77">
        <v>0.59731193975936014</v>
      </c>
      <c r="AU21" s="77">
        <v>0.58276620686877501</v>
      </c>
      <c r="AV21" s="77">
        <v>0.59102423239584978</v>
      </c>
      <c r="AW21" s="77">
        <v>0.83373701490810481</v>
      </c>
      <c r="AX21" s="77">
        <v>0.65153613454059633</v>
      </c>
      <c r="AY21" s="77">
        <v>1.912764865188181</v>
      </c>
      <c r="AZ21" s="77">
        <v>1.9351337198049254</v>
      </c>
      <c r="BA21" s="77">
        <v>1.7655474312998372</v>
      </c>
      <c r="BB21" s="77">
        <v>1.74720399590117</v>
      </c>
      <c r="BC21" s="77">
        <v>2.3507465022965346</v>
      </c>
      <c r="BD21" s="77">
        <v>2.6102746257514062</v>
      </c>
      <c r="BE21" s="77">
        <v>2.8545196617824171</v>
      </c>
    </row>
    <row r="22" spans="42:62" x14ac:dyDescent="0.25">
      <c r="AP22"/>
      <c r="AQ22" t="s">
        <v>488</v>
      </c>
      <c r="AR22" s="25">
        <v>1.6631158531777666</v>
      </c>
      <c r="AS22" s="25">
        <v>2.2973114004887631</v>
      </c>
      <c r="AT22" s="25">
        <v>1.7930941653176422</v>
      </c>
      <c r="AU22" s="25">
        <v>1.4595450102028338</v>
      </c>
      <c r="AV22" s="25">
        <v>1.4312082315359342</v>
      </c>
      <c r="AW22" s="25">
        <v>1.5745373841284105</v>
      </c>
      <c r="AX22" s="25">
        <v>1.8951145727266159</v>
      </c>
      <c r="AY22" s="13">
        <v>2.1570393525164735</v>
      </c>
      <c r="AZ22" s="13">
        <v>2.2591671802539595</v>
      </c>
      <c r="BA22" s="13">
        <v>1.3802249917880576</v>
      </c>
      <c r="BB22" s="13">
        <v>1.4698571798359108</v>
      </c>
      <c r="BC22" s="21">
        <v>1.708571633502068</v>
      </c>
      <c r="BD22" s="21"/>
      <c r="BE22" s="21">
        <v>1.2443204537828616</v>
      </c>
      <c r="BF22" s="3"/>
      <c r="BG22" s="3"/>
      <c r="BH22" s="3"/>
      <c r="BI22" s="3"/>
      <c r="BJ22" s="3"/>
    </row>
    <row r="23" spans="42:62" x14ac:dyDescent="0.25">
      <c r="AP23"/>
    </row>
    <row r="24" spans="42:62" x14ac:dyDescent="0.25">
      <c r="AP24"/>
    </row>
    <row r="25" spans="42:62" x14ac:dyDescent="0.25">
      <c r="AP25"/>
    </row>
    <row r="26" spans="42:62" x14ac:dyDescent="0.25">
      <c r="AP26"/>
    </row>
    <row r="27" spans="42:62" x14ac:dyDescent="0.25">
      <c r="AP27"/>
    </row>
    <row r="28" spans="42:62" x14ac:dyDescent="0.25">
      <c r="AP28"/>
    </row>
    <row r="29" spans="42:62" x14ac:dyDescent="0.25">
      <c r="AP29"/>
    </row>
    <row r="30" spans="42:62" x14ac:dyDescent="0.25">
      <c r="AP30"/>
    </row>
    <row r="31" spans="42:62" x14ac:dyDescent="0.25">
      <c r="AP31"/>
    </row>
    <row r="32" spans="42:62" x14ac:dyDescent="0.25">
      <c r="AP32"/>
    </row>
    <row r="33" spans="42:42" x14ac:dyDescent="0.25">
      <c r="AP33"/>
    </row>
  </sheetData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12"/>
  <sheetViews>
    <sheetView topLeftCell="A279" workbookViewId="0">
      <selection activeCell="F293" sqref="F293:F312"/>
    </sheetView>
  </sheetViews>
  <sheetFormatPr defaultColWidth="9.140625" defaultRowHeight="15" x14ac:dyDescent="0.25"/>
  <cols>
    <col min="1" max="1" width="17.42578125" style="6" customWidth="1"/>
    <col min="2" max="2" width="16.7109375" style="6" customWidth="1"/>
    <col min="3" max="3" width="13.140625" style="6" customWidth="1"/>
    <col min="4" max="4" width="16.85546875" style="6" customWidth="1"/>
    <col min="5" max="5" width="9.140625" style="6"/>
    <col min="6" max="6" width="12.28515625" style="6" customWidth="1"/>
    <col min="7" max="7" width="33.28515625" style="6" customWidth="1"/>
    <col min="8" max="16384" width="9.140625" style="6"/>
  </cols>
  <sheetData>
    <row r="1" spans="1:7" s="5" customFormat="1" ht="30" x14ac:dyDescent="0.25">
      <c r="A1" s="5" t="s">
        <v>316</v>
      </c>
      <c r="B1" s="5" t="s">
        <v>310</v>
      </c>
      <c r="C1" s="5" t="s">
        <v>309</v>
      </c>
      <c r="D1" s="5" t="s">
        <v>311</v>
      </c>
      <c r="E1" s="5" t="s">
        <v>312</v>
      </c>
      <c r="F1" s="5" t="s">
        <v>313</v>
      </c>
      <c r="G1" s="5" t="s">
        <v>379</v>
      </c>
    </row>
    <row r="2" spans="1:7" x14ac:dyDescent="0.25">
      <c r="A2" s="6">
        <v>1</v>
      </c>
      <c r="B2" s="6" t="s">
        <v>31</v>
      </c>
      <c r="C2" s="6" t="s">
        <v>32</v>
      </c>
      <c r="D2" s="6">
        <v>120098</v>
      </c>
      <c r="E2" s="6" t="s">
        <v>314</v>
      </c>
      <c r="F2" s="6" t="s">
        <v>314</v>
      </c>
    </row>
    <row r="3" spans="1:7" x14ac:dyDescent="0.25">
      <c r="A3" s="6">
        <v>2</v>
      </c>
      <c r="B3" s="6" t="s">
        <v>33</v>
      </c>
      <c r="C3" s="6" t="s">
        <v>32</v>
      </c>
      <c r="D3" s="6">
        <v>120115</v>
      </c>
      <c r="E3" s="6" t="s">
        <v>314</v>
      </c>
      <c r="F3" s="6" t="s">
        <v>314</v>
      </c>
    </row>
    <row r="4" spans="1:7" x14ac:dyDescent="0.25">
      <c r="A4" s="6">
        <v>3</v>
      </c>
      <c r="B4" s="6" t="s">
        <v>34</v>
      </c>
      <c r="C4" s="6" t="s">
        <v>32</v>
      </c>
      <c r="D4" s="6">
        <v>120140</v>
      </c>
      <c r="E4" s="6" t="s">
        <v>314</v>
      </c>
      <c r="F4" s="6" t="s">
        <v>314</v>
      </c>
    </row>
    <row r="5" spans="1:7" x14ac:dyDescent="0.25">
      <c r="A5" s="6">
        <v>4</v>
      </c>
      <c r="B5" s="6" t="s">
        <v>35</v>
      </c>
      <c r="C5" s="6" t="s">
        <v>32</v>
      </c>
      <c r="D5" s="6">
        <v>120157</v>
      </c>
      <c r="E5" s="6" t="s">
        <v>314</v>
      </c>
      <c r="F5" s="6" t="s">
        <v>314</v>
      </c>
    </row>
    <row r="6" spans="1:7" x14ac:dyDescent="0.25">
      <c r="A6" s="6">
        <v>5</v>
      </c>
      <c r="B6" s="6" t="s">
        <v>36</v>
      </c>
      <c r="C6" s="6" t="s">
        <v>32</v>
      </c>
      <c r="D6" s="6">
        <v>120186</v>
      </c>
      <c r="E6" s="6" t="s">
        <v>314</v>
      </c>
      <c r="F6" s="6" t="s">
        <v>314</v>
      </c>
    </row>
    <row r="7" spans="1:7" x14ac:dyDescent="0.25">
      <c r="A7" s="6">
        <v>6</v>
      </c>
      <c r="B7" s="6" t="s">
        <v>37</v>
      </c>
      <c r="C7" s="6" t="s">
        <v>32</v>
      </c>
      <c r="D7" s="6">
        <v>120216</v>
      </c>
      <c r="E7" s="6" t="s">
        <v>314</v>
      </c>
      <c r="F7" s="6" t="s">
        <v>314</v>
      </c>
    </row>
    <row r="8" spans="1:7" x14ac:dyDescent="0.25">
      <c r="A8" s="6">
        <v>7</v>
      </c>
      <c r="B8" s="6" t="s">
        <v>38</v>
      </c>
      <c r="C8" s="6" t="s">
        <v>32</v>
      </c>
      <c r="D8" s="6">
        <v>120233</v>
      </c>
      <c r="E8" s="6" t="s">
        <v>314</v>
      </c>
      <c r="F8" s="6" t="s">
        <v>314</v>
      </c>
    </row>
    <row r="9" spans="1:7" x14ac:dyDescent="0.25">
      <c r="A9" s="6">
        <v>8</v>
      </c>
      <c r="B9" s="6" t="s">
        <v>39</v>
      </c>
      <c r="C9" s="6" t="s">
        <v>32</v>
      </c>
      <c r="D9" s="6">
        <v>120250</v>
      </c>
      <c r="E9" s="6" t="s">
        <v>314</v>
      </c>
      <c r="F9" s="6" t="s">
        <v>314</v>
      </c>
    </row>
    <row r="10" spans="1:7" x14ac:dyDescent="0.25">
      <c r="A10" s="6">
        <v>9</v>
      </c>
      <c r="B10" s="6" t="s">
        <v>40</v>
      </c>
      <c r="C10" s="6" t="s">
        <v>32</v>
      </c>
      <c r="D10" s="6">
        <v>120285</v>
      </c>
      <c r="E10" s="6" t="s">
        <v>314</v>
      </c>
      <c r="F10" s="6" t="s">
        <v>314</v>
      </c>
    </row>
    <row r="11" spans="1:7" x14ac:dyDescent="0.25">
      <c r="A11" s="6">
        <v>10</v>
      </c>
      <c r="B11" s="6" t="s">
        <v>41</v>
      </c>
      <c r="C11" s="6" t="s">
        <v>32</v>
      </c>
      <c r="D11" s="6">
        <v>120268</v>
      </c>
      <c r="E11" s="6" t="s">
        <v>314</v>
      </c>
      <c r="F11" s="6" t="s">
        <v>314</v>
      </c>
    </row>
    <row r="12" spans="1:7" x14ac:dyDescent="0.25">
      <c r="A12" s="6">
        <v>11</v>
      </c>
      <c r="B12" s="6" t="s">
        <v>42</v>
      </c>
      <c r="C12" s="6" t="s">
        <v>32</v>
      </c>
      <c r="D12" s="6">
        <v>120305</v>
      </c>
      <c r="E12" s="6" t="s">
        <v>314</v>
      </c>
      <c r="F12" s="6" t="s">
        <v>314</v>
      </c>
    </row>
    <row r="13" spans="1:7" x14ac:dyDescent="0.25">
      <c r="A13" s="6">
        <v>12</v>
      </c>
      <c r="B13" s="6" t="s">
        <v>43</v>
      </c>
      <c r="C13" s="6" t="s">
        <v>32</v>
      </c>
      <c r="D13" s="6">
        <v>120322</v>
      </c>
      <c r="E13" s="6" t="s">
        <v>314</v>
      </c>
      <c r="F13" s="6" t="s">
        <v>314</v>
      </c>
    </row>
    <row r="14" spans="1:7" x14ac:dyDescent="0.25">
      <c r="A14" s="6">
        <v>13</v>
      </c>
      <c r="B14" s="6" t="s">
        <v>44</v>
      </c>
      <c r="C14" s="6" t="s">
        <v>32</v>
      </c>
      <c r="D14" s="6">
        <v>120343</v>
      </c>
      <c r="E14" s="6" t="s">
        <v>314</v>
      </c>
      <c r="F14" s="6" t="s">
        <v>314</v>
      </c>
    </row>
    <row r="15" spans="1:7" x14ac:dyDescent="0.25">
      <c r="A15" s="6">
        <v>14</v>
      </c>
      <c r="B15" s="6" t="s">
        <v>45</v>
      </c>
      <c r="C15" s="6" t="s">
        <v>32</v>
      </c>
      <c r="D15" s="6">
        <v>120260</v>
      </c>
      <c r="E15" s="6" t="s">
        <v>314</v>
      </c>
      <c r="F15" s="6" t="s">
        <v>314</v>
      </c>
    </row>
    <row r="16" spans="1:7" x14ac:dyDescent="0.25">
      <c r="A16" s="6">
        <v>15</v>
      </c>
      <c r="B16" s="6" t="s">
        <v>46</v>
      </c>
      <c r="C16" s="6" t="s">
        <v>32</v>
      </c>
      <c r="D16" s="6">
        <v>120375</v>
      </c>
      <c r="E16" s="6" t="s">
        <v>314</v>
      </c>
      <c r="F16" s="6" t="s">
        <v>314</v>
      </c>
    </row>
    <row r="17" spans="1:6" x14ac:dyDescent="0.25">
      <c r="A17" s="6">
        <v>16</v>
      </c>
      <c r="B17" s="6" t="s">
        <v>47</v>
      </c>
      <c r="C17" s="6" t="s">
        <v>32</v>
      </c>
      <c r="D17" s="6">
        <v>120393</v>
      </c>
      <c r="E17" s="6" t="s">
        <v>314</v>
      </c>
      <c r="F17" s="6" t="s">
        <v>314</v>
      </c>
    </row>
    <row r="18" spans="1:6" x14ac:dyDescent="0.25">
      <c r="A18" s="6">
        <v>17</v>
      </c>
      <c r="B18" s="6" t="s">
        <v>48</v>
      </c>
      <c r="C18" s="6" t="s">
        <v>32</v>
      </c>
      <c r="D18" s="6">
        <v>120410</v>
      </c>
      <c r="E18" s="6" t="s">
        <v>314</v>
      </c>
      <c r="F18" s="6" t="s">
        <v>314</v>
      </c>
    </row>
    <row r="19" spans="1:6" x14ac:dyDescent="0.25">
      <c r="A19" s="6">
        <v>18</v>
      </c>
      <c r="B19" s="6" t="s">
        <v>49</v>
      </c>
      <c r="C19" s="6" t="s">
        <v>32</v>
      </c>
      <c r="D19" s="6">
        <v>120429</v>
      </c>
      <c r="E19" s="6" t="s">
        <v>314</v>
      </c>
      <c r="F19" s="6" t="s">
        <v>314</v>
      </c>
    </row>
    <row r="20" spans="1:6" x14ac:dyDescent="0.25">
      <c r="A20" s="6">
        <v>19</v>
      </c>
      <c r="B20" s="6" t="s">
        <v>50</v>
      </c>
      <c r="C20" s="6" t="s">
        <v>32</v>
      </c>
      <c r="D20" s="6">
        <v>120449</v>
      </c>
      <c r="E20" s="6" t="s">
        <v>314</v>
      </c>
      <c r="F20" s="6" t="s">
        <v>314</v>
      </c>
    </row>
    <row r="21" spans="1:6" x14ac:dyDescent="0.25">
      <c r="A21" s="6">
        <v>20</v>
      </c>
      <c r="B21" s="6" t="s">
        <v>51</v>
      </c>
      <c r="C21" s="6" t="s">
        <v>32</v>
      </c>
      <c r="D21" s="6">
        <v>102466</v>
      </c>
      <c r="E21" s="6" t="s">
        <v>314</v>
      </c>
      <c r="F21" s="6" t="s">
        <v>314</v>
      </c>
    </row>
    <row r="22" spans="1:6" x14ac:dyDescent="0.25">
      <c r="A22" s="6">
        <v>21</v>
      </c>
      <c r="B22" s="6" t="s">
        <v>52</v>
      </c>
      <c r="C22" s="6" t="s">
        <v>32</v>
      </c>
      <c r="D22" s="6">
        <v>120483</v>
      </c>
      <c r="E22" s="6" t="s">
        <v>314</v>
      </c>
      <c r="F22" s="6" t="s">
        <v>314</v>
      </c>
    </row>
    <row r="23" spans="1:6" x14ac:dyDescent="0.25">
      <c r="A23" s="6">
        <v>22</v>
      </c>
      <c r="B23" s="6" t="s">
        <v>53</v>
      </c>
      <c r="C23" s="6" t="s">
        <v>32</v>
      </c>
      <c r="D23" s="6">
        <v>120561</v>
      </c>
      <c r="E23" s="6" t="s">
        <v>314</v>
      </c>
      <c r="F23" s="6" t="s">
        <v>314</v>
      </c>
    </row>
    <row r="24" spans="1:6" x14ac:dyDescent="0.25">
      <c r="A24" s="6">
        <v>23</v>
      </c>
      <c r="B24" s="6" t="s">
        <v>54</v>
      </c>
      <c r="C24" s="6" t="s">
        <v>32</v>
      </c>
      <c r="D24" s="6">
        <v>130031</v>
      </c>
      <c r="E24" s="6" t="s">
        <v>314</v>
      </c>
      <c r="F24" s="6" t="s">
        <v>314</v>
      </c>
    </row>
    <row r="25" spans="1:6" x14ac:dyDescent="0.25">
      <c r="A25" s="6">
        <v>24</v>
      </c>
      <c r="B25" s="6" t="s">
        <v>55</v>
      </c>
      <c r="C25" s="6" t="s">
        <v>56</v>
      </c>
      <c r="D25" s="6">
        <v>130132</v>
      </c>
      <c r="E25" s="6" t="s">
        <v>315</v>
      </c>
    </row>
    <row r="26" spans="1:6" x14ac:dyDescent="0.25">
      <c r="A26" s="6">
        <v>25</v>
      </c>
      <c r="B26" s="6" t="s">
        <v>57</v>
      </c>
      <c r="C26" s="6" t="s">
        <v>58</v>
      </c>
      <c r="D26" s="6">
        <v>130159</v>
      </c>
      <c r="E26" s="6" t="s">
        <v>314</v>
      </c>
    </row>
    <row r="27" spans="1:6" x14ac:dyDescent="0.25">
      <c r="A27" s="6">
        <v>26</v>
      </c>
      <c r="B27" s="6" t="s">
        <v>59</v>
      </c>
      <c r="C27" s="6" t="s">
        <v>60</v>
      </c>
      <c r="D27" s="6">
        <v>130212</v>
      </c>
      <c r="E27" s="6" t="s">
        <v>314</v>
      </c>
    </row>
    <row r="28" spans="1:6" x14ac:dyDescent="0.25">
      <c r="A28" s="6">
        <v>27</v>
      </c>
      <c r="B28" s="6" t="s">
        <v>61</v>
      </c>
      <c r="C28" s="6" t="s">
        <v>62</v>
      </c>
      <c r="D28" s="6">
        <v>140071</v>
      </c>
      <c r="E28" s="6" t="s">
        <v>314</v>
      </c>
      <c r="F28" s="6" t="s">
        <v>314</v>
      </c>
    </row>
    <row r="29" spans="1:6" x14ac:dyDescent="0.25">
      <c r="A29" s="6">
        <v>28</v>
      </c>
      <c r="B29" s="6" t="s">
        <v>63</v>
      </c>
      <c r="C29" s="6" t="s">
        <v>64</v>
      </c>
      <c r="D29" s="6">
        <v>140092</v>
      </c>
      <c r="E29" s="6" t="s">
        <v>314</v>
      </c>
      <c r="F29" s="6" t="s">
        <v>314</v>
      </c>
    </row>
    <row r="30" spans="1:6" x14ac:dyDescent="0.25">
      <c r="A30" s="6">
        <v>29</v>
      </c>
      <c r="B30" s="6" t="s">
        <v>65</v>
      </c>
      <c r="C30" s="6" t="s">
        <v>66</v>
      </c>
      <c r="D30" s="6">
        <v>140118</v>
      </c>
      <c r="E30" s="6" t="s">
        <v>314</v>
      </c>
      <c r="F30" s="6" t="s">
        <v>314</v>
      </c>
    </row>
    <row r="31" spans="1:6" x14ac:dyDescent="0.25">
      <c r="A31" s="6">
        <v>30</v>
      </c>
      <c r="B31" s="6" t="s">
        <v>67</v>
      </c>
      <c r="C31" s="6" t="s">
        <v>68</v>
      </c>
      <c r="D31" s="6">
        <v>140136</v>
      </c>
      <c r="E31" s="6" t="s">
        <v>314</v>
      </c>
      <c r="F31" s="6" t="s">
        <v>314</v>
      </c>
    </row>
    <row r="32" spans="1:6" x14ac:dyDescent="0.25">
      <c r="A32" s="6">
        <v>31</v>
      </c>
      <c r="B32" s="6" t="s">
        <v>69</v>
      </c>
      <c r="C32" s="6" t="s">
        <v>70</v>
      </c>
      <c r="D32" s="6">
        <v>140164</v>
      </c>
      <c r="E32" s="6" t="s">
        <v>314</v>
      </c>
      <c r="F32" s="6" t="s">
        <v>314</v>
      </c>
    </row>
    <row r="33" spans="1:6" x14ac:dyDescent="0.25">
      <c r="A33" s="6">
        <v>32</v>
      </c>
      <c r="B33" s="6" t="s">
        <v>71</v>
      </c>
      <c r="C33" s="6" t="s">
        <v>72</v>
      </c>
      <c r="D33" s="6">
        <v>140186</v>
      </c>
      <c r="E33" s="6" t="s">
        <v>314</v>
      </c>
      <c r="F33" s="6" t="s">
        <v>314</v>
      </c>
    </row>
    <row r="34" spans="1:6" x14ac:dyDescent="0.25">
      <c r="A34" s="6">
        <v>33</v>
      </c>
      <c r="B34" s="6" t="s">
        <v>73</v>
      </c>
      <c r="C34" s="6" t="s">
        <v>74</v>
      </c>
      <c r="D34" s="6">
        <v>140415</v>
      </c>
      <c r="E34" s="6" t="s">
        <v>314</v>
      </c>
      <c r="F34" s="6" t="s">
        <v>314</v>
      </c>
    </row>
    <row r="35" spans="1:6" x14ac:dyDescent="0.25">
      <c r="A35" s="6">
        <v>34</v>
      </c>
      <c r="B35" s="6" t="s">
        <v>75</v>
      </c>
      <c r="C35" s="6" t="s">
        <v>76</v>
      </c>
      <c r="D35" s="6">
        <v>140434</v>
      </c>
      <c r="E35" s="6" t="s">
        <v>314</v>
      </c>
      <c r="F35" s="6" t="s">
        <v>314</v>
      </c>
    </row>
    <row r="36" spans="1:6" x14ac:dyDescent="0.25">
      <c r="A36" s="6">
        <v>35</v>
      </c>
      <c r="B36" s="6" t="s">
        <v>77</v>
      </c>
      <c r="C36" s="6" t="s">
        <v>78</v>
      </c>
      <c r="D36" s="6">
        <v>140449</v>
      </c>
      <c r="E36" s="6" t="s">
        <v>314</v>
      </c>
      <c r="F36" s="6" t="s">
        <v>314</v>
      </c>
    </row>
    <row r="37" spans="1:6" x14ac:dyDescent="0.25">
      <c r="A37" s="6">
        <v>36</v>
      </c>
      <c r="B37" s="6" t="s">
        <v>79</v>
      </c>
      <c r="C37" s="6" t="s">
        <v>80</v>
      </c>
      <c r="D37" s="6">
        <v>140465</v>
      </c>
      <c r="E37" s="6" t="s">
        <v>314</v>
      </c>
      <c r="F37" s="6" t="s">
        <v>314</v>
      </c>
    </row>
    <row r="38" spans="1:6" x14ac:dyDescent="0.25">
      <c r="A38" s="6">
        <v>37</v>
      </c>
      <c r="B38" s="6" t="s">
        <v>81</v>
      </c>
      <c r="C38" s="6" t="s">
        <v>82</v>
      </c>
      <c r="D38" s="6">
        <v>140489</v>
      </c>
      <c r="E38" s="6" t="s">
        <v>314</v>
      </c>
      <c r="F38" s="6" t="s">
        <v>314</v>
      </c>
    </row>
    <row r="39" spans="1:6" x14ac:dyDescent="0.25">
      <c r="A39" s="6">
        <v>38</v>
      </c>
      <c r="B39" s="6" t="s">
        <v>83</v>
      </c>
      <c r="C39" s="6" t="s">
        <v>84</v>
      </c>
      <c r="D39" s="6">
        <v>140536</v>
      </c>
      <c r="E39" s="6" t="s">
        <v>314</v>
      </c>
      <c r="F39" s="6" t="s">
        <v>314</v>
      </c>
    </row>
    <row r="40" spans="1:6" x14ac:dyDescent="0.25">
      <c r="A40" s="6">
        <v>39</v>
      </c>
      <c r="B40" s="6" t="s">
        <v>85</v>
      </c>
      <c r="C40" s="6" t="s">
        <v>86</v>
      </c>
      <c r="D40" s="6">
        <v>140552</v>
      </c>
      <c r="E40" s="6" t="s">
        <v>314</v>
      </c>
      <c r="F40" s="6" t="s">
        <v>314</v>
      </c>
    </row>
    <row r="41" spans="1:6" x14ac:dyDescent="0.25">
      <c r="A41" s="6">
        <v>40</v>
      </c>
      <c r="B41" s="6" t="s">
        <v>87</v>
      </c>
      <c r="C41" s="6" t="s">
        <v>88</v>
      </c>
      <c r="D41" s="6">
        <v>140600</v>
      </c>
      <c r="E41" s="6" t="s">
        <v>314</v>
      </c>
      <c r="F41" s="6" t="s">
        <v>314</v>
      </c>
    </row>
    <row r="42" spans="1:6" x14ac:dyDescent="0.25">
      <c r="A42" s="6">
        <v>41</v>
      </c>
      <c r="B42" s="6" t="s">
        <v>89</v>
      </c>
      <c r="C42" s="6" t="s">
        <v>90</v>
      </c>
      <c r="D42" s="6">
        <v>140615</v>
      </c>
      <c r="E42" s="6" t="s">
        <v>314</v>
      </c>
      <c r="F42" s="6" t="s">
        <v>314</v>
      </c>
    </row>
    <row r="43" spans="1:6" x14ac:dyDescent="0.25">
      <c r="A43" s="6">
        <v>42</v>
      </c>
      <c r="B43" s="6" t="s">
        <v>355</v>
      </c>
      <c r="C43" s="6" t="s">
        <v>91</v>
      </c>
      <c r="D43" s="6">
        <v>150026</v>
      </c>
      <c r="E43" s="6" t="s">
        <v>314</v>
      </c>
      <c r="F43" s="6" t="s">
        <v>314</v>
      </c>
    </row>
    <row r="44" spans="1:6" x14ac:dyDescent="0.25">
      <c r="A44" s="6">
        <v>43</v>
      </c>
      <c r="B44" s="6" t="s">
        <v>360</v>
      </c>
      <c r="C44" s="6" t="s">
        <v>93</v>
      </c>
      <c r="D44" s="6">
        <v>150162</v>
      </c>
      <c r="E44" s="6" t="s">
        <v>314</v>
      </c>
      <c r="F44" s="6" t="s">
        <v>314</v>
      </c>
    </row>
    <row r="45" spans="1:6" x14ac:dyDescent="0.25">
      <c r="A45" s="6">
        <v>44</v>
      </c>
      <c r="B45" s="6" t="s">
        <v>359</v>
      </c>
      <c r="C45" s="6" t="s">
        <v>94</v>
      </c>
      <c r="D45" s="6">
        <v>150227</v>
      </c>
      <c r="E45" s="6" t="s">
        <v>314</v>
      </c>
      <c r="F45" s="6" t="s">
        <v>314</v>
      </c>
    </row>
    <row r="46" spans="1:6" x14ac:dyDescent="0.25">
      <c r="A46" s="6">
        <v>45</v>
      </c>
      <c r="B46" s="6" t="s">
        <v>358</v>
      </c>
      <c r="C46" s="6" t="s">
        <v>95</v>
      </c>
      <c r="D46" s="6">
        <v>150282</v>
      </c>
      <c r="E46" s="6" t="s">
        <v>314</v>
      </c>
      <c r="F46" s="6" t="s">
        <v>314</v>
      </c>
    </row>
    <row r="47" spans="1:6" x14ac:dyDescent="0.25">
      <c r="A47" s="6">
        <v>244</v>
      </c>
      <c r="B47" s="6" t="s">
        <v>361</v>
      </c>
      <c r="C47" s="6" t="s">
        <v>56</v>
      </c>
      <c r="D47" s="6">
        <v>130186</v>
      </c>
      <c r="E47" s="6" t="s">
        <v>314</v>
      </c>
      <c r="F47" s="6" t="s">
        <v>314</v>
      </c>
    </row>
    <row r="48" spans="1:6" x14ac:dyDescent="0.25">
      <c r="A48" s="6">
        <v>245</v>
      </c>
      <c r="B48" s="6" t="s">
        <v>362</v>
      </c>
      <c r="C48" s="6" t="s">
        <v>58</v>
      </c>
      <c r="D48" s="6">
        <v>130273</v>
      </c>
      <c r="E48" s="6" t="s">
        <v>314</v>
      </c>
      <c r="F48" s="6" t="s">
        <v>314</v>
      </c>
    </row>
    <row r="49" spans="1:6" x14ac:dyDescent="0.25">
      <c r="A49" s="6">
        <v>246</v>
      </c>
      <c r="B49" s="6" t="s">
        <v>363</v>
      </c>
      <c r="C49" s="6" t="s">
        <v>60</v>
      </c>
      <c r="D49" s="6">
        <v>140002</v>
      </c>
      <c r="E49" s="6" t="s">
        <v>314</v>
      </c>
      <c r="F49" s="6" t="s">
        <v>314</v>
      </c>
    </row>
    <row r="50" spans="1:6" x14ac:dyDescent="0.25">
      <c r="A50" s="6">
        <v>247</v>
      </c>
      <c r="B50" s="6" t="s">
        <v>364</v>
      </c>
      <c r="C50" s="6" t="s">
        <v>62</v>
      </c>
      <c r="D50" s="6">
        <v>140208</v>
      </c>
      <c r="E50" s="6" t="s">
        <v>314</v>
      </c>
      <c r="F50" s="6" t="s">
        <v>314</v>
      </c>
    </row>
    <row r="51" spans="1:6" x14ac:dyDescent="0.25">
      <c r="A51" s="6">
        <v>248</v>
      </c>
      <c r="B51" s="6" t="s">
        <v>365</v>
      </c>
      <c r="C51" s="6" t="s">
        <v>66</v>
      </c>
      <c r="D51" s="6">
        <v>140301</v>
      </c>
      <c r="E51" s="6" t="s">
        <v>314</v>
      </c>
      <c r="F51" s="6" t="s">
        <v>314</v>
      </c>
    </row>
    <row r="52" spans="1:6" x14ac:dyDescent="0.25">
      <c r="A52" s="6">
        <v>249</v>
      </c>
      <c r="B52" s="6" t="s">
        <v>366</v>
      </c>
      <c r="C52" s="6" t="s">
        <v>68</v>
      </c>
      <c r="D52" s="6">
        <v>140319</v>
      </c>
      <c r="E52" s="6" t="s">
        <v>314</v>
      </c>
      <c r="F52" s="6" t="s">
        <v>314</v>
      </c>
    </row>
    <row r="53" spans="1:6" x14ac:dyDescent="0.25">
      <c r="A53" s="6">
        <v>250</v>
      </c>
      <c r="B53" s="6" t="s">
        <v>367</v>
      </c>
      <c r="C53" s="6" t="s">
        <v>70</v>
      </c>
      <c r="D53" s="6">
        <v>140346</v>
      </c>
      <c r="E53" s="6" t="s">
        <v>314</v>
      </c>
      <c r="F53" s="6" t="s">
        <v>314</v>
      </c>
    </row>
    <row r="54" spans="1:6" x14ac:dyDescent="0.25">
      <c r="A54" s="6">
        <v>251</v>
      </c>
      <c r="B54" s="6" t="s">
        <v>368</v>
      </c>
      <c r="C54" s="6" t="s">
        <v>72</v>
      </c>
      <c r="D54" s="6">
        <v>140374</v>
      </c>
      <c r="E54" s="6" t="s">
        <v>314</v>
      </c>
      <c r="F54" s="6" t="s">
        <v>314</v>
      </c>
    </row>
    <row r="55" spans="1:6" x14ac:dyDescent="0.25">
      <c r="A55" s="6">
        <v>252</v>
      </c>
      <c r="B55" s="6" t="s">
        <v>369</v>
      </c>
      <c r="C55" s="6" t="s">
        <v>74</v>
      </c>
      <c r="D55" s="6">
        <v>140507</v>
      </c>
      <c r="E55" s="6" t="s">
        <v>314</v>
      </c>
      <c r="F55" s="6" t="s">
        <v>314</v>
      </c>
    </row>
    <row r="56" spans="1:6" x14ac:dyDescent="0.25">
      <c r="A56" s="6">
        <v>253</v>
      </c>
      <c r="B56" s="6" t="s">
        <v>370</v>
      </c>
      <c r="C56" s="6" t="s">
        <v>76</v>
      </c>
      <c r="D56" s="6">
        <v>140521</v>
      </c>
      <c r="E56" s="6" t="s">
        <v>314</v>
      </c>
      <c r="F56" s="6" t="s">
        <v>314</v>
      </c>
    </row>
    <row r="57" spans="1:6" x14ac:dyDescent="0.25">
      <c r="A57" s="6">
        <v>254</v>
      </c>
      <c r="B57" s="6" t="s">
        <v>371</v>
      </c>
      <c r="C57" s="6" t="s">
        <v>78</v>
      </c>
      <c r="D57" s="6">
        <v>140567</v>
      </c>
      <c r="E57" s="6" t="s">
        <v>314</v>
      </c>
      <c r="F57" s="6" t="s">
        <v>314</v>
      </c>
    </row>
    <row r="58" spans="1:6" x14ac:dyDescent="0.25">
      <c r="A58" s="6">
        <v>255</v>
      </c>
      <c r="B58" s="6" t="s">
        <v>372</v>
      </c>
      <c r="C58" s="6" t="s">
        <v>80</v>
      </c>
      <c r="D58" s="6">
        <v>140582</v>
      </c>
      <c r="E58" s="6" t="s">
        <v>314</v>
      </c>
      <c r="F58" s="6" t="s">
        <v>314</v>
      </c>
    </row>
    <row r="59" spans="1:6" x14ac:dyDescent="0.25">
      <c r="A59" s="6">
        <v>256</v>
      </c>
      <c r="B59" s="6" t="s">
        <v>373</v>
      </c>
      <c r="C59" s="6" t="s">
        <v>82</v>
      </c>
      <c r="D59" s="6">
        <v>140631</v>
      </c>
      <c r="E59" s="6" t="s">
        <v>314</v>
      </c>
      <c r="F59" s="6" t="s">
        <v>314</v>
      </c>
    </row>
    <row r="60" spans="1:6" x14ac:dyDescent="0.25">
      <c r="A60" s="6">
        <v>257</v>
      </c>
      <c r="B60" s="6" t="s">
        <v>374</v>
      </c>
      <c r="C60" s="6" t="s">
        <v>84</v>
      </c>
      <c r="D60" s="6">
        <v>140646</v>
      </c>
      <c r="E60" s="6" t="s">
        <v>314</v>
      </c>
      <c r="F60" s="6" t="s">
        <v>314</v>
      </c>
    </row>
    <row r="61" spans="1:6" x14ac:dyDescent="0.25">
      <c r="A61" s="6">
        <v>258</v>
      </c>
      <c r="B61" s="6" t="s">
        <v>375</v>
      </c>
      <c r="C61" s="6" t="s">
        <v>86</v>
      </c>
      <c r="D61" s="6">
        <v>140671</v>
      </c>
      <c r="E61" s="6" t="s">
        <v>314</v>
      </c>
      <c r="F61" s="6" t="s">
        <v>314</v>
      </c>
    </row>
    <row r="62" spans="1:6" x14ac:dyDescent="0.25">
      <c r="A62" s="6">
        <v>259</v>
      </c>
      <c r="B62" s="6" t="s">
        <v>376</v>
      </c>
      <c r="C62" s="6" t="s">
        <v>88</v>
      </c>
      <c r="D62" s="6">
        <v>150066</v>
      </c>
      <c r="E62" s="6" t="s">
        <v>314</v>
      </c>
      <c r="F62" s="6" t="s">
        <v>314</v>
      </c>
    </row>
    <row r="63" spans="1:6" x14ac:dyDescent="0.25">
      <c r="A63" s="6">
        <v>260</v>
      </c>
      <c r="B63" s="6" t="s">
        <v>377</v>
      </c>
      <c r="C63" s="6" t="s">
        <v>90</v>
      </c>
      <c r="D63" s="6">
        <v>150042</v>
      </c>
      <c r="E63" s="6" t="s">
        <v>314</v>
      </c>
      <c r="F63" s="6" t="s">
        <v>314</v>
      </c>
    </row>
    <row r="64" spans="1:6" x14ac:dyDescent="0.25">
      <c r="A64" s="6">
        <v>261</v>
      </c>
      <c r="B64" s="6" t="s">
        <v>378</v>
      </c>
      <c r="C64" s="6" t="s">
        <v>91</v>
      </c>
      <c r="D64" s="6">
        <v>150376</v>
      </c>
      <c r="E64" s="6" t="s">
        <v>314</v>
      </c>
      <c r="F64" s="6" t="s">
        <v>314</v>
      </c>
    </row>
    <row r="65" spans="1:6" x14ac:dyDescent="0.25">
      <c r="A65" s="6">
        <v>262</v>
      </c>
      <c r="B65" s="6" t="s">
        <v>356</v>
      </c>
      <c r="C65" s="6" t="s">
        <v>94</v>
      </c>
      <c r="D65" s="6">
        <v>150361</v>
      </c>
      <c r="E65" s="6" t="s">
        <v>314</v>
      </c>
      <c r="F65" s="6" t="s">
        <v>314</v>
      </c>
    </row>
    <row r="66" spans="1:6" x14ac:dyDescent="0.25">
      <c r="A66" s="6">
        <v>263</v>
      </c>
      <c r="B66" s="6" t="s">
        <v>357</v>
      </c>
      <c r="C66" s="6" t="s">
        <v>95</v>
      </c>
      <c r="D66" s="6">
        <v>150436</v>
      </c>
      <c r="E66" s="6" t="s">
        <v>314</v>
      </c>
      <c r="F66" s="6" t="s">
        <v>314</v>
      </c>
    </row>
    <row r="67" spans="1:6" x14ac:dyDescent="0.25">
      <c r="A67" s="6">
        <v>62</v>
      </c>
      <c r="B67" s="6" t="s">
        <v>102</v>
      </c>
      <c r="C67" s="6" t="s">
        <v>103</v>
      </c>
      <c r="D67" s="6">
        <v>901283</v>
      </c>
      <c r="E67" s="6" t="s">
        <v>314</v>
      </c>
      <c r="F67" s="6" t="s">
        <v>314</v>
      </c>
    </row>
    <row r="68" spans="1:6" x14ac:dyDescent="0.25">
      <c r="A68" s="6">
        <v>63</v>
      </c>
      <c r="B68" s="6" t="s">
        <v>99</v>
      </c>
      <c r="C68" s="6" t="s">
        <v>104</v>
      </c>
      <c r="D68" s="6">
        <v>901365</v>
      </c>
      <c r="E68" s="6" t="s">
        <v>314</v>
      </c>
      <c r="F68" s="6" t="s">
        <v>314</v>
      </c>
    </row>
    <row r="69" spans="1:6" x14ac:dyDescent="0.25">
      <c r="A69" s="6">
        <v>64</v>
      </c>
      <c r="B69" s="6" t="s">
        <v>105</v>
      </c>
      <c r="C69" s="6" t="s">
        <v>106</v>
      </c>
      <c r="D69" s="6">
        <v>901424</v>
      </c>
      <c r="E69" s="6" t="s">
        <v>314</v>
      </c>
      <c r="F69" s="6" t="s">
        <v>314</v>
      </c>
    </row>
    <row r="70" spans="1:6" x14ac:dyDescent="0.25">
      <c r="A70" s="6">
        <v>65</v>
      </c>
      <c r="B70" s="6" t="s">
        <v>107</v>
      </c>
      <c r="C70" s="6" t="s">
        <v>108</v>
      </c>
      <c r="D70" s="6">
        <v>901695</v>
      </c>
      <c r="E70" s="6" t="s">
        <v>314</v>
      </c>
      <c r="F70" s="6" t="s">
        <v>314</v>
      </c>
    </row>
    <row r="71" spans="1:6" x14ac:dyDescent="0.25">
      <c r="A71" s="6">
        <v>66</v>
      </c>
      <c r="B71" s="6" t="s">
        <v>109</v>
      </c>
      <c r="C71" s="6" t="s">
        <v>110</v>
      </c>
      <c r="D71" s="6">
        <v>901767</v>
      </c>
      <c r="E71" s="6" t="s">
        <v>314</v>
      </c>
      <c r="F71" s="6" t="s">
        <v>314</v>
      </c>
    </row>
    <row r="72" spans="1:6" x14ac:dyDescent="0.25">
      <c r="A72" s="6">
        <v>67</v>
      </c>
      <c r="B72" s="6" t="s">
        <v>111</v>
      </c>
      <c r="C72" s="6" t="s">
        <v>112</v>
      </c>
      <c r="D72" s="6">
        <v>901887</v>
      </c>
      <c r="E72" s="6" t="s">
        <v>314</v>
      </c>
      <c r="F72" s="6" t="s">
        <v>314</v>
      </c>
    </row>
    <row r="73" spans="1:6" x14ac:dyDescent="0.25">
      <c r="A73" s="6">
        <v>68</v>
      </c>
      <c r="B73" s="6" t="s">
        <v>113</v>
      </c>
      <c r="C73" s="6" t="s">
        <v>114</v>
      </c>
      <c r="D73" s="6">
        <v>100238</v>
      </c>
      <c r="E73" s="6" t="s">
        <v>314</v>
      </c>
      <c r="F73" s="6" t="s">
        <v>314</v>
      </c>
    </row>
    <row r="74" spans="1:6" x14ac:dyDescent="0.25">
      <c r="A74" s="6">
        <v>69</v>
      </c>
      <c r="B74" s="6" t="s">
        <v>115</v>
      </c>
      <c r="C74" s="6" t="s">
        <v>116</v>
      </c>
      <c r="D74" s="6">
        <v>100261</v>
      </c>
      <c r="E74" s="6" t="s">
        <v>314</v>
      </c>
      <c r="F74" s="6" t="s">
        <v>314</v>
      </c>
    </row>
    <row r="75" spans="1:6" x14ac:dyDescent="0.25">
      <c r="A75" s="6">
        <v>70</v>
      </c>
      <c r="B75" s="6" t="s">
        <v>117</v>
      </c>
      <c r="C75" s="6" t="s">
        <v>118</v>
      </c>
      <c r="D75" s="6">
        <v>100506</v>
      </c>
      <c r="E75" s="6" t="s">
        <v>314</v>
      </c>
      <c r="F75" s="6" t="s">
        <v>314</v>
      </c>
    </row>
    <row r="76" spans="1:6" x14ac:dyDescent="0.25">
      <c r="A76" s="6">
        <v>71</v>
      </c>
      <c r="B76" s="6" t="s">
        <v>101</v>
      </c>
      <c r="C76" s="6" t="s">
        <v>119</v>
      </c>
      <c r="D76" s="6">
        <v>100629</v>
      </c>
      <c r="E76" s="6" t="s">
        <v>314</v>
      </c>
      <c r="F76" s="6" t="s">
        <v>314</v>
      </c>
    </row>
    <row r="77" spans="1:6" x14ac:dyDescent="0.25">
      <c r="A77" s="6">
        <v>72</v>
      </c>
      <c r="B77" s="6" t="s">
        <v>120</v>
      </c>
      <c r="C77" s="6" t="s">
        <v>121</v>
      </c>
      <c r="D77" s="6">
        <v>100675</v>
      </c>
      <c r="E77" s="6" t="s">
        <v>314</v>
      </c>
      <c r="F77" s="6" t="s">
        <v>314</v>
      </c>
    </row>
    <row r="78" spans="1:6" x14ac:dyDescent="0.25">
      <c r="A78" s="6">
        <v>73</v>
      </c>
      <c r="B78" s="6" t="s">
        <v>109</v>
      </c>
      <c r="C78" s="6" t="s">
        <v>122</v>
      </c>
      <c r="D78" s="6">
        <v>100698</v>
      </c>
      <c r="E78" s="6" t="s">
        <v>314</v>
      </c>
      <c r="F78" s="6" t="s">
        <v>314</v>
      </c>
    </row>
    <row r="79" spans="1:6" x14ac:dyDescent="0.25">
      <c r="A79" s="6">
        <v>74</v>
      </c>
      <c r="B79" s="6" t="s">
        <v>123</v>
      </c>
      <c r="C79" s="6" t="s">
        <v>124</v>
      </c>
      <c r="D79" s="6">
        <v>100723</v>
      </c>
      <c r="E79" s="6" t="s">
        <v>314</v>
      </c>
      <c r="F79" s="6" t="s">
        <v>314</v>
      </c>
    </row>
    <row r="80" spans="1:6" x14ac:dyDescent="0.25">
      <c r="A80" s="6">
        <v>75</v>
      </c>
      <c r="B80" s="6" t="s">
        <v>113</v>
      </c>
      <c r="C80" s="6" t="s">
        <v>125</v>
      </c>
      <c r="D80" s="6">
        <v>100746</v>
      </c>
      <c r="E80" s="6" t="s">
        <v>314</v>
      </c>
      <c r="F80" s="6" t="s">
        <v>314</v>
      </c>
    </row>
    <row r="81" spans="1:6" x14ac:dyDescent="0.25">
      <c r="A81" s="6">
        <v>76</v>
      </c>
      <c r="B81" s="6" t="s">
        <v>126</v>
      </c>
      <c r="C81" s="6" t="s">
        <v>127</v>
      </c>
      <c r="D81" s="6">
        <v>100818</v>
      </c>
      <c r="E81" s="6" t="s">
        <v>314</v>
      </c>
      <c r="F81" s="6" t="s">
        <v>314</v>
      </c>
    </row>
    <row r="82" spans="1:6" x14ac:dyDescent="0.25">
      <c r="A82" s="6">
        <v>77</v>
      </c>
      <c r="B82" s="6" t="s">
        <v>128</v>
      </c>
      <c r="C82" s="6" t="s">
        <v>129</v>
      </c>
      <c r="D82" s="6">
        <v>100930</v>
      </c>
      <c r="E82" s="6" t="s">
        <v>314</v>
      </c>
      <c r="F82" s="6" t="s">
        <v>314</v>
      </c>
    </row>
    <row r="83" spans="1:6" x14ac:dyDescent="0.25">
      <c r="A83" s="6">
        <v>78</v>
      </c>
      <c r="B83" s="6" t="s">
        <v>130</v>
      </c>
      <c r="C83" s="6" t="s">
        <v>131</v>
      </c>
      <c r="D83" s="6">
        <v>100953</v>
      </c>
      <c r="E83" s="6" t="s">
        <v>314</v>
      </c>
      <c r="F83" s="6" t="s">
        <v>314</v>
      </c>
    </row>
    <row r="84" spans="1:6" x14ac:dyDescent="0.25">
      <c r="A84" s="6">
        <v>79</v>
      </c>
      <c r="B84" s="6" t="s">
        <v>132</v>
      </c>
      <c r="C84" s="6" t="s">
        <v>133</v>
      </c>
      <c r="D84" s="6">
        <v>100983</v>
      </c>
      <c r="E84" s="6" t="s">
        <v>314</v>
      </c>
      <c r="F84" s="6" t="s">
        <v>314</v>
      </c>
    </row>
    <row r="85" spans="1:6" x14ac:dyDescent="0.25">
      <c r="A85" s="6">
        <v>80</v>
      </c>
      <c r="B85" s="6" t="s">
        <v>134</v>
      </c>
      <c r="C85" s="6" t="s">
        <v>135</v>
      </c>
      <c r="D85" s="6">
        <v>101053</v>
      </c>
      <c r="E85" s="6" t="s">
        <v>314</v>
      </c>
      <c r="F85" s="6" t="s">
        <v>314</v>
      </c>
    </row>
    <row r="86" spans="1:6" x14ac:dyDescent="0.25">
      <c r="A86" s="6">
        <v>81</v>
      </c>
      <c r="B86" s="6" t="s">
        <v>96</v>
      </c>
      <c r="C86" s="6" t="s">
        <v>136</v>
      </c>
      <c r="D86" s="6">
        <v>101165</v>
      </c>
      <c r="E86" s="6" t="s">
        <v>314</v>
      </c>
      <c r="F86" s="6" t="s">
        <v>314</v>
      </c>
    </row>
    <row r="87" spans="1:6" x14ac:dyDescent="0.25">
      <c r="A87" s="6">
        <v>82</v>
      </c>
      <c r="B87" s="6" t="s">
        <v>137</v>
      </c>
      <c r="C87" s="6" t="s">
        <v>138</v>
      </c>
      <c r="D87" s="6">
        <v>101189</v>
      </c>
      <c r="E87" s="6" t="s">
        <v>314</v>
      </c>
      <c r="F87" s="6" t="s">
        <v>314</v>
      </c>
    </row>
    <row r="88" spans="1:6" x14ac:dyDescent="0.25">
      <c r="A88" s="6">
        <v>83</v>
      </c>
      <c r="B88" s="6" t="s">
        <v>139</v>
      </c>
      <c r="C88" s="6" t="s">
        <v>140</v>
      </c>
      <c r="D88" s="6">
        <v>101300</v>
      </c>
      <c r="E88" s="6" t="s">
        <v>314</v>
      </c>
      <c r="F88" s="6" t="s">
        <v>314</v>
      </c>
    </row>
    <row r="89" spans="1:6" x14ac:dyDescent="0.25">
      <c r="A89" s="6">
        <v>84</v>
      </c>
      <c r="B89" s="6" t="s">
        <v>141</v>
      </c>
      <c r="C89" s="6" t="s">
        <v>142</v>
      </c>
      <c r="D89" s="6">
        <v>101334</v>
      </c>
      <c r="E89" s="6" t="s">
        <v>314</v>
      </c>
      <c r="F89" s="6" t="s">
        <v>314</v>
      </c>
    </row>
    <row r="90" spans="1:6" x14ac:dyDescent="0.25">
      <c r="A90" s="6">
        <v>85</v>
      </c>
      <c r="B90" s="6" t="s">
        <v>97</v>
      </c>
      <c r="C90" s="6" t="s">
        <v>143</v>
      </c>
      <c r="D90" s="6">
        <v>101365</v>
      </c>
      <c r="E90" s="6" t="s">
        <v>314</v>
      </c>
      <c r="F90" s="6" t="s">
        <v>314</v>
      </c>
    </row>
    <row r="91" spans="1:6" x14ac:dyDescent="0.25">
      <c r="A91" s="6">
        <v>86</v>
      </c>
      <c r="B91" s="6" t="s">
        <v>144</v>
      </c>
      <c r="C91" s="6" t="s">
        <v>145</v>
      </c>
      <c r="D91" s="6">
        <v>101497</v>
      </c>
      <c r="E91" s="6" t="s">
        <v>314</v>
      </c>
      <c r="F91" s="6" t="s">
        <v>314</v>
      </c>
    </row>
    <row r="92" spans="1:6" x14ac:dyDescent="0.25">
      <c r="A92" s="6">
        <v>87</v>
      </c>
      <c r="B92" s="6" t="s">
        <v>146</v>
      </c>
      <c r="C92" s="6" t="s">
        <v>147</v>
      </c>
      <c r="D92" s="6">
        <v>101520</v>
      </c>
      <c r="E92" s="6" t="s">
        <v>314</v>
      </c>
      <c r="F92" s="6" t="s">
        <v>314</v>
      </c>
    </row>
    <row r="93" spans="1:6" x14ac:dyDescent="0.25">
      <c r="A93" s="6">
        <v>88</v>
      </c>
      <c r="B93" s="6" t="s">
        <v>148</v>
      </c>
      <c r="C93" s="6" t="s">
        <v>149</v>
      </c>
      <c r="D93" s="6">
        <v>101545</v>
      </c>
      <c r="E93" s="6" t="s">
        <v>314</v>
      </c>
      <c r="F93" s="6" t="s">
        <v>314</v>
      </c>
    </row>
    <row r="94" spans="1:6" x14ac:dyDescent="0.25">
      <c r="A94" s="6">
        <v>89</v>
      </c>
      <c r="B94" s="6" t="s">
        <v>150</v>
      </c>
      <c r="C94" s="6" t="s">
        <v>151</v>
      </c>
      <c r="D94" s="6">
        <v>101568</v>
      </c>
      <c r="E94" s="6" t="s">
        <v>314</v>
      </c>
      <c r="F94" s="6" t="s">
        <v>314</v>
      </c>
    </row>
    <row r="95" spans="1:6" x14ac:dyDescent="0.25">
      <c r="A95" s="6">
        <v>90</v>
      </c>
      <c r="B95" s="6" t="s">
        <v>152</v>
      </c>
      <c r="C95" s="6" t="s">
        <v>153</v>
      </c>
      <c r="D95" s="6">
        <v>101626</v>
      </c>
      <c r="E95" s="6" t="s">
        <v>314</v>
      </c>
      <c r="F95" s="6" t="s">
        <v>314</v>
      </c>
    </row>
    <row r="96" spans="1:6" x14ac:dyDescent="0.25">
      <c r="A96" s="6">
        <v>91</v>
      </c>
      <c r="B96" s="6" t="s">
        <v>154</v>
      </c>
      <c r="C96" s="6" t="s">
        <v>155</v>
      </c>
      <c r="D96" s="6">
        <v>101660</v>
      </c>
      <c r="E96" s="6" t="s">
        <v>314</v>
      </c>
      <c r="F96" s="6" t="s">
        <v>314</v>
      </c>
    </row>
    <row r="97" spans="1:6" x14ac:dyDescent="0.25">
      <c r="A97" s="6">
        <v>92</v>
      </c>
      <c r="B97" s="6" t="s">
        <v>156</v>
      </c>
      <c r="C97" s="6" t="s">
        <v>157</v>
      </c>
      <c r="D97" s="6">
        <v>101683</v>
      </c>
      <c r="E97" s="6" t="s">
        <v>314</v>
      </c>
      <c r="F97" s="6" t="s">
        <v>314</v>
      </c>
    </row>
    <row r="98" spans="1:6" x14ac:dyDescent="0.25">
      <c r="A98" s="6">
        <v>93</v>
      </c>
      <c r="B98" s="6" t="s">
        <v>158</v>
      </c>
      <c r="C98" s="6" t="s">
        <v>159</v>
      </c>
      <c r="D98" s="6">
        <v>101704</v>
      </c>
      <c r="E98" s="6" t="s">
        <v>314</v>
      </c>
      <c r="F98" s="6" t="s">
        <v>314</v>
      </c>
    </row>
    <row r="99" spans="1:6" x14ac:dyDescent="0.25">
      <c r="A99" s="6">
        <v>94</v>
      </c>
      <c r="B99" s="6" t="s">
        <v>160</v>
      </c>
      <c r="C99" s="6" t="s">
        <v>161</v>
      </c>
      <c r="D99" s="6">
        <v>101735</v>
      </c>
      <c r="E99" s="6" t="s">
        <v>314</v>
      </c>
      <c r="F99" s="6" t="s">
        <v>314</v>
      </c>
    </row>
    <row r="100" spans="1:6" x14ac:dyDescent="0.25">
      <c r="A100" s="6">
        <v>95</v>
      </c>
      <c r="B100" s="6" t="s">
        <v>162</v>
      </c>
      <c r="C100" s="6" t="s">
        <v>163</v>
      </c>
      <c r="D100" s="6">
        <v>101773</v>
      </c>
      <c r="E100" s="6" t="s">
        <v>314</v>
      </c>
      <c r="F100" s="6" t="s">
        <v>314</v>
      </c>
    </row>
    <row r="101" spans="1:6" x14ac:dyDescent="0.25">
      <c r="A101" s="6">
        <v>96</v>
      </c>
      <c r="B101" s="6" t="s">
        <v>164</v>
      </c>
      <c r="C101" s="6" t="s">
        <v>165</v>
      </c>
      <c r="D101" s="6">
        <v>101822</v>
      </c>
      <c r="E101" s="6" t="s">
        <v>314</v>
      </c>
      <c r="F101" s="6" t="s">
        <v>314</v>
      </c>
    </row>
    <row r="102" spans="1:6" x14ac:dyDescent="0.25">
      <c r="A102" s="6">
        <v>97</v>
      </c>
      <c r="B102" s="6" t="s">
        <v>166</v>
      </c>
      <c r="C102" s="6" t="s">
        <v>167</v>
      </c>
      <c r="D102" s="6">
        <v>101884</v>
      </c>
      <c r="E102" s="6" t="s">
        <v>314</v>
      </c>
      <c r="F102" s="6" t="s">
        <v>314</v>
      </c>
    </row>
    <row r="103" spans="1:6" x14ac:dyDescent="0.25">
      <c r="A103" s="6">
        <v>98</v>
      </c>
      <c r="B103" s="6" t="s">
        <v>168</v>
      </c>
      <c r="C103" s="6" t="s">
        <v>169</v>
      </c>
      <c r="D103" s="6">
        <v>101907</v>
      </c>
      <c r="E103" s="6" t="s">
        <v>314</v>
      </c>
      <c r="F103" s="6" t="s">
        <v>314</v>
      </c>
    </row>
    <row r="104" spans="1:6" x14ac:dyDescent="0.25">
      <c r="A104" s="6">
        <v>99</v>
      </c>
      <c r="B104" s="6" t="s">
        <v>170</v>
      </c>
      <c r="C104" s="6" t="s">
        <v>171</v>
      </c>
      <c r="D104" s="6">
        <v>101930</v>
      </c>
      <c r="E104" s="6" t="s">
        <v>314</v>
      </c>
      <c r="F104" s="6" t="s">
        <v>314</v>
      </c>
    </row>
    <row r="105" spans="1:6" x14ac:dyDescent="0.25">
      <c r="A105" s="6">
        <v>100</v>
      </c>
      <c r="B105" s="6" t="s">
        <v>172</v>
      </c>
      <c r="C105" s="6" t="s">
        <v>173</v>
      </c>
      <c r="D105" s="6">
        <v>101956</v>
      </c>
      <c r="E105" s="6" t="s">
        <v>314</v>
      </c>
      <c r="F105" s="6" t="s">
        <v>314</v>
      </c>
    </row>
    <row r="106" spans="1:6" x14ac:dyDescent="0.25">
      <c r="A106" s="6">
        <v>101</v>
      </c>
      <c r="B106" s="6" t="s">
        <v>174</v>
      </c>
      <c r="C106" s="6" t="s">
        <v>175</v>
      </c>
      <c r="D106" s="6">
        <v>110102</v>
      </c>
      <c r="E106" s="6" t="s">
        <v>314</v>
      </c>
      <c r="F106" s="6" t="s">
        <v>314</v>
      </c>
    </row>
    <row r="107" spans="1:6" x14ac:dyDescent="0.25">
      <c r="A107" s="6">
        <v>102</v>
      </c>
      <c r="B107" s="6" t="s">
        <v>92</v>
      </c>
      <c r="C107" s="6" t="s">
        <v>176</v>
      </c>
      <c r="D107" s="6">
        <v>110235</v>
      </c>
      <c r="E107" s="6" t="s">
        <v>314</v>
      </c>
      <c r="F107" s="6" t="s">
        <v>314</v>
      </c>
    </row>
    <row r="108" spans="1:6" x14ac:dyDescent="0.25">
      <c r="A108" s="6">
        <v>103</v>
      </c>
      <c r="B108" s="6" t="s">
        <v>98</v>
      </c>
      <c r="C108" s="6" t="s">
        <v>177</v>
      </c>
      <c r="D108" s="6">
        <v>110258</v>
      </c>
      <c r="E108" s="6" t="s">
        <v>314</v>
      </c>
      <c r="F108" s="6" t="s">
        <v>314</v>
      </c>
    </row>
    <row r="109" spans="1:6" x14ac:dyDescent="0.25">
      <c r="A109" s="6">
        <v>104</v>
      </c>
      <c r="B109" s="6" t="s">
        <v>178</v>
      </c>
      <c r="C109" s="6" t="s">
        <v>179</v>
      </c>
      <c r="D109" s="6">
        <v>110287</v>
      </c>
      <c r="E109" s="6" t="s">
        <v>314</v>
      </c>
      <c r="F109" s="6" t="s">
        <v>314</v>
      </c>
    </row>
    <row r="110" spans="1:6" x14ac:dyDescent="0.25">
      <c r="A110" s="6">
        <v>105</v>
      </c>
      <c r="B110" s="6" t="s">
        <v>96</v>
      </c>
      <c r="C110" s="6" t="s">
        <v>180</v>
      </c>
      <c r="D110" s="6">
        <v>110329</v>
      </c>
      <c r="E110" s="6" t="s">
        <v>314</v>
      </c>
      <c r="F110" s="6" t="s">
        <v>314</v>
      </c>
    </row>
    <row r="111" spans="1:6" x14ac:dyDescent="0.25">
      <c r="A111" s="6">
        <v>106</v>
      </c>
      <c r="B111" s="6" t="s">
        <v>181</v>
      </c>
      <c r="C111" s="6" t="s">
        <v>182</v>
      </c>
      <c r="D111" s="6">
        <v>110352</v>
      </c>
      <c r="E111" s="6" t="s">
        <v>314</v>
      </c>
      <c r="F111" s="6" t="s">
        <v>314</v>
      </c>
    </row>
    <row r="112" spans="1:6" x14ac:dyDescent="0.25">
      <c r="A112" s="6">
        <v>107</v>
      </c>
      <c r="B112" s="6" t="s">
        <v>183</v>
      </c>
      <c r="C112" s="6" t="s">
        <v>184</v>
      </c>
      <c r="D112" s="6">
        <v>110375</v>
      </c>
      <c r="E112" s="6" t="s">
        <v>314</v>
      </c>
      <c r="F112" s="6" t="s">
        <v>314</v>
      </c>
    </row>
    <row r="113" spans="1:7" x14ac:dyDescent="0.25">
      <c r="A113" s="6">
        <v>108</v>
      </c>
      <c r="B113" s="6" t="s">
        <v>185</v>
      </c>
      <c r="C113" s="6" t="s">
        <v>186</v>
      </c>
      <c r="D113" s="6">
        <v>110404</v>
      </c>
      <c r="E113" s="6" t="s">
        <v>314</v>
      </c>
      <c r="F113" s="6" t="s">
        <v>314</v>
      </c>
    </row>
    <row r="114" spans="1:7" x14ac:dyDescent="0.25">
      <c r="A114" s="6">
        <v>109</v>
      </c>
      <c r="B114" s="6" t="s">
        <v>187</v>
      </c>
      <c r="C114" s="6" t="s">
        <v>188</v>
      </c>
      <c r="D114" s="6">
        <v>110427</v>
      </c>
      <c r="E114" s="6" t="s">
        <v>314</v>
      </c>
      <c r="F114" s="6" t="s">
        <v>314</v>
      </c>
    </row>
    <row r="115" spans="1:7" x14ac:dyDescent="0.25">
      <c r="A115" s="6">
        <v>110</v>
      </c>
      <c r="B115" s="6" t="s">
        <v>101</v>
      </c>
      <c r="C115" s="6" t="s">
        <v>189</v>
      </c>
      <c r="D115" s="6">
        <v>110454</v>
      </c>
      <c r="E115" s="6" t="s">
        <v>315</v>
      </c>
    </row>
    <row r="116" spans="1:7" x14ac:dyDescent="0.25">
      <c r="A116" s="6">
        <v>111</v>
      </c>
      <c r="B116" s="6" t="s">
        <v>190</v>
      </c>
      <c r="C116" s="6" t="s">
        <v>191</v>
      </c>
      <c r="D116" s="6">
        <v>110477</v>
      </c>
      <c r="E116" s="6" t="s">
        <v>314</v>
      </c>
      <c r="F116" s="6" t="s">
        <v>314</v>
      </c>
    </row>
    <row r="117" spans="1:7" x14ac:dyDescent="0.25">
      <c r="A117" s="6">
        <v>112</v>
      </c>
      <c r="B117" s="6" t="s">
        <v>192</v>
      </c>
      <c r="C117" s="6" t="s">
        <v>193</v>
      </c>
      <c r="D117" s="6">
        <v>110500</v>
      </c>
      <c r="E117" s="6" t="s">
        <v>314</v>
      </c>
      <c r="F117" s="6" t="s">
        <v>314</v>
      </c>
    </row>
    <row r="118" spans="1:7" x14ac:dyDescent="0.25">
      <c r="A118" s="6">
        <v>113</v>
      </c>
      <c r="B118" s="6" t="s">
        <v>120</v>
      </c>
      <c r="C118" s="6" t="s">
        <v>194</v>
      </c>
      <c r="D118" s="6">
        <v>110529</v>
      </c>
      <c r="E118" s="6" t="s">
        <v>314</v>
      </c>
      <c r="F118" s="6" t="s">
        <v>314</v>
      </c>
    </row>
    <row r="119" spans="1:7" x14ac:dyDescent="0.25">
      <c r="A119" s="6">
        <v>114</v>
      </c>
      <c r="B119" s="6" t="s">
        <v>195</v>
      </c>
      <c r="C119" s="6" t="s">
        <v>196</v>
      </c>
      <c r="D119" s="6">
        <v>110552</v>
      </c>
      <c r="E119" s="6" t="s">
        <v>314</v>
      </c>
      <c r="F119" s="6" t="s">
        <v>314</v>
      </c>
    </row>
    <row r="120" spans="1:7" x14ac:dyDescent="0.25">
      <c r="A120" s="6">
        <v>115</v>
      </c>
      <c r="B120" s="6" t="s">
        <v>197</v>
      </c>
      <c r="C120" s="6" t="s">
        <v>198</v>
      </c>
      <c r="D120" s="6">
        <v>110578</v>
      </c>
      <c r="E120" s="6" t="s">
        <v>314</v>
      </c>
      <c r="F120" s="6" t="s">
        <v>314</v>
      </c>
    </row>
    <row r="121" spans="1:7" x14ac:dyDescent="0.25">
      <c r="A121" s="6">
        <v>116</v>
      </c>
      <c r="B121" s="6" t="s">
        <v>199</v>
      </c>
      <c r="C121" s="6" t="s">
        <v>200</v>
      </c>
      <c r="D121" s="6">
        <v>110601</v>
      </c>
      <c r="E121" s="6" t="s">
        <v>314</v>
      </c>
      <c r="F121" s="6" t="s">
        <v>314</v>
      </c>
    </row>
    <row r="122" spans="1:7" x14ac:dyDescent="0.25">
      <c r="A122" s="6">
        <v>117</v>
      </c>
      <c r="B122" s="6" t="s">
        <v>201</v>
      </c>
      <c r="C122" s="6" t="s">
        <v>202</v>
      </c>
      <c r="D122" s="6">
        <v>110624</v>
      </c>
      <c r="E122" s="6" t="s">
        <v>314</v>
      </c>
      <c r="F122" s="6" t="s">
        <v>314</v>
      </c>
    </row>
    <row r="123" spans="1:7" x14ac:dyDescent="0.25">
      <c r="A123" s="6">
        <v>118</v>
      </c>
      <c r="B123" s="6" t="s">
        <v>203</v>
      </c>
      <c r="C123" s="6" t="s">
        <v>204</v>
      </c>
      <c r="D123" s="6">
        <v>110647</v>
      </c>
      <c r="E123" s="6" t="s">
        <v>314</v>
      </c>
      <c r="F123" s="6" t="s">
        <v>314</v>
      </c>
    </row>
    <row r="124" spans="1:7" x14ac:dyDescent="0.25">
      <c r="A124" s="6">
        <v>119</v>
      </c>
      <c r="B124" s="6" t="s">
        <v>205</v>
      </c>
      <c r="C124" s="6" t="s">
        <v>206</v>
      </c>
      <c r="D124" s="6">
        <v>110670</v>
      </c>
      <c r="E124" s="6" t="s">
        <v>314</v>
      </c>
      <c r="F124" s="6" t="s">
        <v>314</v>
      </c>
    </row>
    <row r="125" spans="1:7" x14ac:dyDescent="0.25">
      <c r="A125" s="6">
        <v>120</v>
      </c>
      <c r="B125" s="6" t="s">
        <v>207</v>
      </c>
      <c r="C125" s="6" t="s">
        <v>208</v>
      </c>
      <c r="D125" s="6">
        <v>110695</v>
      </c>
      <c r="E125" s="6" t="s">
        <v>314</v>
      </c>
      <c r="F125" s="6" t="s">
        <v>314</v>
      </c>
    </row>
    <row r="126" spans="1:7" x14ac:dyDescent="0.25">
      <c r="A126" s="6">
        <v>121</v>
      </c>
      <c r="B126" s="6" t="s">
        <v>100</v>
      </c>
      <c r="C126" s="6" t="s">
        <v>209</v>
      </c>
      <c r="D126" s="6">
        <v>110741</v>
      </c>
      <c r="E126" s="6" t="s">
        <v>314</v>
      </c>
      <c r="F126" s="6" t="s">
        <v>314</v>
      </c>
    </row>
    <row r="127" spans="1:7" x14ac:dyDescent="0.25">
      <c r="A127" s="6">
        <v>122</v>
      </c>
      <c r="B127" s="6" t="s">
        <v>323</v>
      </c>
      <c r="C127" s="6" t="s">
        <v>226</v>
      </c>
      <c r="D127" s="6">
        <v>150153</v>
      </c>
      <c r="E127" s="6" t="s">
        <v>314</v>
      </c>
      <c r="F127" s="6" t="s">
        <v>314</v>
      </c>
    </row>
    <row r="128" spans="1:7" x14ac:dyDescent="0.25">
      <c r="A128" s="6">
        <v>123</v>
      </c>
      <c r="B128" s="6" t="s">
        <v>324</v>
      </c>
      <c r="C128" s="6" t="s">
        <v>226</v>
      </c>
      <c r="D128" s="6">
        <v>150270</v>
      </c>
      <c r="E128" s="6" t="s">
        <v>314</v>
      </c>
      <c r="F128" s="6" t="s">
        <v>314</v>
      </c>
      <c r="G128" s="6" t="s">
        <v>380</v>
      </c>
    </row>
    <row r="129" spans="1:7" x14ac:dyDescent="0.25">
      <c r="A129" s="6">
        <v>124</v>
      </c>
      <c r="B129" s="6" t="s">
        <v>325</v>
      </c>
      <c r="C129" s="6" t="s">
        <v>226</v>
      </c>
      <c r="D129" s="6">
        <v>150319</v>
      </c>
      <c r="E129" s="6" t="s">
        <v>314</v>
      </c>
      <c r="F129" s="6" t="s">
        <v>314</v>
      </c>
    </row>
    <row r="130" spans="1:7" x14ac:dyDescent="0.25">
      <c r="A130" s="6">
        <v>125</v>
      </c>
      <c r="B130" s="6" t="s">
        <v>326</v>
      </c>
      <c r="C130" s="6" t="s">
        <v>226</v>
      </c>
      <c r="D130" s="6">
        <v>150329</v>
      </c>
      <c r="E130" s="6" t="s">
        <v>314</v>
      </c>
      <c r="F130" s="6" t="s">
        <v>314</v>
      </c>
      <c r="G130" s="6" t="s">
        <v>380</v>
      </c>
    </row>
    <row r="131" spans="1:7" x14ac:dyDescent="0.25">
      <c r="A131" s="6">
        <v>126</v>
      </c>
      <c r="B131" s="6" t="s">
        <v>327</v>
      </c>
      <c r="C131" s="6" t="s">
        <v>226</v>
      </c>
      <c r="D131" s="6">
        <v>150418</v>
      </c>
      <c r="E131" s="6" t="s">
        <v>314</v>
      </c>
      <c r="F131" s="6" t="s">
        <v>314</v>
      </c>
    </row>
    <row r="132" spans="1:7" x14ac:dyDescent="0.25">
      <c r="A132" s="6">
        <v>127</v>
      </c>
      <c r="B132" s="6" t="s">
        <v>328</v>
      </c>
      <c r="C132" s="6" t="s">
        <v>226</v>
      </c>
      <c r="D132" s="6">
        <v>150427</v>
      </c>
      <c r="E132" s="6" t="s">
        <v>314</v>
      </c>
      <c r="F132" s="6" t="s">
        <v>314</v>
      </c>
    </row>
    <row r="133" spans="1:7" x14ac:dyDescent="0.25">
      <c r="A133" s="6">
        <v>128</v>
      </c>
      <c r="B133" s="6" t="s">
        <v>329</v>
      </c>
      <c r="C133" s="6" t="s">
        <v>226</v>
      </c>
      <c r="D133" s="6">
        <v>150457</v>
      </c>
      <c r="E133" s="6" t="s">
        <v>314</v>
      </c>
      <c r="F133" s="6" t="s">
        <v>314</v>
      </c>
    </row>
    <row r="134" spans="1:7" x14ac:dyDescent="0.25">
      <c r="A134" s="6">
        <v>129</v>
      </c>
      <c r="B134" s="6" t="s">
        <v>330</v>
      </c>
      <c r="C134" s="6" t="s">
        <v>226</v>
      </c>
      <c r="D134" s="6">
        <v>150466</v>
      </c>
      <c r="E134" s="6" t="s">
        <v>314</v>
      </c>
      <c r="F134" s="6" t="s">
        <v>314</v>
      </c>
    </row>
    <row r="135" spans="1:7" x14ac:dyDescent="0.25">
      <c r="A135" s="6">
        <v>130</v>
      </c>
      <c r="B135" s="6" t="s">
        <v>331</v>
      </c>
      <c r="C135" s="6" t="s">
        <v>226</v>
      </c>
      <c r="D135" s="6">
        <v>150522</v>
      </c>
      <c r="E135" s="6" t="s">
        <v>314</v>
      </c>
      <c r="F135" s="6" t="s">
        <v>314</v>
      </c>
    </row>
    <row r="136" spans="1:7" x14ac:dyDescent="0.25">
      <c r="A136" s="6">
        <v>131</v>
      </c>
      <c r="B136" s="6" t="s">
        <v>332</v>
      </c>
      <c r="C136" s="6" t="s">
        <v>226</v>
      </c>
      <c r="D136" s="6">
        <v>150584</v>
      </c>
      <c r="E136" s="6" t="s">
        <v>314</v>
      </c>
      <c r="F136" s="6" t="s">
        <v>314</v>
      </c>
    </row>
    <row r="137" spans="1:7" x14ac:dyDescent="0.25">
      <c r="A137" s="6">
        <v>132</v>
      </c>
      <c r="B137" s="6" t="s">
        <v>333</v>
      </c>
      <c r="C137" s="6" t="s">
        <v>226</v>
      </c>
      <c r="D137" s="6">
        <v>160607</v>
      </c>
      <c r="E137" s="6" t="s">
        <v>314</v>
      </c>
      <c r="F137" s="6" t="s">
        <v>314</v>
      </c>
    </row>
    <row r="138" spans="1:7" x14ac:dyDescent="0.25">
      <c r="A138" s="6">
        <v>133</v>
      </c>
      <c r="B138" s="6" t="s">
        <v>334</v>
      </c>
      <c r="C138" s="6" t="s">
        <v>226</v>
      </c>
      <c r="D138" s="6">
        <v>160616</v>
      </c>
      <c r="E138" s="6" t="s">
        <v>314</v>
      </c>
      <c r="F138" s="6" t="s">
        <v>314</v>
      </c>
    </row>
    <row r="139" spans="1:7" x14ac:dyDescent="0.25">
      <c r="A139" s="6">
        <v>134</v>
      </c>
      <c r="B139" s="6" t="s">
        <v>335</v>
      </c>
      <c r="C139" s="6" t="s">
        <v>226</v>
      </c>
      <c r="D139" s="6">
        <v>160002</v>
      </c>
      <c r="E139" s="6" t="s">
        <v>314</v>
      </c>
      <c r="F139" s="6" t="s">
        <v>314</v>
      </c>
    </row>
    <row r="140" spans="1:7" x14ac:dyDescent="0.25">
      <c r="A140" s="6">
        <v>135</v>
      </c>
      <c r="B140" s="6" t="s">
        <v>336</v>
      </c>
      <c r="C140" s="6" t="s">
        <v>226</v>
      </c>
      <c r="D140" s="6">
        <v>160083</v>
      </c>
      <c r="E140" s="6" t="s">
        <v>314</v>
      </c>
      <c r="F140" s="6" t="s">
        <v>314</v>
      </c>
    </row>
    <row r="141" spans="1:7" x14ac:dyDescent="0.25">
      <c r="A141" s="6">
        <v>136</v>
      </c>
      <c r="B141" s="6" t="s">
        <v>337</v>
      </c>
      <c r="C141" s="6" t="s">
        <v>226</v>
      </c>
      <c r="D141" s="6">
        <v>160152</v>
      </c>
      <c r="E141" s="6" t="s">
        <v>314</v>
      </c>
      <c r="F141" s="6" t="s">
        <v>314</v>
      </c>
    </row>
    <row r="142" spans="1:7" x14ac:dyDescent="0.25">
      <c r="A142" s="6">
        <v>137</v>
      </c>
      <c r="B142" s="6" t="s">
        <v>338</v>
      </c>
      <c r="C142" s="6" t="s">
        <v>226</v>
      </c>
      <c r="D142" s="6">
        <v>160161</v>
      </c>
      <c r="E142" s="6" t="s">
        <v>314</v>
      </c>
      <c r="F142" s="6" t="s">
        <v>314</v>
      </c>
    </row>
    <row r="143" spans="1:7" x14ac:dyDescent="0.25">
      <c r="A143" s="6">
        <v>266</v>
      </c>
      <c r="B143" s="6" t="s">
        <v>339</v>
      </c>
      <c r="C143" s="6" t="s">
        <v>226</v>
      </c>
      <c r="D143" s="6">
        <v>150202</v>
      </c>
      <c r="E143" s="6" t="s">
        <v>314</v>
      </c>
      <c r="F143" s="6" t="s">
        <v>314</v>
      </c>
    </row>
    <row r="144" spans="1:7" x14ac:dyDescent="0.25">
      <c r="A144" s="6">
        <v>267</v>
      </c>
      <c r="B144" s="6" t="s">
        <v>340</v>
      </c>
      <c r="C144" s="6" t="s">
        <v>226</v>
      </c>
      <c r="D144" s="6">
        <v>150338</v>
      </c>
      <c r="E144" s="6" t="s">
        <v>314</v>
      </c>
      <c r="F144" s="6" t="s">
        <v>314</v>
      </c>
    </row>
    <row r="145" spans="1:6" x14ac:dyDescent="0.25">
      <c r="A145" s="6">
        <v>268</v>
      </c>
      <c r="B145" s="6" t="s">
        <v>341</v>
      </c>
      <c r="C145" s="6" t="s">
        <v>226</v>
      </c>
      <c r="D145" s="6">
        <v>150391</v>
      </c>
      <c r="E145" s="6" t="s">
        <v>314</v>
      </c>
      <c r="F145" s="6" t="s">
        <v>314</v>
      </c>
    </row>
    <row r="146" spans="1:6" x14ac:dyDescent="0.25">
      <c r="A146" s="6">
        <v>269</v>
      </c>
      <c r="B146" s="6" t="s">
        <v>342</v>
      </c>
      <c r="C146" s="6" t="s">
        <v>226</v>
      </c>
      <c r="D146" s="6">
        <v>150400</v>
      </c>
      <c r="E146" s="6" t="s">
        <v>314</v>
      </c>
      <c r="F146" s="6" t="s">
        <v>314</v>
      </c>
    </row>
    <row r="147" spans="1:6" x14ac:dyDescent="0.25">
      <c r="A147" s="6">
        <v>270</v>
      </c>
      <c r="B147" s="6" t="s">
        <v>343</v>
      </c>
      <c r="C147" s="6" t="s">
        <v>226</v>
      </c>
      <c r="D147" s="6">
        <v>150485</v>
      </c>
      <c r="E147" s="6" t="s">
        <v>314</v>
      </c>
      <c r="F147" s="6" t="s">
        <v>314</v>
      </c>
    </row>
    <row r="148" spans="1:6" x14ac:dyDescent="0.25">
      <c r="A148" s="6">
        <v>271</v>
      </c>
      <c r="B148" s="6" t="s">
        <v>344</v>
      </c>
      <c r="C148" s="6" t="s">
        <v>226</v>
      </c>
      <c r="D148" s="6">
        <v>150495</v>
      </c>
      <c r="E148" s="6" t="s">
        <v>314</v>
      </c>
      <c r="F148" s="6" t="s">
        <v>314</v>
      </c>
    </row>
    <row r="149" spans="1:6" x14ac:dyDescent="0.25">
      <c r="A149" s="6">
        <v>272</v>
      </c>
      <c r="B149" s="6" t="s">
        <v>345</v>
      </c>
      <c r="C149" s="6" t="s">
        <v>226</v>
      </c>
      <c r="D149" s="6">
        <v>150513</v>
      </c>
      <c r="E149" s="6" t="s">
        <v>314</v>
      </c>
      <c r="F149" s="6" t="s">
        <v>314</v>
      </c>
    </row>
    <row r="150" spans="1:6" x14ac:dyDescent="0.25">
      <c r="A150" s="6">
        <v>273</v>
      </c>
      <c r="B150" s="6" t="s">
        <v>346</v>
      </c>
      <c r="C150" s="6" t="s">
        <v>226</v>
      </c>
      <c r="D150" s="6">
        <v>150540</v>
      </c>
      <c r="E150" s="6" t="s">
        <v>314</v>
      </c>
      <c r="F150" s="6" t="s">
        <v>314</v>
      </c>
    </row>
    <row r="151" spans="1:6" x14ac:dyDescent="0.25">
      <c r="A151" s="6">
        <v>274</v>
      </c>
      <c r="B151" s="6" t="s">
        <v>347</v>
      </c>
      <c r="C151" s="6" t="s">
        <v>226</v>
      </c>
      <c r="D151" s="6">
        <v>150560</v>
      </c>
      <c r="E151" s="6" t="s">
        <v>314</v>
      </c>
      <c r="F151" s="6" t="s">
        <v>314</v>
      </c>
    </row>
    <row r="152" spans="1:6" x14ac:dyDescent="0.25">
      <c r="A152" s="6">
        <v>275</v>
      </c>
      <c r="B152" s="6" t="s">
        <v>348</v>
      </c>
      <c r="C152" s="6" t="s">
        <v>226</v>
      </c>
      <c r="D152" s="6">
        <v>150626</v>
      </c>
      <c r="E152" s="6" t="s">
        <v>314</v>
      </c>
      <c r="F152" s="6" t="s">
        <v>314</v>
      </c>
    </row>
    <row r="153" spans="1:6" x14ac:dyDescent="0.25">
      <c r="A153" s="6">
        <v>276</v>
      </c>
      <c r="B153" s="6" t="s">
        <v>349</v>
      </c>
      <c r="C153" s="6" t="s">
        <v>226</v>
      </c>
      <c r="D153" s="6">
        <v>150645</v>
      </c>
      <c r="E153" s="6" t="s">
        <v>314</v>
      </c>
      <c r="F153" s="6" t="s">
        <v>314</v>
      </c>
    </row>
    <row r="154" spans="1:6" x14ac:dyDescent="0.25">
      <c r="A154" s="6">
        <v>277</v>
      </c>
      <c r="B154" s="6" t="s">
        <v>350</v>
      </c>
      <c r="C154" s="6" t="s">
        <v>226</v>
      </c>
      <c r="D154" s="6">
        <v>150654</v>
      </c>
      <c r="E154" s="6" t="s">
        <v>314</v>
      </c>
      <c r="F154" s="6" t="s">
        <v>314</v>
      </c>
    </row>
    <row r="155" spans="1:6" x14ac:dyDescent="0.25">
      <c r="A155" s="6">
        <v>278</v>
      </c>
      <c r="B155" s="6" t="s">
        <v>351</v>
      </c>
      <c r="C155" s="6" t="s">
        <v>226</v>
      </c>
      <c r="D155" s="6">
        <v>160026</v>
      </c>
      <c r="E155" s="6" t="s">
        <v>314</v>
      </c>
      <c r="F155" s="6" t="s">
        <v>314</v>
      </c>
    </row>
    <row r="156" spans="1:6" x14ac:dyDescent="0.25">
      <c r="A156" s="6">
        <v>279</v>
      </c>
      <c r="B156" s="6" t="s">
        <v>352</v>
      </c>
      <c r="C156" s="6" t="s">
        <v>226</v>
      </c>
      <c r="D156" s="6">
        <v>160215</v>
      </c>
      <c r="E156" s="6" t="s">
        <v>314</v>
      </c>
      <c r="F156" s="6" t="s">
        <v>314</v>
      </c>
    </row>
    <row r="157" spans="1:6" x14ac:dyDescent="0.25">
      <c r="A157" s="6">
        <v>280</v>
      </c>
      <c r="B157" s="6" t="s">
        <v>353</v>
      </c>
      <c r="C157" s="6" t="s">
        <v>226</v>
      </c>
      <c r="D157" s="6">
        <v>160224</v>
      </c>
      <c r="E157" s="6" t="s">
        <v>314</v>
      </c>
      <c r="F157" s="6" t="s">
        <v>314</v>
      </c>
    </row>
    <row r="158" spans="1:6" x14ac:dyDescent="0.25">
      <c r="A158" s="6">
        <v>281</v>
      </c>
      <c r="B158" s="6" t="s">
        <v>354</v>
      </c>
      <c r="C158" s="6" t="s">
        <v>226</v>
      </c>
      <c r="D158" s="6">
        <v>160268</v>
      </c>
      <c r="E158" s="6" t="s">
        <v>314</v>
      </c>
      <c r="F158" s="6" t="s">
        <v>314</v>
      </c>
    </row>
    <row r="159" spans="1:6" x14ac:dyDescent="0.25">
      <c r="A159" s="6">
        <v>138</v>
      </c>
      <c r="B159" s="6" t="s">
        <v>231</v>
      </c>
      <c r="C159" s="6" t="s">
        <v>232</v>
      </c>
      <c r="D159" s="6">
        <v>170058</v>
      </c>
      <c r="E159" s="6" t="s">
        <v>314</v>
      </c>
      <c r="F159" s="6" t="s">
        <v>314</v>
      </c>
    </row>
    <row r="160" spans="1:6" x14ac:dyDescent="0.25">
      <c r="A160" s="6">
        <v>139</v>
      </c>
      <c r="B160" s="6" t="s">
        <v>231</v>
      </c>
      <c r="C160" s="6" t="s">
        <v>232</v>
      </c>
      <c r="D160" s="6">
        <v>170171</v>
      </c>
      <c r="E160" s="6" t="s">
        <v>314</v>
      </c>
      <c r="F160" s="6" t="s">
        <v>314</v>
      </c>
    </row>
    <row r="161" spans="1:6" x14ac:dyDescent="0.25">
      <c r="A161" s="6">
        <v>140</v>
      </c>
      <c r="B161" s="6" t="s">
        <v>234</v>
      </c>
      <c r="C161" s="6" t="s">
        <v>232</v>
      </c>
      <c r="D161" s="6">
        <v>170124</v>
      </c>
      <c r="E161" s="6" t="s">
        <v>314</v>
      </c>
      <c r="F161" s="6" t="s">
        <v>314</v>
      </c>
    </row>
    <row r="162" spans="1:6" x14ac:dyDescent="0.25">
      <c r="A162" s="6">
        <v>141</v>
      </c>
      <c r="B162" s="6" t="s">
        <v>234</v>
      </c>
      <c r="C162" s="6" t="s">
        <v>232</v>
      </c>
      <c r="D162" s="6">
        <v>170241</v>
      </c>
      <c r="E162" s="6" t="s">
        <v>314</v>
      </c>
      <c r="F162" s="6" t="s">
        <v>314</v>
      </c>
    </row>
    <row r="163" spans="1:6" x14ac:dyDescent="0.25">
      <c r="A163" s="6">
        <v>142</v>
      </c>
      <c r="B163" s="6" t="s">
        <v>235</v>
      </c>
      <c r="C163" s="6" t="s">
        <v>232</v>
      </c>
      <c r="D163" s="6">
        <v>170134</v>
      </c>
      <c r="E163" s="6" t="s">
        <v>314</v>
      </c>
      <c r="F163" s="6" t="s">
        <v>314</v>
      </c>
    </row>
    <row r="164" spans="1:6" x14ac:dyDescent="0.25">
      <c r="A164" s="6">
        <v>143</v>
      </c>
      <c r="B164" s="6" t="s">
        <v>235</v>
      </c>
      <c r="C164" s="6" t="s">
        <v>232</v>
      </c>
      <c r="D164" s="6">
        <v>170221</v>
      </c>
      <c r="E164" s="6" t="s">
        <v>314</v>
      </c>
      <c r="F164" s="6" t="s">
        <v>314</v>
      </c>
    </row>
    <row r="165" spans="1:6" x14ac:dyDescent="0.25">
      <c r="A165" s="6">
        <v>144</v>
      </c>
      <c r="B165" s="6" t="s">
        <v>236</v>
      </c>
      <c r="C165" s="6" t="s">
        <v>232</v>
      </c>
      <c r="D165" s="6">
        <v>170191</v>
      </c>
      <c r="E165" s="6" t="s">
        <v>314</v>
      </c>
      <c r="F165" s="6" t="s">
        <v>314</v>
      </c>
    </row>
    <row r="166" spans="1:6" x14ac:dyDescent="0.25">
      <c r="A166" s="6">
        <v>145</v>
      </c>
      <c r="B166" s="6" t="s">
        <v>236</v>
      </c>
      <c r="C166" s="6" t="s">
        <v>232</v>
      </c>
      <c r="D166" s="6">
        <v>170259</v>
      </c>
      <c r="E166" s="6" t="s">
        <v>314</v>
      </c>
      <c r="F166" s="6" t="s">
        <v>314</v>
      </c>
    </row>
    <row r="167" spans="1:6" x14ac:dyDescent="0.25">
      <c r="A167" s="6">
        <v>146</v>
      </c>
      <c r="B167" s="6" t="s">
        <v>237</v>
      </c>
      <c r="C167" s="6" t="s">
        <v>232</v>
      </c>
      <c r="D167" s="6">
        <v>170211</v>
      </c>
      <c r="E167" s="6" t="s">
        <v>314</v>
      </c>
      <c r="F167" s="6" t="s">
        <v>314</v>
      </c>
    </row>
    <row r="168" spans="1:6" x14ac:dyDescent="0.25">
      <c r="A168" s="6">
        <v>147</v>
      </c>
      <c r="B168" s="6" t="s">
        <v>237</v>
      </c>
      <c r="C168" s="6" t="s">
        <v>232</v>
      </c>
      <c r="D168" s="6">
        <v>170328</v>
      </c>
      <c r="E168" s="6" t="s">
        <v>314</v>
      </c>
      <c r="F168" s="6" t="s">
        <v>314</v>
      </c>
    </row>
    <row r="169" spans="1:6" x14ac:dyDescent="0.25">
      <c r="A169" s="6">
        <v>148</v>
      </c>
      <c r="B169" s="6" t="s">
        <v>238</v>
      </c>
      <c r="C169" s="6" t="s">
        <v>232</v>
      </c>
      <c r="D169" s="6">
        <v>170277</v>
      </c>
      <c r="E169" s="6" t="s">
        <v>314</v>
      </c>
      <c r="F169" s="6" t="s">
        <v>314</v>
      </c>
    </row>
    <row r="170" spans="1:6" x14ac:dyDescent="0.25">
      <c r="A170" s="6">
        <v>149</v>
      </c>
      <c r="B170" s="6" t="s">
        <v>238</v>
      </c>
      <c r="C170" s="6" t="s">
        <v>232</v>
      </c>
      <c r="D170" s="6">
        <v>170422</v>
      </c>
      <c r="E170" s="6" t="s">
        <v>314</v>
      </c>
      <c r="F170" s="6" t="s">
        <v>314</v>
      </c>
    </row>
    <row r="171" spans="1:6" x14ac:dyDescent="0.25">
      <c r="A171" s="6">
        <v>150</v>
      </c>
      <c r="B171" s="6" t="s">
        <v>239</v>
      </c>
      <c r="C171" s="6" t="s">
        <v>232</v>
      </c>
      <c r="D171" s="6">
        <v>170287</v>
      </c>
      <c r="E171" s="6" t="s">
        <v>314</v>
      </c>
      <c r="F171" s="6" t="s">
        <v>314</v>
      </c>
    </row>
    <row r="172" spans="1:6" x14ac:dyDescent="0.25">
      <c r="A172" s="6">
        <v>151</v>
      </c>
      <c r="B172" s="6" t="s">
        <v>239</v>
      </c>
      <c r="C172" s="6" t="s">
        <v>232</v>
      </c>
      <c r="D172" s="6">
        <v>180044</v>
      </c>
      <c r="E172" s="6" t="s">
        <v>314</v>
      </c>
      <c r="F172" s="6" t="s">
        <v>314</v>
      </c>
    </row>
    <row r="173" spans="1:6" x14ac:dyDescent="0.25">
      <c r="A173" s="6">
        <v>152</v>
      </c>
      <c r="B173" s="6" t="s">
        <v>240</v>
      </c>
      <c r="C173" s="6" t="s">
        <v>232</v>
      </c>
      <c r="D173" s="6">
        <v>170308</v>
      </c>
      <c r="E173" s="6" t="s">
        <v>314</v>
      </c>
      <c r="F173" s="6" t="s">
        <v>314</v>
      </c>
    </row>
    <row r="174" spans="1:6" x14ac:dyDescent="0.25">
      <c r="A174" s="6">
        <v>153</v>
      </c>
      <c r="B174" s="6" t="s">
        <v>240</v>
      </c>
      <c r="C174" s="6" t="s">
        <v>232</v>
      </c>
      <c r="D174" s="6">
        <v>170432</v>
      </c>
      <c r="E174" s="6" t="s">
        <v>314</v>
      </c>
      <c r="F174" s="6" t="s">
        <v>314</v>
      </c>
    </row>
    <row r="175" spans="1:6" x14ac:dyDescent="0.25">
      <c r="A175" s="6">
        <v>154</v>
      </c>
      <c r="B175" s="6" t="s">
        <v>241</v>
      </c>
      <c r="C175" s="6" t="s">
        <v>232</v>
      </c>
      <c r="D175" s="6">
        <v>170318</v>
      </c>
      <c r="E175" s="6" t="s">
        <v>314</v>
      </c>
      <c r="F175" s="6" t="s">
        <v>314</v>
      </c>
    </row>
    <row r="176" spans="1:6" x14ac:dyDescent="0.25">
      <c r="A176" s="6">
        <v>155</v>
      </c>
      <c r="B176" s="6" t="s">
        <v>241</v>
      </c>
      <c r="C176" s="6" t="s">
        <v>232</v>
      </c>
      <c r="D176" s="6">
        <v>180002</v>
      </c>
      <c r="E176" s="6" t="s">
        <v>314</v>
      </c>
      <c r="F176" s="6" t="s">
        <v>314</v>
      </c>
    </row>
    <row r="177" spans="1:6" x14ac:dyDescent="0.25">
      <c r="A177" s="6">
        <v>156</v>
      </c>
      <c r="B177" s="6" t="s">
        <v>242</v>
      </c>
      <c r="C177" s="6" t="s">
        <v>232</v>
      </c>
      <c r="D177" s="6">
        <v>170412</v>
      </c>
      <c r="E177" s="6" t="s">
        <v>314</v>
      </c>
      <c r="F177" s="6" t="s">
        <v>314</v>
      </c>
    </row>
    <row r="178" spans="1:6" x14ac:dyDescent="0.25">
      <c r="A178" s="6">
        <v>157</v>
      </c>
      <c r="B178" s="6" t="s">
        <v>242</v>
      </c>
      <c r="C178" s="6" t="s">
        <v>232</v>
      </c>
      <c r="D178" s="6">
        <v>180090</v>
      </c>
      <c r="E178" s="6" t="s">
        <v>314</v>
      </c>
      <c r="F178" s="6" t="s">
        <v>314</v>
      </c>
    </row>
    <row r="179" spans="1:6" x14ac:dyDescent="0.25">
      <c r="A179" s="6">
        <v>158</v>
      </c>
      <c r="B179" s="6" t="s">
        <v>243</v>
      </c>
      <c r="C179" s="6" t="s">
        <v>232</v>
      </c>
      <c r="D179" s="6">
        <v>180172</v>
      </c>
      <c r="E179" s="6" t="s">
        <v>314</v>
      </c>
      <c r="F179" s="6" t="s">
        <v>314</v>
      </c>
    </row>
    <row r="180" spans="1:6" x14ac:dyDescent="0.25">
      <c r="A180" s="6">
        <v>159</v>
      </c>
      <c r="B180" s="6" t="s">
        <v>243</v>
      </c>
      <c r="C180" s="6" t="s">
        <v>232</v>
      </c>
      <c r="D180" s="6">
        <v>180352</v>
      </c>
      <c r="E180" s="6" t="s">
        <v>314</v>
      </c>
      <c r="F180" s="6" t="s">
        <v>314</v>
      </c>
    </row>
    <row r="181" spans="1:6" x14ac:dyDescent="0.25">
      <c r="A181" s="6">
        <v>160</v>
      </c>
      <c r="B181" s="6" t="s">
        <v>244</v>
      </c>
      <c r="C181" s="6" t="s">
        <v>232</v>
      </c>
      <c r="D181" s="6">
        <v>180253</v>
      </c>
      <c r="E181" s="6" t="s">
        <v>314</v>
      </c>
      <c r="F181" s="6" t="s">
        <v>314</v>
      </c>
    </row>
    <row r="182" spans="1:6" x14ac:dyDescent="0.25">
      <c r="A182" s="6">
        <v>161</v>
      </c>
      <c r="B182" s="6" t="s">
        <v>244</v>
      </c>
      <c r="C182" s="6" t="s">
        <v>232</v>
      </c>
      <c r="D182" s="6">
        <v>180463</v>
      </c>
      <c r="E182" s="6" t="s">
        <v>314</v>
      </c>
      <c r="F182" s="6" t="s">
        <v>314</v>
      </c>
    </row>
    <row r="183" spans="1:6" x14ac:dyDescent="0.25">
      <c r="A183" s="6">
        <v>162</v>
      </c>
      <c r="B183" s="6" t="s">
        <v>245</v>
      </c>
      <c r="C183" s="6" t="s">
        <v>232</v>
      </c>
      <c r="D183" s="6">
        <v>180295</v>
      </c>
      <c r="E183" s="6" t="s">
        <v>314</v>
      </c>
      <c r="F183" s="6" t="s">
        <v>314</v>
      </c>
    </row>
    <row r="184" spans="1:6" x14ac:dyDescent="0.25">
      <c r="A184" s="6">
        <v>163</v>
      </c>
      <c r="B184" s="6" t="s">
        <v>245</v>
      </c>
      <c r="C184" s="6" t="s">
        <v>232</v>
      </c>
      <c r="D184" s="6">
        <v>180504</v>
      </c>
      <c r="E184" s="6" t="s">
        <v>314</v>
      </c>
      <c r="F184" s="6" t="s">
        <v>314</v>
      </c>
    </row>
    <row r="185" spans="1:6" x14ac:dyDescent="0.25">
      <c r="A185" s="6">
        <v>164</v>
      </c>
      <c r="B185" s="6" t="s">
        <v>246</v>
      </c>
      <c r="C185" s="6" t="s">
        <v>232</v>
      </c>
      <c r="D185" s="6">
        <v>180419</v>
      </c>
      <c r="E185" s="6" t="s">
        <v>314</v>
      </c>
      <c r="F185" s="6" t="s">
        <v>314</v>
      </c>
    </row>
    <row r="186" spans="1:6" x14ac:dyDescent="0.25">
      <c r="A186" s="6">
        <v>165</v>
      </c>
      <c r="B186" s="6" t="s">
        <v>246</v>
      </c>
      <c r="C186" s="6" t="s">
        <v>232</v>
      </c>
      <c r="D186" s="6">
        <v>180598</v>
      </c>
      <c r="E186" s="6" t="s">
        <v>314</v>
      </c>
      <c r="F186" s="6" t="s">
        <v>314</v>
      </c>
    </row>
    <row r="187" spans="1:6" x14ac:dyDescent="0.25">
      <c r="A187" s="6">
        <v>166</v>
      </c>
      <c r="B187" s="6" t="s">
        <v>247</v>
      </c>
      <c r="C187" s="6" t="s">
        <v>232</v>
      </c>
      <c r="D187" s="6">
        <v>180431</v>
      </c>
      <c r="E187" s="6" t="s">
        <v>314</v>
      </c>
      <c r="F187" s="6" t="s">
        <v>314</v>
      </c>
    </row>
    <row r="188" spans="1:6" x14ac:dyDescent="0.25">
      <c r="A188" s="6">
        <v>167</v>
      </c>
      <c r="B188" s="6" t="s">
        <v>247</v>
      </c>
      <c r="C188" s="6" t="s">
        <v>232</v>
      </c>
      <c r="D188" s="6">
        <v>180627</v>
      </c>
      <c r="E188" s="6" t="s">
        <v>314</v>
      </c>
      <c r="F188" s="6" t="s">
        <v>314</v>
      </c>
    </row>
    <row r="189" spans="1:6" x14ac:dyDescent="0.25">
      <c r="A189" s="6">
        <v>168</v>
      </c>
      <c r="B189" s="6" t="s">
        <v>248</v>
      </c>
      <c r="C189" s="6" t="s">
        <v>232</v>
      </c>
      <c r="D189" s="6">
        <v>180684</v>
      </c>
      <c r="E189" s="6" t="s">
        <v>314</v>
      </c>
      <c r="F189" s="6" t="s">
        <v>314</v>
      </c>
    </row>
    <row r="190" spans="1:6" x14ac:dyDescent="0.25">
      <c r="A190" s="6">
        <v>169</v>
      </c>
      <c r="B190" s="6" t="s">
        <v>248</v>
      </c>
      <c r="C190" s="6" t="s">
        <v>232</v>
      </c>
      <c r="D190" s="6">
        <v>190060</v>
      </c>
      <c r="E190" s="6" t="s">
        <v>314</v>
      </c>
      <c r="F190" s="6" t="s">
        <v>314</v>
      </c>
    </row>
    <row r="191" spans="1:6" x14ac:dyDescent="0.25">
      <c r="A191" s="6">
        <v>170</v>
      </c>
      <c r="B191" s="6" t="s">
        <v>287</v>
      </c>
      <c r="C191" s="6" t="s">
        <v>233</v>
      </c>
      <c r="D191" s="6">
        <v>170200</v>
      </c>
      <c r="E191" s="6" t="s">
        <v>314</v>
      </c>
      <c r="F191" s="6" t="s">
        <v>314</v>
      </c>
    </row>
    <row r="192" spans="1:6" x14ac:dyDescent="0.25">
      <c r="A192" s="6">
        <v>171</v>
      </c>
      <c r="B192" s="6" t="s">
        <v>287</v>
      </c>
      <c r="C192" s="6" t="s">
        <v>233</v>
      </c>
      <c r="D192" s="6">
        <v>170230</v>
      </c>
      <c r="E192" s="6" t="s">
        <v>314</v>
      </c>
      <c r="F192" s="6" t="s">
        <v>314</v>
      </c>
    </row>
    <row r="193" spans="1:6" x14ac:dyDescent="0.25">
      <c r="A193" s="6">
        <v>172</v>
      </c>
      <c r="B193" s="6" t="s">
        <v>288</v>
      </c>
      <c r="C193" s="6" t="s">
        <v>233</v>
      </c>
      <c r="D193" s="6">
        <v>170252</v>
      </c>
      <c r="E193" s="6" t="s">
        <v>314</v>
      </c>
      <c r="F193" s="6" t="s">
        <v>314</v>
      </c>
    </row>
    <row r="194" spans="1:6" x14ac:dyDescent="0.25">
      <c r="A194" s="6">
        <v>173</v>
      </c>
      <c r="B194" s="6" t="s">
        <v>288</v>
      </c>
      <c r="C194" s="6" t="s">
        <v>233</v>
      </c>
      <c r="D194" s="6">
        <v>170266</v>
      </c>
      <c r="E194" s="6" t="s">
        <v>314</v>
      </c>
      <c r="F194" s="6" t="s">
        <v>314</v>
      </c>
    </row>
    <row r="195" spans="1:6" x14ac:dyDescent="0.25">
      <c r="A195" s="6">
        <v>174</v>
      </c>
      <c r="B195" s="6" t="s">
        <v>289</v>
      </c>
      <c r="C195" s="6" t="s">
        <v>233</v>
      </c>
      <c r="D195" s="6">
        <v>170297</v>
      </c>
      <c r="E195" s="6" t="s">
        <v>314</v>
      </c>
      <c r="F195" s="6" t="s">
        <v>314</v>
      </c>
    </row>
    <row r="196" spans="1:6" x14ac:dyDescent="0.25">
      <c r="A196" s="6">
        <v>175</v>
      </c>
      <c r="B196" s="6" t="s">
        <v>289</v>
      </c>
      <c r="C196" s="6" t="s">
        <v>233</v>
      </c>
      <c r="D196" s="6">
        <v>170348</v>
      </c>
      <c r="E196" s="6" t="s">
        <v>314</v>
      </c>
      <c r="F196" s="6" t="s">
        <v>314</v>
      </c>
    </row>
    <row r="197" spans="1:6" x14ac:dyDescent="0.25">
      <c r="A197" s="6">
        <v>176</v>
      </c>
      <c r="B197" s="6" t="s">
        <v>290</v>
      </c>
      <c r="C197" s="6" t="s">
        <v>233</v>
      </c>
      <c r="D197" s="6">
        <v>170337</v>
      </c>
      <c r="E197" s="6" t="s">
        <v>314</v>
      </c>
      <c r="F197" s="6" t="s">
        <v>314</v>
      </c>
    </row>
    <row r="198" spans="1:6" x14ac:dyDescent="0.25">
      <c r="A198" s="6">
        <v>177</v>
      </c>
      <c r="B198" s="6" t="s">
        <v>290</v>
      </c>
      <c r="C198" s="6" t="s">
        <v>233</v>
      </c>
      <c r="D198" s="6">
        <v>170374</v>
      </c>
      <c r="E198" s="6" t="s">
        <v>314</v>
      </c>
      <c r="F198" s="6" t="s">
        <v>314</v>
      </c>
    </row>
    <row r="199" spans="1:6" x14ac:dyDescent="0.25">
      <c r="A199" s="6">
        <v>178</v>
      </c>
      <c r="B199" s="6" t="s">
        <v>291</v>
      </c>
      <c r="C199" s="6" t="s">
        <v>233</v>
      </c>
      <c r="D199" s="6">
        <v>170385</v>
      </c>
      <c r="E199" s="6" t="s">
        <v>314</v>
      </c>
      <c r="F199" s="6" t="s">
        <v>314</v>
      </c>
    </row>
    <row r="200" spans="1:6" x14ac:dyDescent="0.25">
      <c r="A200" s="6">
        <v>179</v>
      </c>
      <c r="B200" s="6" t="s">
        <v>291</v>
      </c>
      <c r="C200" s="6" t="s">
        <v>233</v>
      </c>
      <c r="D200" s="6">
        <v>170398</v>
      </c>
      <c r="E200" s="6" t="s">
        <v>314</v>
      </c>
      <c r="F200" s="6" t="s">
        <v>314</v>
      </c>
    </row>
    <row r="201" spans="1:6" x14ac:dyDescent="0.25">
      <c r="A201" s="6">
        <v>180</v>
      </c>
      <c r="B201" s="6" t="s">
        <v>292</v>
      </c>
      <c r="C201" s="6" t="s">
        <v>233</v>
      </c>
      <c r="D201" s="6">
        <v>180022</v>
      </c>
      <c r="E201" s="6" t="s">
        <v>314</v>
      </c>
      <c r="F201" s="6" t="s">
        <v>314</v>
      </c>
    </row>
    <row r="202" spans="1:6" x14ac:dyDescent="0.25">
      <c r="A202" s="6">
        <v>181</v>
      </c>
      <c r="B202" s="6" t="s">
        <v>292</v>
      </c>
      <c r="C202" s="6" t="s">
        <v>233</v>
      </c>
      <c r="D202" s="6">
        <v>180033</v>
      </c>
      <c r="E202" s="6" t="s">
        <v>314</v>
      </c>
      <c r="F202" s="6" t="s">
        <v>314</v>
      </c>
    </row>
    <row r="203" spans="1:6" x14ac:dyDescent="0.25">
      <c r="A203" s="6">
        <v>182</v>
      </c>
      <c r="B203" s="6" t="s">
        <v>293</v>
      </c>
      <c r="C203" s="6" t="s">
        <v>233</v>
      </c>
      <c r="D203" s="6">
        <v>180054</v>
      </c>
      <c r="E203" s="6" t="s">
        <v>314</v>
      </c>
      <c r="F203" s="6" t="s">
        <v>314</v>
      </c>
    </row>
    <row r="204" spans="1:6" x14ac:dyDescent="0.25">
      <c r="A204" s="6">
        <v>183</v>
      </c>
      <c r="B204" s="6" t="s">
        <v>293</v>
      </c>
      <c r="C204" s="6" t="s">
        <v>233</v>
      </c>
      <c r="D204" s="6">
        <v>180067</v>
      </c>
      <c r="E204" s="6" t="s">
        <v>314</v>
      </c>
      <c r="F204" s="6" t="s">
        <v>314</v>
      </c>
    </row>
    <row r="205" spans="1:6" x14ac:dyDescent="0.25">
      <c r="A205" s="6">
        <v>184</v>
      </c>
      <c r="B205" s="6" t="s">
        <v>294</v>
      </c>
      <c r="C205" s="6" t="s">
        <v>233</v>
      </c>
      <c r="D205" s="6">
        <v>180078</v>
      </c>
      <c r="E205" s="6" t="s">
        <v>314</v>
      </c>
      <c r="F205" s="6" t="s">
        <v>314</v>
      </c>
    </row>
    <row r="206" spans="1:6" x14ac:dyDescent="0.25">
      <c r="A206" s="6">
        <v>185</v>
      </c>
      <c r="B206" s="6" t="s">
        <v>294</v>
      </c>
      <c r="C206" s="6" t="s">
        <v>233</v>
      </c>
      <c r="D206" s="6">
        <v>180099</v>
      </c>
      <c r="E206" s="6" t="s">
        <v>314</v>
      </c>
      <c r="F206" s="6" t="s">
        <v>314</v>
      </c>
    </row>
    <row r="207" spans="1:6" x14ac:dyDescent="0.25">
      <c r="A207" s="6">
        <v>186</v>
      </c>
      <c r="B207" s="6" t="s">
        <v>295</v>
      </c>
      <c r="C207" s="6" t="s">
        <v>233</v>
      </c>
      <c r="D207" s="6">
        <v>180109</v>
      </c>
      <c r="E207" s="6" t="s">
        <v>314</v>
      </c>
      <c r="F207" s="6" t="s">
        <v>314</v>
      </c>
    </row>
    <row r="208" spans="1:6" x14ac:dyDescent="0.25">
      <c r="A208" s="6">
        <v>187</v>
      </c>
      <c r="B208" s="6" t="s">
        <v>295</v>
      </c>
      <c r="C208" s="6" t="s">
        <v>233</v>
      </c>
      <c r="D208" s="6">
        <v>180141</v>
      </c>
      <c r="E208" s="6" t="s">
        <v>314</v>
      </c>
      <c r="F208" s="6" t="s">
        <v>314</v>
      </c>
    </row>
    <row r="209" spans="1:6" x14ac:dyDescent="0.25">
      <c r="A209" s="6">
        <v>188</v>
      </c>
      <c r="B209" s="6" t="s">
        <v>296</v>
      </c>
      <c r="C209" s="6" t="s">
        <v>233</v>
      </c>
      <c r="D209" s="6">
        <v>180190</v>
      </c>
      <c r="E209" s="6" t="s">
        <v>314</v>
      </c>
      <c r="F209" s="6" t="s">
        <v>314</v>
      </c>
    </row>
    <row r="210" spans="1:6" x14ac:dyDescent="0.25">
      <c r="A210" s="6">
        <v>189</v>
      </c>
      <c r="B210" s="6" t="s">
        <v>296</v>
      </c>
      <c r="C210" s="6" t="s">
        <v>233</v>
      </c>
      <c r="D210" s="6">
        <v>180222</v>
      </c>
      <c r="E210" s="6" t="s">
        <v>314</v>
      </c>
      <c r="F210" s="6" t="s">
        <v>314</v>
      </c>
    </row>
    <row r="211" spans="1:6" x14ac:dyDescent="0.25">
      <c r="A211" s="6">
        <v>190</v>
      </c>
      <c r="B211" s="6" t="s">
        <v>297</v>
      </c>
      <c r="C211" s="6" t="s">
        <v>233</v>
      </c>
      <c r="D211" s="6">
        <v>180281</v>
      </c>
      <c r="E211" s="6" t="s">
        <v>314</v>
      </c>
      <c r="F211" s="6" t="s">
        <v>314</v>
      </c>
    </row>
    <row r="212" spans="1:6" x14ac:dyDescent="0.25">
      <c r="A212" s="6">
        <v>191</v>
      </c>
      <c r="B212" s="6" t="s">
        <v>297</v>
      </c>
      <c r="C212" s="6" t="s">
        <v>233</v>
      </c>
      <c r="D212" s="6">
        <v>180341</v>
      </c>
      <c r="E212" s="6" t="s">
        <v>314</v>
      </c>
      <c r="F212" s="6" t="s">
        <v>314</v>
      </c>
    </row>
    <row r="213" spans="1:6" x14ac:dyDescent="0.25">
      <c r="A213" s="6">
        <v>192</v>
      </c>
      <c r="B213" s="6" t="s">
        <v>298</v>
      </c>
      <c r="C213" s="6" t="s">
        <v>233</v>
      </c>
      <c r="D213" s="6">
        <v>180407</v>
      </c>
      <c r="E213" s="6" t="s">
        <v>314</v>
      </c>
      <c r="F213" s="6" t="s">
        <v>314</v>
      </c>
    </row>
    <row r="214" spans="1:6" x14ac:dyDescent="0.25">
      <c r="A214" s="6">
        <v>193</v>
      </c>
      <c r="B214" s="6" t="s">
        <v>298</v>
      </c>
      <c r="C214" s="6" t="s">
        <v>233</v>
      </c>
      <c r="D214" s="6">
        <v>180441</v>
      </c>
      <c r="E214" s="6" t="s">
        <v>314</v>
      </c>
      <c r="F214" s="6" t="s">
        <v>314</v>
      </c>
    </row>
    <row r="215" spans="1:6" x14ac:dyDescent="0.25">
      <c r="A215" s="6">
        <v>194</v>
      </c>
      <c r="B215" s="6" t="s">
        <v>299</v>
      </c>
      <c r="C215" s="6" t="s">
        <v>233</v>
      </c>
      <c r="D215" s="6">
        <v>190072</v>
      </c>
      <c r="E215" s="6" t="s">
        <v>314</v>
      </c>
      <c r="F215" s="6" t="s">
        <v>314</v>
      </c>
    </row>
    <row r="216" spans="1:6" x14ac:dyDescent="0.25">
      <c r="A216" s="6">
        <v>195</v>
      </c>
      <c r="B216" s="6" t="s">
        <v>299</v>
      </c>
      <c r="C216" s="6" t="s">
        <v>233</v>
      </c>
      <c r="D216" s="6">
        <v>190083</v>
      </c>
      <c r="E216" s="6" t="s">
        <v>314</v>
      </c>
      <c r="F216" s="6" t="s">
        <v>314</v>
      </c>
    </row>
    <row r="217" spans="1:6" x14ac:dyDescent="0.25">
      <c r="A217" s="6">
        <v>196</v>
      </c>
      <c r="B217" s="6" t="s">
        <v>300</v>
      </c>
      <c r="C217" s="6" t="s">
        <v>233</v>
      </c>
      <c r="D217" s="6">
        <v>190096</v>
      </c>
      <c r="E217" s="6" t="s">
        <v>314</v>
      </c>
      <c r="F217" s="6" t="s">
        <v>314</v>
      </c>
    </row>
    <row r="218" spans="1:6" x14ac:dyDescent="0.25">
      <c r="A218" s="6">
        <v>197</v>
      </c>
      <c r="B218" s="6" t="s">
        <v>300</v>
      </c>
      <c r="C218" s="6" t="s">
        <v>233</v>
      </c>
      <c r="D218" s="6">
        <v>190128</v>
      </c>
      <c r="E218" s="6" t="s">
        <v>314</v>
      </c>
      <c r="F218" s="6" t="s">
        <v>314</v>
      </c>
    </row>
    <row r="219" spans="1:6" x14ac:dyDescent="0.25">
      <c r="A219" s="6">
        <v>198</v>
      </c>
      <c r="B219" s="6" t="s">
        <v>301</v>
      </c>
      <c r="C219" s="6" t="s">
        <v>233</v>
      </c>
      <c r="D219" s="6">
        <v>190106</v>
      </c>
      <c r="E219" s="6" t="s">
        <v>314</v>
      </c>
      <c r="F219" s="6" t="s">
        <v>314</v>
      </c>
    </row>
    <row r="220" spans="1:6" x14ac:dyDescent="0.25">
      <c r="A220" s="6">
        <v>199</v>
      </c>
      <c r="B220" s="6" t="s">
        <v>301</v>
      </c>
      <c r="C220" s="6" t="s">
        <v>233</v>
      </c>
      <c r="D220" s="6">
        <v>190138</v>
      </c>
      <c r="E220" s="6" t="s">
        <v>314</v>
      </c>
      <c r="F220" s="6" t="s">
        <v>314</v>
      </c>
    </row>
    <row r="221" spans="1:6" x14ac:dyDescent="0.25">
      <c r="A221" s="6">
        <v>200</v>
      </c>
      <c r="B221" s="6" t="s">
        <v>302</v>
      </c>
      <c r="C221" s="6" t="s">
        <v>233</v>
      </c>
      <c r="D221" s="6">
        <v>190118</v>
      </c>
      <c r="E221" s="6" t="s">
        <v>314</v>
      </c>
      <c r="F221" s="6" t="s">
        <v>314</v>
      </c>
    </row>
    <row r="222" spans="1:6" x14ac:dyDescent="0.25">
      <c r="A222" s="6">
        <v>201</v>
      </c>
      <c r="B222" s="6" t="s">
        <v>302</v>
      </c>
      <c r="C222" s="6" t="s">
        <v>233</v>
      </c>
      <c r="D222" s="6">
        <v>190148</v>
      </c>
      <c r="E222" s="6" t="s">
        <v>314</v>
      </c>
      <c r="F222" s="6" t="s">
        <v>314</v>
      </c>
    </row>
    <row r="223" spans="1:6" x14ac:dyDescent="0.25">
      <c r="A223" s="6">
        <v>202</v>
      </c>
      <c r="B223" s="6" t="s">
        <v>249</v>
      </c>
      <c r="C223" s="6" t="s">
        <v>250</v>
      </c>
      <c r="D223" s="6">
        <v>160011</v>
      </c>
      <c r="E223" s="6" t="s">
        <v>314</v>
      </c>
      <c r="F223" s="6" t="s">
        <v>314</v>
      </c>
    </row>
    <row r="224" spans="1:6" x14ac:dyDescent="0.25">
      <c r="A224" s="6">
        <v>203</v>
      </c>
      <c r="B224" s="6" t="s">
        <v>251</v>
      </c>
      <c r="C224" s="6" t="s">
        <v>250</v>
      </c>
      <c r="D224" s="6">
        <v>160053</v>
      </c>
      <c r="E224" s="6" t="s">
        <v>314</v>
      </c>
      <c r="F224" s="6" t="s">
        <v>314</v>
      </c>
    </row>
    <row r="225" spans="1:6" x14ac:dyDescent="0.25">
      <c r="A225" s="6">
        <v>204</v>
      </c>
      <c r="B225" s="6" t="s">
        <v>252</v>
      </c>
      <c r="C225" s="6" t="s">
        <v>250</v>
      </c>
      <c r="D225" s="6">
        <v>160092</v>
      </c>
      <c r="E225" s="6" t="s">
        <v>314</v>
      </c>
      <c r="F225" s="6" t="s">
        <v>314</v>
      </c>
    </row>
    <row r="226" spans="1:6" x14ac:dyDescent="0.25">
      <c r="A226" s="6">
        <v>205</v>
      </c>
      <c r="B226" s="6" t="s">
        <v>253</v>
      </c>
      <c r="C226" s="6" t="s">
        <v>250</v>
      </c>
      <c r="D226" s="6">
        <v>160122</v>
      </c>
      <c r="E226" s="6" t="s">
        <v>314</v>
      </c>
      <c r="F226" s="6" t="s">
        <v>314</v>
      </c>
    </row>
    <row r="227" spans="1:6" x14ac:dyDescent="0.25">
      <c r="A227" s="6">
        <v>206</v>
      </c>
      <c r="B227" s="6" t="s">
        <v>254</v>
      </c>
      <c r="C227" s="6" t="s">
        <v>250</v>
      </c>
      <c r="D227" s="6">
        <v>160170</v>
      </c>
      <c r="E227" s="6" t="s">
        <v>314</v>
      </c>
      <c r="F227" s="6" t="s">
        <v>314</v>
      </c>
    </row>
    <row r="228" spans="1:6" x14ac:dyDescent="0.25">
      <c r="A228" s="6">
        <v>207</v>
      </c>
      <c r="B228" s="6" t="s">
        <v>255</v>
      </c>
      <c r="C228" s="6" t="s">
        <v>250</v>
      </c>
      <c r="D228" s="6">
        <v>160197</v>
      </c>
      <c r="E228" s="6" t="s">
        <v>314</v>
      </c>
      <c r="F228" s="6" t="s">
        <v>314</v>
      </c>
    </row>
    <row r="229" spans="1:6" x14ac:dyDescent="0.25">
      <c r="A229" s="6">
        <v>208</v>
      </c>
      <c r="B229" s="6" t="s">
        <v>256</v>
      </c>
      <c r="C229" s="6" t="s">
        <v>250</v>
      </c>
      <c r="D229" s="6">
        <v>160250</v>
      </c>
      <c r="E229" s="6" t="s">
        <v>314</v>
      </c>
      <c r="F229" s="6" t="s">
        <v>314</v>
      </c>
    </row>
    <row r="230" spans="1:6" x14ac:dyDescent="0.25">
      <c r="A230" s="6">
        <v>209</v>
      </c>
      <c r="B230" s="6" t="s">
        <v>257</v>
      </c>
      <c r="C230" s="6" t="s">
        <v>250</v>
      </c>
      <c r="D230" s="6">
        <v>160398</v>
      </c>
      <c r="E230" s="6" t="s">
        <v>314</v>
      </c>
      <c r="F230" s="6" t="s">
        <v>314</v>
      </c>
    </row>
    <row r="231" spans="1:6" x14ac:dyDescent="0.25">
      <c r="A231" s="6">
        <v>210</v>
      </c>
      <c r="B231" s="6" t="s">
        <v>303</v>
      </c>
      <c r="C231" s="6" t="s">
        <v>250</v>
      </c>
      <c r="D231" s="6">
        <v>160722</v>
      </c>
      <c r="E231" s="6" t="s">
        <v>314</v>
      </c>
      <c r="F231" s="6" t="s">
        <v>314</v>
      </c>
    </row>
    <row r="232" spans="1:6" x14ac:dyDescent="0.25">
      <c r="A232" s="6">
        <v>211</v>
      </c>
      <c r="B232" s="6" t="s">
        <v>258</v>
      </c>
      <c r="C232" s="6" t="s">
        <v>250</v>
      </c>
      <c r="D232" s="6">
        <v>161072</v>
      </c>
      <c r="E232" s="6" t="s">
        <v>314</v>
      </c>
      <c r="F232" s="6" t="s">
        <v>314</v>
      </c>
    </row>
    <row r="233" spans="1:6" x14ac:dyDescent="0.25">
      <c r="A233" s="6">
        <v>212</v>
      </c>
      <c r="B233" s="6" t="s">
        <v>259</v>
      </c>
      <c r="C233" s="6" t="s">
        <v>250</v>
      </c>
      <c r="D233" s="6">
        <v>160277</v>
      </c>
      <c r="E233" s="6" t="s">
        <v>314</v>
      </c>
      <c r="F233" s="6" t="s">
        <v>314</v>
      </c>
    </row>
    <row r="234" spans="1:6" x14ac:dyDescent="0.25">
      <c r="A234" s="6">
        <v>213</v>
      </c>
      <c r="B234" s="6" t="s">
        <v>307</v>
      </c>
      <c r="C234" s="6" t="s">
        <v>250</v>
      </c>
      <c r="D234" s="6">
        <v>160346</v>
      </c>
      <c r="E234" s="6" t="s">
        <v>314</v>
      </c>
      <c r="F234" s="6" t="s">
        <v>314</v>
      </c>
    </row>
    <row r="235" spans="1:6" x14ac:dyDescent="0.25">
      <c r="A235" s="6">
        <v>214</v>
      </c>
      <c r="B235" s="6" t="s">
        <v>308</v>
      </c>
      <c r="C235" s="6" t="s">
        <v>250</v>
      </c>
      <c r="D235" s="6">
        <v>160433</v>
      </c>
      <c r="E235" s="6" t="s">
        <v>314</v>
      </c>
      <c r="F235" s="6" t="s">
        <v>314</v>
      </c>
    </row>
    <row r="236" spans="1:6" x14ac:dyDescent="0.25">
      <c r="A236" s="6">
        <v>215</v>
      </c>
      <c r="B236" s="6" t="s">
        <v>260</v>
      </c>
      <c r="C236" s="6" t="s">
        <v>250</v>
      </c>
      <c r="D236" s="6">
        <v>160632</v>
      </c>
      <c r="E236" s="6" t="s">
        <v>314</v>
      </c>
      <c r="F236" s="6" t="s">
        <v>314</v>
      </c>
    </row>
    <row r="237" spans="1:6" x14ac:dyDescent="0.25">
      <c r="A237" s="6">
        <v>216</v>
      </c>
      <c r="B237" s="6" t="s">
        <v>261</v>
      </c>
      <c r="C237" s="6" t="s">
        <v>250</v>
      </c>
      <c r="D237" s="6">
        <v>160650</v>
      </c>
      <c r="E237" s="6" t="s">
        <v>314</v>
      </c>
      <c r="F237" s="6" t="s">
        <v>314</v>
      </c>
    </row>
    <row r="238" spans="1:6" x14ac:dyDescent="0.25">
      <c r="A238" s="6">
        <v>217</v>
      </c>
      <c r="B238" s="6" t="s">
        <v>262</v>
      </c>
      <c r="C238" s="6" t="s">
        <v>250</v>
      </c>
      <c r="D238" s="6">
        <v>160668</v>
      </c>
      <c r="E238" s="6" t="s">
        <v>314</v>
      </c>
      <c r="F238" s="6" t="s">
        <v>314</v>
      </c>
    </row>
    <row r="239" spans="1:6" x14ac:dyDescent="0.25">
      <c r="A239" s="6">
        <v>218</v>
      </c>
      <c r="B239" s="6" t="s">
        <v>263</v>
      </c>
      <c r="C239" s="6" t="s">
        <v>250</v>
      </c>
      <c r="D239" s="6">
        <v>160686</v>
      </c>
      <c r="E239" s="6" t="s">
        <v>314</v>
      </c>
      <c r="F239" s="6" t="s">
        <v>314</v>
      </c>
    </row>
    <row r="240" spans="1:6" x14ac:dyDescent="0.25">
      <c r="A240" s="6">
        <v>219</v>
      </c>
      <c r="B240" s="6" t="s">
        <v>264</v>
      </c>
      <c r="C240" s="6" t="s">
        <v>250</v>
      </c>
      <c r="D240" s="6">
        <v>160704</v>
      </c>
      <c r="E240" s="6" t="s">
        <v>314</v>
      </c>
      <c r="F240" s="6" t="s">
        <v>314</v>
      </c>
    </row>
    <row r="241" spans="1:6" x14ac:dyDescent="0.25">
      <c r="A241" s="6">
        <v>220</v>
      </c>
      <c r="B241" s="6" t="s">
        <v>265</v>
      </c>
      <c r="C241" s="6" t="s">
        <v>250</v>
      </c>
      <c r="D241" s="6">
        <v>160758</v>
      </c>
      <c r="E241" s="6" t="s">
        <v>314</v>
      </c>
      <c r="F241" s="6" t="s">
        <v>314</v>
      </c>
    </row>
    <row r="242" spans="1:6" x14ac:dyDescent="0.25">
      <c r="A242" s="6">
        <v>221</v>
      </c>
      <c r="B242" s="6" t="s">
        <v>266</v>
      </c>
      <c r="C242" s="6" t="s">
        <v>250</v>
      </c>
      <c r="D242" s="6">
        <v>160934</v>
      </c>
      <c r="E242" s="6" t="s">
        <v>314</v>
      </c>
      <c r="F242" s="6" t="s">
        <v>314</v>
      </c>
    </row>
    <row r="243" spans="1:6" x14ac:dyDescent="0.25">
      <c r="A243" s="6">
        <v>222</v>
      </c>
      <c r="B243" s="6" t="s">
        <v>267</v>
      </c>
      <c r="C243" s="6" t="s">
        <v>250</v>
      </c>
      <c r="D243" s="6">
        <v>160468</v>
      </c>
      <c r="E243" s="6" t="s">
        <v>314</v>
      </c>
      <c r="F243" s="6" t="s">
        <v>314</v>
      </c>
    </row>
    <row r="244" spans="1:6" x14ac:dyDescent="0.25">
      <c r="A244" s="6">
        <v>223</v>
      </c>
      <c r="B244" s="6" t="s">
        <v>268</v>
      </c>
      <c r="C244" s="6" t="s">
        <v>250</v>
      </c>
      <c r="D244" s="6">
        <v>160520</v>
      </c>
      <c r="E244" s="6" t="s">
        <v>314</v>
      </c>
      <c r="F244" s="6" t="s">
        <v>314</v>
      </c>
    </row>
    <row r="245" spans="1:6" x14ac:dyDescent="0.25">
      <c r="A245" s="6">
        <v>224</v>
      </c>
      <c r="B245" s="6" t="s">
        <v>269</v>
      </c>
      <c r="C245" s="6" t="s">
        <v>250</v>
      </c>
      <c r="D245" s="6">
        <v>160602</v>
      </c>
      <c r="E245" s="6" t="s">
        <v>314</v>
      </c>
      <c r="F245" s="6" t="s">
        <v>314</v>
      </c>
    </row>
    <row r="246" spans="1:6" x14ac:dyDescent="0.25">
      <c r="A246" s="6">
        <v>225</v>
      </c>
      <c r="B246" s="6" t="s">
        <v>270</v>
      </c>
      <c r="C246" s="6" t="s">
        <v>250</v>
      </c>
      <c r="D246" s="6">
        <v>160550</v>
      </c>
      <c r="E246" s="6" t="s">
        <v>314</v>
      </c>
      <c r="F246" s="6" t="s">
        <v>314</v>
      </c>
    </row>
    <row r="247" spans="1:6" x14ac:dyDescent="0.25">
      <c r="A247" s="6">
        <v>226</v>
      </c>
      <c r="B247" s="6" t="s">
        <v>271</v>
      </c>
      <c r="C247" s="6" t="s">
        <v>250</v>
      </c>
      <c r="D247" s="6">
        <v>160828</v>
      </c>
      <c r="E247" s="6" t="s">
        <v>314</v>
      </c>
      <c r="F247" s="6" t="s">
        <v>314</v>
      </c>
    </row>
    <row r="248" spans="1:6" x14ac:dyDescent="0.25">
      <c r="A248" s="6">
        <v>227</v>
      </c>
      <c r="B248" s="6" t="s">
        <v>272</v>
      </c>
      <c r="C248" s="6" t="s">
        <v>250</v>
      </c>
      <c r="D248" s="6">
        <v>160740</v>
      </c>
      <c r="E248" s="6" t="s">
        <v>314</v>
      </c>
      <c r="F248" s="6" t="s">
        <v>314</v>
      </c>
    </row>
    <row r="249" spans="1:6" x14ac:dyDescent="0.25">
      <c r="A249" s="6">
        <v>228</v>
      </c>
      <c r="B249" s="6" t="s">
        <v>273</v>
      </c>
      <c r="C249" s="6" t="s">
        <v>250</v>
      </c>
      <c r="D249" s="6">
        <v>160898</v>
      </c>
      <c r="E249" s="6" t="s">
        <v>314</v>
      </c>
      <c r="F249" s="6" t="s">
        <v>314</v>
      </c>
    </row>
    <row r="250" spans="1:6" x14ac:dyDescent="0.25">
      <c r="A250" s="6">
        <v>229</v>
      </c>
      <c r="B250" s="6" t="s">
        <v>274</v>
      </c>
      <c r="C250" s="6" t="s">
        <v>250</v>
      </c>
      <c r="D250" s="6">
        <v>161090</v>
      </c>
      <c r="E250" s="6" t="s">
        <v>314</v>
      </c>
      <c r="F250" s="6" t="s">
        <v>314</v>
      </c>
    </row>
    <row r="251" spans="1:6" x14ac:dyDescent="0.25">
      <c r="A251" s="6">
        <v>230</v>
      </c>
      <c r="B251" s="6" t="s">
        <v>304</v>
      </c>
      <c r="C251" s="6" t="s">
        <v>250</v>
      </c>
      <c r="D251" s="6">
        <v>161265</v>
      </c>
      <c r="E251" s="6" t="s">
        <v>314</v>
      </c>
      <c r="F251" s="6" t="s">
        <v>314</v>
      </c>
    </row>
    <row r="252" spans="1:6" x14ac:dyDescent="0.25">
      <c r="A252" s="6">
        <v>231</v>
      </c>
      <c r="B252" s="6" t="s">
        <v>275</v>
      </c>
      <c r="C252" s="6" t="s">
        <v>250</v>
      </c>
      <c r="D252" s="6">
        <v>161370</v>
      </c>
      <c r="E252" s="6" t="s">
        <v>314</v>
      </c>
      <c r="F252" s="6" t="s">
        <v>314</v>
      </c>
    </row>
    <row r="253" spans="1:6" x14ac:dyDescent="0.25">
      <c r="A253" s="6">
        <v>232</v>
      </c>
      <c r="B253" s="6" t="s">
        <v>276</v>
      </c>
      <c r="C253" s="6" t="s">
        <v>250</v>
      </c>
      <c r="D253" s="6">
        <v>160916</v>
      </c>
      <c r="E253" s="6" t="s">
        <v>314</v>
      </c>
      <c r="F253" s="6" t="s">
        <v>314</v>
      </c>
    </row>
    <row r="254" spans="1:6" x14ac:dyDescent="0.25">
      <c r="A254" s="6">
        <v>233</v>
      </c>
      <c r="B254" s="6" t="s">
        <v>277</v>
      </c>
      <c r="C254" s="6" t="s">
        <v>250</v>
      </c>
      <c r="D254" s="6">
        <v>160986</v>
      </c>
      <c r="E254" s="6" t="s">
        <v>314</v>
      </c>
      <c r="F254" s="6" t="s">
        <v>314</v>
      </c>
    </row>
    <row r="255" spans="1:6" x14ac:dyDescent="0.25">
      <c r="A255" s="6">
        <v>234</v>
      </c>
      <c r="B255" s="6" t="s">
        <v>278</v>
      </c>
      <c r="C255" s="6" t="s">
        <v>250</v>
      </c>
      <c r="D255" s="6">
        <v>161108</v>
      </c>
      <c r="E255" s="6" t="s">
        <v>314</v>
      </c>
      <c r="F255" s="6" t="s">
        <v>314</v>
      </c>
    </row>
    <row r="256" spans="1:6" x14ac:dyDescent="0.25">
      <c r="A256" s="6">
        <v>235</v>
      </c>
      <c r="B256" s="6" t="s">
        <v>279</v>
      </c>
      <c r="C256" s="6" t="s">
        <v>250</v>
      </c>
      <c r="D256" s="6">
        <v>161194</v>
      </c>
      <c r="E256" s="6" t="s">
        <v>314</v>
      </c>
      <c r="F256" s="6" t="s">
        <v>314</v>
      </c>
    </row>
    <row r="257" spans="1:7" x14ac:dyDescent="0.25">
      <c r="A257" s="6">
        <v>236</v>
      </c>
      <c r="B257" s="6" t="s">
        <v>280</v>
      </c>
      <c r="C257" s="6" t="s">
        <v>250</v>
      </c>
      <c r="D257" s="6">
        <v>161247</v>
      </c>
      <c r="E257" s="6" t="s">
        <v>314</v>
      </c>
      <c r="F257" s="6" t="s">
        <v>314</v>
      </c>
    </row>
    <row r="258" spans="1:7" x14ac:dyDescent="0.25">
      <c r="A258" s="6">
        <v>237</v>
      </c>
      <c r="B258" s="6" t="s">
        <v>281</v>
      </c>
      <c r="C258" s="6" t="s">
        <v>250</v>
      </c>
      <c r="D258" s="6">
        <v>161229</v>
      </c>
      <c r="E258" s="6" t="s">
        <v>314</v>
      </c>
      <c r="F258" s="6" t="s">
        <v>314</v>
      </c>
    </row>
    <row r="259" spans="1:7" x14ac:dyDescent="0.25">
      <c r="A259" s="6">
        <v>238</v>
      </c>
      <c r="B259" s="6" t="s">
        <v>282</v>
      </c>
      <c r="C259" s="6" t="s">
        <v>250</v>
      </c>
      <c r="D259" s="6">
        <v>161316</v>
      </c>
      <c r="E259" s="6" t="s">
        <v>314</v>
      </c>
      <c r="F259" s="6" t="s">
        <v>314</v>
      </c>
    </row>
    <row r="260" spans="1:7" x14ac:dyDescent="0.25">
      <c r="A260" s="6">
        <v>239</v>
      </c>
      <c r="B260" s="6" t="s">
        <v>283</v>
      </c>
      <c r="C260" s="6" t="s">
        <v>250</v>
      </c>
      <c r="D260" s="6">
        <v>161283</v>
      </c>
      <c r="E260" s="6" t="s">
        <v>314</v>
      </c>
      <c r="F260" s="6" t="s">
        <v>314</v>
      </c>
    </row>
    <row r="261" spans="1:7" x14ac:dyDescent="0.25">
      <c r="A261" s="6">
        <v>240</v>
      </c>
      <c r="B261" s="6" t="s">
        <v>284</v>
      </c>
      <c r="C261" s="6" t="s">
        <v>250</v>
      </c>
      <c r="D261" s="6">
        <v>161334</v>
      </c>
      <c r="E261" s="6" t="s">
        <v>314</v>
      </c>
      <c r="F261" s="6" t="s">
        <v>314</v>
      </c>
    </row>
    <row r="262" spans="1:7" x14ac:dyDescent="0.25">
      <c r="A262" s="6">
        <v>241</v>
      </c>
      <c r="B262" s="6" t="s">
        <v>285</v>
      </c>
      <c r="C262" s="6" t="s">
        <v>250</v>
      </c>
      <c r="D262" s="6">
        <v>161352</v>
      </c>
      <c r="E262" s="6" t="s">
        <v>314</v>
      </c>
      <c r="F262" s="6" t="s">
        <v>314</v>
      </c>
    </row>
    <row r="263" spans="1:7" hidden="1" x14ac:dyDescent="0.25">
      <c r="A263" s="6">
        <v>242</v>
      </c>
      <c r="B263" s="6" t="s">
        <v>79</v>
      </c>
      <c r="C263" s="6" t="s">
        <v>80</v>
      </c>
      <c r="D263" s="6">
        <v>140471</v>
      </c>
      <c r="E263" s="6" t="s">
        <v>314</v>
      </c>
      <c r="F263" s="6" t="s">
        <v>314</v>
      </c>
      <c r="G263" s="6" t="s">
        <v>381</v>
      </c>
    </row>
    <row r="264" spans="1:7" hidden="1" x14ac:dyDescent="0.25">
      <c r="A264" s="6">
        <v>243</v>
      </c>
      <c r="B264" s="6" t="s">
        <v>81</v>
      </c>
      <c r="C264" s="6" t="s">
        <v>82</v>
      </c>
      <c r="D264" s="6">
        <v>140495</v>
      </c>
      <c r="E264" s="6" t="s">
        <v>314</v>
      </c>
      <c r="F264" s="6" t="s">
        <v>314</v>
      </c>
      <c r="G264" s="6" t="s">
        <v>381</v>
      </c>
    </row>
    <row r="265" spans="1:7" hidden="1" x14ac:dyDescent="0.25">
      <c r="A265" s="6">
        <v>244</v>
      </c>
      <c r="B265" s="6" t="s">
        <v>83</v>
      </c>
      <c r="C265" s="6" t="s">
        <v>84</v>
      </c>
      <c r="D265" s="6">
        <v>140542</v>
      </c>
      <c r="E265" s="6" t="s">
        <v>314</v>
      </c>
      <c r="F265" s="6" t="s">
        <v>314</v>
      </c>
      <c r="G265" s="6" t="s">
        <v>381</v>
      </c>
    </row>
    <row r="266" spans="1:7" hidden="1" x14ac:dyDescent="0.25">
      <c r="A266" s="6">
        <v>245</v>
      </c>
      <c r="B266" s="6" t="s">
        <v>85</v>
      </c>
      <c r="C266" s="6" t="s">
        <v>86</v>
      </c>
      <c r="D266" s="6">
        <v>140558</v>
      </c>
      <c r="E266" s="6" t="s">
        <v>314</v>
      </c>
      <c r="F266" s="6" t="s">
        <v>314</v>
      </c>
      <c r="G266" s="6" t="s">
        <v>381</v>
      </c>
    </row>
    <row r="267" spans="1:7" hidden="1" x14ac:dyDescent="0.25">
      <c r="A267" s="6">
        <v>246</v>
      </c>
      <c r="B267" s="6" t="s">
        <v>87</v>
      </c>
      <c r="C267" s="6" t="s">
        <v>88</v>
      </c>
      <c r="D267" s="6">
        <v>140606</v>
      </c>
      <c r="E267" s="6" t="s">
        <v>314</v>
      </c>
      <c r="F267" s="6" t="s">
        <v>314</v>
      </c>
      <c r="G267" s="6" t="s">
        <v>381</v>
      </c>
    </row>
    <row r="268" spans="1:7" hidden="1" x14ac:dyDescent="0.25">
      <c r="A268" s="6">
        <v>247</v>
      </c>
      <c r="B268" s="6" t="s">
        <v>89</v>
      </c>
      <c r="C268" s="6" t="s">
        <v>90</v>
      </c>
      <c r="D268" s="6">
        <v>140621</v>
      </c>
      <c r="E268" s="6" t="s">
        <v>314</v>
      </c>
      <c r="F268" s="6" t="s">
        <v>314</v>
      </c>
      <c r="G268" s="6" t="s">
        <v>381</v>
      </c>
    </row>
    <row r="269" spans="1:7" hidden="1" x14ac:dyDescent="0.25">
      <c r="A269" s="6">
        <v>248</v>
      </c>
      <c r="B269" s="6" t="s">
        <v>355</v>
      </c>
      <c r="C269" s="6" t="s">
        <v>91</v>
      </c>
      <c r="D269" s="6">
        <v>150031</v>
      </c>
      <c r="E269" s="6" t="s">
        <v>314</v>
      </c>
      <c r="F269" s="6" t="s">
        <v>314</v>
      </c>
      <c r="G269" s="6" t="s">
        <v>381</v>
      </c>
    </row>
    <row r="270" spans="1:7" hidden="1" x14ac:dyDescent="0.25">
      <c r="A270" s="6">
        <v>249</v>
      </c>
      <c r="B270" s="6" t="s">
        <v>360</v>
      </c>
      <c r="C270" s="6" t="s">
        <v>93</v>
      </c>
      <c r="D270" s="6">
        <v>150168</v>
      </c>
      <c r="E270" s="6" t="s">
        <v>314</v>
      </c>
      <c r="F270" s="6" t="s">
        <v>314</v>
      </c>
      <c r="G270" s="6" t="s">
        <v>381</v>
      </c>
    </row>
    <row r="271" spans="1:7" hidden="1" x14ac:dyDescent="0.25">
      <c r="A271" s="6">
        <v>250</v>
      </c>
      <c r="B271" s="6" t="s">
        <v>359</v>
      </c>
      <c r="C271" s="6" t="s">
        <v>94</v>
      </c>
      <c r="D271" s="6">
        <v>150233</v>
      </c>
      <c r="E271" s="6" t="s">
        <v>314</v>
      </c>
      <c r="F271" s="6" t="s">
        <v>314</v>
      </c>
      <c r="G271" s="6" t="s">
        <v>381</v>
      </c>
    </row>
    <row r="272" spans="1:7" hidden="1" x14ac:dyDescent="0.25">
      <c r="A272" s="6">
        <v>251</v>
      </c>
      <c r="B272" s="6" t="s">
        <v>358</v>
      </c>
      <c r="C272" s="6" t="s">
        <v>95</v>
      </c>
      <c r="D272" s="6">
        <v>150288</v>
      </c>
      <c r="E272" s="6" t="s">
        <v>314</v>
      </c>
      <c r="F272" s="6" t="s">
        <v>314</v>
      </c>
      <c r="G272" s="6" t="s">
        <v>381</v>
      </c>
    </row>
    <row r="273" spans="1:6" x14ac:dyDescent="0.25">
      <c r="A273" s="6">
        <v>252</v>
      </c>
      <c r="B273" s="6" t="s">
        <v>492</v>
      </c>
      <c r="C273" s="6" t="s">
        <v>233</v>
      </c>
      <c r="D273" s="6">
        <v>200009</v>
      </c>
      <c r="E273" s="6" t="s">
        <v>314</v>
      </c>
      <c r="F273" s="6" t="s">
        <v>314</v>
      </c>
    </row>
    <row r="274" spans="1:6" x14ac:dyDescent="0.25">
      <c r="A274" s="6">
        <v>253</v>
      </c>
      <c r="B274" s="6" t="s">
        <v>493</v>
      </c>
      <c r="C274" s="6" t="s">
        <v>233</v>
      </c>
      <c r="E274" s="6" t="s">
        <v>315</v>
      </c>
    </row>
    <row r="275" spans="1:6" x14ac:dyDescent="0.25">
      <c r="A275" s="6">
        <v>254</v>
      </c>
      <c r="B275" s="6" t="s">
        <v>494</v>
      </c>
      <c r="C275" s="6" t="s">
        <v>233</v>
      </c>
      <c r="D275" s="6">
        <v>200019</v>
      </c>
      <c r="E275" s="6" t="s">
        <v>314</v>
      </c>
      <c r="F275" s="6" t="s">
        <v>314</v>
      </c>
    </row>
    <row r="276" spans="1:6" x14ac:dyDescent="0.25">
      <c r="A276" s="6">
        <v>255</v>
      </c>
      <c r="B276" s="6" t="s">
        <v>495</v>
      </c>
      <c r="C276" s="6" t="s">
        <v>233</v>
      </c>
      <c r="E276" s="6" t="s">
        <v>315</v>
      </c>
    </row>
    <row r="277" spans="1:6" x14ac:dyDescent="0.25">
      <c r="A277" s="6">
        <v>256</v>
      </c>
      <c r="B277" s="6" t="s">
        <v>496</v>
      </c>
      <c r="C277" s="6" t="s">
        <v>233</v>
      </c>
      <c r="D277" s="6">
        <v>210005</v>
      </c>
      <c r="E277" s="6" t="s">
        <v>314</v>
      </c>
      <c r="F277" s="6" t="s">
        <v>314</v>
      </c>
    </row>
    <row r="278" spans="1:6" x14ac:dyDescent="0.25">
      <c r="A278" s="6">
        <v>257</v>
      </c>
      <c r="B278" s="6" t="s">
        <v>499</v>
      </c>
      <c r="C278" s="6" t="s">
        <v>233</v>
      </c>
      <c r="D278" s="6">
        <v>210018</v>
      </c>
      <c r="E278" s="6" t="s">
        <v>314</v>
      </c>
      <c r="F278" s="6" t="s">
        <v>314</v>
      </c>
    </row>
    <row r="279" spans="1:6" x14ac:dyDescent="0.25">
      <c r="A279" s="6">
        <v>258</v>
      </c>
      <c r="B279" s="6" t="s">
        <v>498</v>
      </c>
      <c r="C279" s="6" t="s">
        <v>233</v>
      </c>
      <c r="D279" s="6">
        <v>210028</v>
      </c>
      <c r="E279" s="6" t="s">
        <v>314</v>
      </c>
      <c r="F279" s="6" t="s">
        <v>314</v>
      </c>
    </row>
    <row r="280" spans="1:6" x14ac:dyDescent="0.25">
      <c r="A280" s="6">
        <v>259</v>
      </c>
      <c r="B280" s="6" t="s">
        <v>497</v>
      </c>
      <c r="C280" s="6" t="s">
        <v>233</v>
      </c>
      <c r="D280" s="6">
        <v>210059</v>
      </c>
      <c r="E280" s="6" t="s">
        <v>314</v>
      </c>
      <c r="F280" s="6" t="s">
        <v>314</v>
      </c>
    </row>
    <row r="281" spans="1:6" x14ac:dyDescent="0.25">
      <c r="A281" s="6">
        <v>260</v>
      </c>
      <c r="B281" s="6" t="s">
        <v>500</v>
      </c>
      <c r="C281" s="6" t="s">
        <v>233</v>
      </c>
      <c r="D281" s="6">
        <v>210049</v>
      </c>
      <c r="E281" s="6" t="s">
        <v>314</v>
      </c>
      <c r="F281" s="6" t="s">
        <v>314</v>
      </c>
    </row>
    <row r="282" spans="1:6" x14ac:dyDescent="0.25">
      <c r="A282" s="6">
        <v>261</v>
      </c>
      <c r="B282" s="6" t="s">
        <v>501</v>
      </c>
      <c r="C282" s="6" t="s">
        <v>233</v>
      </c>
      <c r="D282" s="6">
        <v>210080</v>
      </c>
      <c r="E282" s="6" t="s">
        <v>314</v>
      </c>
      <c r="F282" s="6" t="s">
        <v>314</v>
      </c>
    </row>
    <row r="283" spans="1:6" x14ac:dyDescent="0.25">
      <c r="A283" s="6">
        <v>262</v>
      </c>
      <c r="B283" s="6" t="s">
        <v>502</v>
      </c>
      <c r="C283" s="6" t="s">
        <v>233</v>
      </c>
      <c r="D283" s="6">
        <v>210091</v>
      </c>
      <c r="E283" s="6" t="s">
        <v>314</v>
      </c>
      <c r="F283" s="6" t="s">
        <v>314</v>
      </c>
    </row>
    <row r="284" spans="1:6" x14ac:dyDescent="0.25">
      <c r="A284" s="6">
        <v>263</v>
      </c>
      <c r="B284" s="6" t="s">
        <v>503</v>
      </c>
      <c r="C284" s="6" t="s">
        <v>233</v>
      </c>
      <c r="D284" s="6">
        <v>210101</v>
      </c>
      <c r="E284" s="6" t="s">
        <v>314</v>
      </c>
      <c r="F284" s="6" t="s">
        <v>314</v>
      </c>
    </row>
    <row r="285" spans="1:6" x14ac:dyDescent="0.25">
      <c r="A285" s="6">
        <v>264</v>
      </c>
      <c r="B285" s="6" t="s">
        <v>504</v>
      </c>
      <c r="C285" s="6" t="s">
        <v>233</v>
      </c>
      <c r="D285" s="6">
        <v>210115</v>
      </c>
      <c r="E285" s="6" t="s">
        <v>314</v>
      </c>
      <c r="F285" s="6" t="s">
        <v>314</v>
      </c>
    </row>
    <row r="286" spans="1:6" x14ac:dyDescent="0.25">
      <c r="A286" s="6">
        <v>265</v>
      </c>
      <c r="B286" s="6" t="s">
        <v>505</v>
      </c>
      <c r="C286" s="6" t="s">
        <v>233</v>
      </c>
      <c r="D286" s="6">
        <v>210135</v>
      </c>
      <c r="E286" s="6" t="s">
        <v>314</v>
      </c>
      <c r="F286" s="6" t="s">
        <v>314</v>
      </c>
    </row>
    <row r="287" spans="1:6" x14ac:dyDescent="0.25">
      <c r="A287" s="6">
        <v>266</v>
      </c>
      <c r="B287" s="6" t="s">
        <v>506</v>
      </c>
      <c r="C287" s="6" t="s">
        <v>233</v>
      </c>
      <c r="D287" s="6">
        <v>210150</v>
      </c>
      <c r="E287" s="6" t="s">
        <v>314</v>
      </c>
      <c r="F287" s="6" t="s">
        <v>314</v>
      </c>
    </row>
    <row r="288" spans="1:6" x14ac:dyDescent="0.25">
      <c r="A288" s="6">
        <v>267</v>
      </c>
      <c r="B288" s="6" t="s">
        <v>507</v>
      </c>
      <c r="C288" s="6" t="s">
        <v>233</v>
      </c>
      <c r="D288" s="6">
        <v>210183</v>
      </c>
      <c r="E288" s="6" t="s">
        <v>314</v>
      </c>
      <c r="F288" s="6" t="s">
        <v>314</v>
      </c>
    </row>
    <row r="289" spans="1:6" x14ac:dyDescent="0.25">
      <c r="A289" s="6">
        <v>268</v>
      </c>
      <c r="B289" s="6" t="s">
        <v>508</v>
      </c>
      <c r="C289" s="6" t="s">
        <v>233</v>
      </c>
      <c r="D289" s="6">
        <v>210225</v>
      </c>
      <c r="E289" s="6" t="s">
        <v>314</v>
      </c>
      <c r="F289" s="6" t="s">
        <v>314</v>
      </c>
    </row>
    <row r="290" spans="1:6" x14ac:dyDescent="0.25">
      <c r="A290" s="6">
        <v>269</v>
      </c>
      <c r="B290" s="6" t="s">
        <v>509</v>
      </c>
      <c r="C290" s="6" t="s">
        <v>233</v>
      </c>
      <c r="D290" s="6">
        <v>210296</v>
      </c>
      <c r="E290" s="6" t="s">
        <v>314</v>
      </c>
      <c r="F290" s="6" t="s">
        <v>314</v>
      </c>
    </row>
    <row r="291" spans="1:6" x14ac:dyDescent="0.25">
      <c r="A291" s="6">
        <v>270</v>
      </c>
      <c r="B291" s="6" t="s">
        <v>510</v>
      </c>
      <c r="C291" s="6" t="s">
        <v>233</v>
      </c>
      <c r="D291" s="6">
        <v>210386</v>
      </c>
      <c r="E291" s="6" t="s">
        <v>314</v>
      </c>
      <c r="F291" s="6" t="s">
        <v>314</v>
      </c>
    </row>
    <row r="292" spans="1:6" x14ac:dyDescent="0.25">
      <c r="A292" s="6">
        <v>271</v>
      </c>
      <c r="B292" s="6" t="s">
        <v>511</v>
      </c>
      <c r="C292" s="6" t="s">
        <v>233</v>
      </c>
      <c r="D292" s="6">
        <v>210450</v>
      </c>
      <c r="E292" s="6" t="s">
        <v>314</v>
      </c>
      <c r="F292" s="6" t="s">
        <v>314</v>
      </c>
    </row>
    <row r="293" spans="1:6" x14ac:dyDescent="0.25">
      <c r="A293" s="6">
        <v>272</v>
      </c>
      <c r="B293" s="6" t="s">
        <v>512</v>
      </c>
      <c r="C293" s="6" t="s">
        <v>531</v>
      </c>
      <c r="D293" s="6">
        <v>200028</v>
      </c>
      <c r="E293" s="6" t="s">
        <v>314</v>
      </c>
      <c r="F293" s="6" t="s">
        <v>314</v>
      </c>
    </row>
    <row r="294" spans="1:6" x14ac:dyDescent="0.25">
      <c r="A294" s="6">
        <v>273</v>
      </c>
      <c r="B294" s="6" t="s">
        <v>513</v>
      </c>
      <c r="C294" s="6" t="s">
        <v>531</v>
      </c>
      <c r="D294" s="6">
        <v>200041</v>
      </c>
      <c r="E294" s="6" t="s">
        <v>314</v>
      </c>
      <c r="F294" s="6" t="s">
        <v>314</v>
      </c>
    </row>
    <row r="295" spans="1:6" x14ac:dyDescent="0.25">
      <c r="A295" s="6">
        <v>274</v>
      </c>
      <c r="B295" s="6" t="s">
        <v>514</v>
      </c>
      <c r="C295" s="6" t="s">
        <v>531</v>
      </c>
      <c r="D295" s="6">
        <v>200050</v>
      </c>
      <c r="E295" s="6" t="s">
        <v>314</v>
      </c>
      <c r="F295" s="6" t="s">
        <v>314</v>
      </c>
    </row>
    <row r="296" spans="1:6" x14ac:dyDescent="0.25">
      <c r="A296" s="6">
        <v>275</v>
      </c>
      <c r="B296" s="6" t="s">
        <v>515</v>
      </c>
      <c r="C296" s="6" t="s">
        <v>531</v>
      </c>
      <c r="D296" s="6">
        <v>200077</v>
      </c>
      <c r="E296" s="6" t="s">
        <v>314</v>
      </c>
      <c r="F296" s="6" t="s">
        <v>314</v>
      </c>
    </row>
    <row r="297" spans="1:6" x14ac:dyDescent="0.25">
      <c r="A297" s="6">
        <v>276</v>
      </c>
      <c r="B297" s="6" t="s">
        <v>516</v>
      </c>
      <c r="C297" s="6" t="s">
        <v>531</v>
      </c>
      <c r="D297" s="6">
        <v>200059</v>
      </c>
      <c r="E297" s="6" t="s">
        <v>314</v>
      </c>
      <c r="F297" s="6" t="s">
        <v>314</v>
      </c>
    </row>
    <row r="298" spans="1:6" x14ac:dyDescent="0.25">
      <c r="A298" s="6">
        <v>277</v>
      </c>
      <c r="B298" s="6" t="s">
        <v>517</v>
      </c>
      <c r="C298" s="6" t="s">
        <v>531</v>
      </c>
      <c r="D298" s="6">
        <v>200086</v>
      </c>
      <c r="E298" s="6" t="s">
        <v>314</v>
      </c>
      <c r="F298" s="6" t="s">
        <v>314</v>
      </c>
    </row>
    <row r="299" spans="1:6" x14ac:dyDescent="0.25">
      <c r="A299" s="6">
        <v>278</v>
      </c>
      <c r="B299" s="6" t="s">
        <v>518</v>
      </c>
      <c r="C299" s="6" t="s">
        <v>531</v>
      </c>
      <c r="D299" s="6">
        <v>200068</v>
      </c>
      <c r="E299" s="6" t="s">
        <v>314</v>
      </c>
      <c r="F299" s="6" t="s">
        <v>314</v>
      </c>
    </row>
    <row r="300" spans="1:6" x14ac:dyDescent="0.25">
      <c r="A300" s="6">
        <v>279</v>
      </c>
      <c r="B300" s="6" t="s">
        <v>519</v>
      </c>
      <c r="C300" s="6" t="s">
        <v>531</v>
      </c>
      <c r="D300" s="6">
        <v>200095</v>
      </c>
      <c r="E300" s="6" t="s">
        <v>314</v>
      </c>
      <c r="F300" s="6" t="s">
        <v>314</v>
      </c>
    </row>
    <row r="301" spans="1:6" x14ac:dyDescent="0.25">
      <c r="A301" s="6">
        <v>280</v>
      </c>
      <c r="B301" s="6" t="s">
        <v>520</v>
      </c>
      <c r="C301" s="6" t="s">
        <v>531</v>
      </c>
      <c r="D301" s="6">
        <v>210037</v>
      </c>
      <c r="E301" s="6" t="s">
        <v>314</v>
      </c>
      <c r="F301" s="6" t="s">
        <v>314</v>
      </c>
    </row>
    <row r="302" spans="1:6" x14ac:dyDescent="0.25">
      <c r="A302" s="6">
        <v>281</v>
      </c>
      <c r="B302" s="6" t="s">
        <v>521</v>
      </c>
      <c r="C302" s="6" t="s">
        <v>531</v>
      </c>
      <c r="D302" s="6">
        <v>210070</v>
      </c>
      <c r="E302" s="6" t="s">
        <v>314</v>
      </c>
      <c r="F302" s="6" t="s">
        <v>314</v>
      </c>
    </row>
    <row r="303" spans="1:6" x14ac:dyDescent="0.25">
      <c r="A303" s="6">
        <v>282</v>
      </c>
      <c r="B303" s="6" t="s">
        <v>522</v>
      </c>
      <c r="C303" s="6" t="s">
        <v>531</v>
      </c>
      <c r="D303" s="6">
        <v>210192</v>
      </c>
      <c r="E303" s="6" t="s">
        <v>314</v>
      </c>
      <c r="F303" s="6" t="s">
        <v>314</v>
      </c>
    </row>
    <row r="304" spans="1:6" x14ac:dyDescent="0.25">
      <c r="A304" s="6">
        <v>283</v>
      </c>
      <c r="B304" s="6" t="s">
        <v>523</v>
      </c>
      <c r="C304" s="6" t="s">
        <v>531</v>
      </c>
      <c r="D304" s="6">
        <v>210252</v>
      </c>
      <c r="E304" s="6" t="s">
        <v>314</v>
      </c>
      <c r="F304" s="6" t="s">
        <v>314</v>
      </c>
    </row>
    <row r="305" spans="1:6" x14ac:dyDescent="0.25">
      <c r="A305" s="6">
        <v>284</v>
      </c>
      <c r="B305" s="6" t="s">
        <v>524</v>
      </c>
      <c r="C305" s="6" t="s">
        <v>531</v>
      </c>
      <c r="D305" s="6">
        <v>210234</v>
      </c>
      <c r="E305" s="6" t="s">
        <v>314</v>
      </c>
      <c r="F305" s="6" t="s">
        <v>314</v>
      </c>
    </row>
    <row r="306" spans="1:6" x14ac:dyDescent="0.25">
      <c r="A306" s="6">
        <v>285</v>
      </c>
      <c r="B306" s="6" t="s">
        <v>525</v>
      </c>
      <c r="C306" s="6" t="s">
        <v>531</v>
      </c>
      <c r="D306" s="6">
        <v>210262</v>
      </c>
      <c r="E306" s="6" t="s">
        <v>314</v>
      </c>
      <c r="F306" s="6" t="s">
        <v>314</v>
      </c>
    </row>
    <row r="307" spans="1:6" x14ac:dyDescent="0.25">
      <c r="A307" s="6">
        <v>286</v>
      </c>
      <c r="B307" s="6" t="s">
        <v>526</v>
      </c>
      <c r="C307" s="6" t="s">
        <v>531</v>
      </c>
      <c r="D307" s="6">
        <v>210306</v>
      </c>
      <c r="E307" s="6" t="s">
        <v>314</v>
      </c>
      <c r="F307" s="6" t="s">
        <v>314</v>
      </c>
    </row>
    <row r="308" spans="1:6" x14ac:dyDescent="0.25">
      <c r="A308" s="6">
        <v>287</v>
      </c>
      <c r="B308" s="6" t="s">
        <v>532</v>
      </c>
      <c r="C308" s="6" t="s">
        <v>531</v>
      </c>
      <c r="D308" s="6">
        <v>210395</v>
      </c>
      <c r="E308" s="6" t="s">
        <v>314</v>
      </c>
      <c r="F308" s="6" t="s">
        <v>314</v>
      </c>
    </row>
    <row r="309" spans="1:6" x14ac:dyDescent="0.25">
      <c r="A309" s="6">
        <v>288</v>
      </c>
      <c r="B309" s="6" t="s">
        <v>527</v>
      </c>
      <c r="C309" s="6" t="s">
        <v>531</v>
      </c>
      <c r="D309" s="6">
        <v>210376</v>
      </c>
      <c r="E309" s="6" t="s">
        <v>314</v>
      </c>
      <c r="F309" s="6" t="s">
        <v>314</v>
      </c>
    </row>
    <row r="310" spans="1:6" x14ac:dyDescent="0.25">
      <c r="A310" s="6">
        <v>289</v>
      </c>
      <c r="B310" s="6" t="s">
        <v>528</v>
      </c>
      <c r="C310" s="6" t="s">
        <v>531</v>
      </c>
      <c r="D310" s="6">
        <v>210459</v>
      </c>
      <c r="E310" s="6" t="s">
        <v>314</v>
      </c>
      <c r="F310" s="6" t="s">
        <v>314</v>
      </c>
    </row>
    <row r="311" spans="1:6" x14ac:dyDescent="0.25">
      <c r="A311" s="6">
        <v>290</v>
      </c>
      <c r="B311" s="6" t="s">
        <v>529</v>
      </c>
      <c r="C311" s="6" t="s">
        <v>531</v>
      </c>
      <c r="D311" s="6">
        <v>210404</v>
      </c>
      <c r="E311" s="6" t="s">
        <v>314</v>
      </c>
      <c r="F311" s="6" t="s">
        <v>314</v>
      </c>
    </row>
    <row r="312" spans="1:6" x14ac:dyDescent="0.25">
      <c r="A312" s="6">
        <v>291</v>
      </c>
      <c r="B312" s="6" t="s">
        <v>530</v>
      </c>
      <c r="C312" s="6" t="s">
        <v>531</v>
      </c>
      <c r="D312" s="6">
        <v>210473</v>
      </c>
      <c r="E312" s="6" t="s">
        <v>314</v>
      </c>
      <c r="F312" s="6" t="s">
        <v>314</v>
      </c>
    </row>
  </sheetData>
  <pageMargins left="0.7" right="0.7" top="0.75" bottom="0.75" header="0.3" footer="0.3"/>
  <pageSetup paperSize="9" scale="73" fitToHeight="0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1"/>
  <sheetViews>
    <sheetView workbookViewId="0">
      <selection activeCell="R24" sqref="R24"/>
    </sheetView>
  </sheetViews>
  <sheetFormatPr defaultColWidth="8.85546875" defaultRowHeight="15" x14ac:dyDescent="0.25"/>
  <cols>
    <col min="37" max="37" width="18" customWidth="1"/>
    <col min="38" max="38" width="27.42578125" customWidth="1"/>
    <col min="39" max="40" width="37.85546875" customWidth="1"/>
    <col min="41" max="41" width="25.42578125" customWidth="1"/>
    <col min="42" max="42" width="26.42578125" customWidth="1"/>
  </cols>
  <sheetData>
    <row r="1" spans="1:42" x14ac:dyDescent="0.25">
      <c r="A1" t="s">
        <v>322</v>
      </c>
      <c r="B1" t="s">
        <v>0</v>
      </c>
      <c r="C1" t="s">
        <v>1</v>
      </c>
      <c r="D1" t="s">
        <v>10</v>
      </c>
      <c r="E1" t="s">
        <v>11</v>
      </c>
      <c r="F1" t="s">
        <v>390</v>
      </c>
      <c r="G1" t="s">
        <v>2</v>
      </c>
      <c r="H1" t="s">
        <v>6</v>
      </c>
      <c r="I1" t="s">
        <v>28</v>
      </c>
      <c r="J1" t="s">
        <v>29</v>
      </c>
      <c r="K1" t="s">
        <v>3</v>
      </c>
      <c r="L1" t="s">
        <v>4</v>
      </c>
      <c r="M1" t="s">
        <v>5</v>
      </c>
      <c r="N1" s="1" t="s">
        <v>7</v>
      </c>
      <c r="O1" s="1" t="s">
        <v>30</v>
      </c>
      <c r="P1" s="1" t="s">
        <v>286</v>
      </c>
      <c r="Q1" t="s">
        <v>12</v>
      </c>
      <c r="R1" s="2" t="s">
        <v>13</v>
      </c>
      <c r="S1" s="2" t="s">
        <v>14</v>
      </c>
      <c r="T1" s="4" t="s">
        <v>15</v>
      </c>
      <c r="U1" s="4" t="s">
        <v>16</v>
      </c>
      <c r="V1" t="s">
        <v>8</v>
      </c>
      <c r="W1" t="s">
        <v>9</v>
      </c>
      <c r="X1" s="3" t="s">
        <v>23</v>
      </c>
      <c r="Y1" s="3" t="s">
        <v>24</v>
      </c>
      <c r="Z1" s="3" t="s">
        <v>17</v>
      </c>
      <c r="AA1" s="3" t="s">
        <v>25</v>
      </c>
      <c r="AB1" t="s">
        <v>26</v>
      </c>
      <c r="AC1" t="s">
        <v>27</v>
      </c>
      <c r="AD1" t="s">
        <v>18</v>
      </c>
      <c r="AE1" t="s">
        <v>19</v>
      </c>
      <c r="AF1" t="s">
        <v>20</v>
      </c>
      <c r="AG1" s="3" t="s">
        <v>21</v>
      </c>
      <c r="AH1" t="s">
        <v>22</v>
      </c>
      <c r="AI1" t="s">
        <v>317</v>
      </c>
      <c r="AJ1" t="s">
        <v>320</v>
      </c>
      <c r="AK1" t="s">
        <v>388</v>
      </c>
      <c r="AL1" t="s">
        <v>408</v>
      </c>
      <c r="AM1" t="s">
        <v>409</v>
      </c>
      <c r="AO1" t="s">
        <v>410</v>
      </c>
    </row>
    <row r="2" spans="1:42" hidden="1" x14ac:dyDescent="0.25">
      <c r="A2">
        <v>36</v>
      </c>
      <c r="B2" t="s">
        <v>79</v>
      </c>
      <c r="C2" t="s">
        <v>80</v>
      </c>
      <c r="D2" t="s">
        <v>386</v>
      </c>
      <c r="F2">
        <v>2228</v>
      </c>
      <c r="G2" t="s">
        <v>228</v>
      </c>
      <c r="H2">
        <v>52</v>
      </c>
      <c r="I2" t="s">
        <v>146</v>
      </c>
      <c r="K2">
        <v>182</v>
      </c>
      <c r="L2">
        <v>114.7</v>
      </c>
      <c r="M2">
        <f t="shared" ref="M2:M11" si="0">L2/((K2/100)*(K2/100))</f>
        <v>34.627460451636274</v>
      </c>
      <c r="N2">
        <v>127</v>
      </c>
      <c r="O2">
        <v>121</v>
      </c>
      <c r="P2">
        <f>Data[[#This Row],[Waist_Circumference]]/Data[[#This Row],[Hip_circumference]]</f>
        <v>0.80198019801980203</v>
      </c>
      <c r="Q2">
        <f>'[1]Anthro data'!$AK$27</f>
        <v>52650.435560881997</v>
      </c>
      <c r="R2">
        <f>'[1]Anthro data'!$AK$28</f>
        <v>58426.35308157</v>
      </c>
      <c r="S2">
        <f t="shared" ref="S2:S11" si="1">Q2+R2</f>
        <v>111076.788642452</v>
      </c>
      <c r="T2">
        <f>(Data[[#This Row],[Total_fat_g]]/Data[[#This Row],[Total_mass_g]])*100</f>
        <v>33.722343787989303</v>
      </c>
      <c r="U2">
        <f>(Data[[#This Row],[Lean_mass_g]]/Data[[#This Row],[Total_mass_g]])*100</f>
        <v>66.277656212010697</v>
      </c>
      <c r="V2">
        <v>3720.7962320000001</v>
      </c>
      <c r="W2">
        <v>22.410586169999998</v>
      </c>
      <c r="X2">
        <f>[1]Glucose!$AK$3</f>
        <v>6.093</v>
      </c>
      <c r="Y2">
        <f>'[1]Insulin+HOMA'!$AK$3</f>
        <v>20.111000000000001</v>
      </c>
      <c r="Z2">
        <f>(Data[[#This Row],[Glucose (umol/L)]]*Data[[#This Row],[Insulin (umol/L)]])/22.5</f>
        <v>1.5149816666666669</v>
      </c>
      <c r="AA2">
        <f>[1]NEFA!$AK$3</f>
        <v>719.7</v>
      </c>
      <c r="AB2">
        <f>[1]TAG!$AK$3</f>
        <v>1788.8</v>
      </c>
      <c r="AC2">
        <f>'[1]3-OHB'!$AK$3</f>
        <v>204.1</v>
      </c>
      <c r="AD2">
        <f>'[40]Apo B, HDL, Cholesterol, ALT'!$F$6</f>
        <v>5.53</v>
      </c>
      <c r="AE2">
        <f>'[40]Apo B, HDL, Cholesterol, ALT'!$M$6</f>
        <v>0.99</v>
      </c>
      <c r="AF2">
        <f>Data[[#This Row],[total_chol (umol/L)]]-Data[[#This Row],[HDL_chol (umol/L)]]</f>
        <v>2.33</v>
      </c>
      <c r="AG2">
        <f>Data[[#This Row],[Non_HDL (umol/L)]]-(Data[[#This Row],[TAG (umol/L)]]/2200)</f>
        <v>2.1476136363636362</v>
      </c>
      <c r="AH2">
        <v>1069.25368875</v>
      </c>
      <c r="AI2">
        <f>'[28]plasma H2O'!$O$4</f>
        <v>3.9242687151871429E-3</v>
      </c>
      <c r="AJ2">
        <f>[1]DNL_160!$AK$5</f>
        <v>8.3091128816447632</v>
      </c>
      <c r="AK2">
        <f>[1]DNL_160!$AK$56</f>
        <v>37.135487736884272</v>
      </c>
      <c r="AL2">
        <v>38.02495432942932</v>
      </c>
      <c r="AM2">
        <v>19.452293272533765</v>
      </c>
      <c r="AN2">
        <v>45</v>
      </c>
      <c r="AO2" t="s">
        <v>411</v>
      </c>
      <c r="AP2">
        <f>(AM2-AL2)/AL2</f>
        <v>-0.48843348754586902</v>
      </c>
    </row>
    <row r="3" spans="1:42" x14ac:dyDescent="0.25">
      <c r="A3">
        <v>37</v>
      </c>
      <c r="B3" t="s">
        <v>81</v>
      </c>
      <c r="C3" t="s">
        <v>82</v>
      </c>
      <c r="D3" t="s">
        <v>386</v>
      </c>
      <c r="F3">
        <v>1283</v>
      </c>
      <c r="G3" t="s">
        <v>228</v>
      </c>
      <c r="H3">
        <v>45</v>
      </c>
      <c r="K3">
        <v>167</v>
      </c>
      <c r="L3">
        <v>68.7</v>
      </c>
      <c r="M3">
        <f t="shared" si="0"/>
        <v>24.633367994549825</v>
      </c>
      <c r="N3">
        <v>88</v>
      </c>
      <c r="O3">
        <v>94</v>
      </c>
      <c r="P3">
        <f>Data[[#This Row],[Waist_Circumference]]/Data[[#This Row],[Hip_circumference]]</f>
        <v>0.8545454545454545</v>
      </c>
      <c r="Q3">
        <f>'[1]Anthro data'!$AL$27</f>
        <v>22268.473157756001</v>
      </c>
      <c r="R3">
        <f>'[1]Anthro data'!$AL$28</f>
        <v>43750.139097555999</v>
      </c>
      <c r="S3">
        <f t="shared" si="1"/>
        <v>66018.612255312008</v>
      </c>
      <c r="T3">
        <f>(Data[[#This Row],[Total_fat_g]]/Data[[#This Row],[Total_mass_g]])*100</f>
        <v>39.844920587353911</v>
      </c>
      <c r="U3">
        <f>(Data[[#This Row],[Lean_mass_g]]/Data[[#This Row],[Total_mass_g]])*100</f>
        <v>60.155079412646081</v>
      </c>
      <c r="V3">
        <v>1427.699296</v>
      </c>
      <c r="W3">
        <v>3.3</v>
      </c>
      <c r="X3">
        <f>[1]Glucose!$AL$3</f>
        <v>5.3689999999999998</v>
      </c>
      <c r="Y3">
        <f>'[1]Insulin+HOMA'!$AL$3</f>
        <v>7.9964999999999993</v>
      </c>
      <c r="Z3">
        <f>(Data[[#This Row],[Glucose (umol/L)]]*Data[[#This Row],[Insulin (umol/L)]])/22.5</f>
        <v>1.9403697111111111</v>
      </c>
      <c r="AA3">
        <f>[1]NEFA!$AL$3</f>
        <v>324.8</v>
      </c>
      <c r="AB3">
        <f>[1]TAG!$AL$3</f>
        <v>1881</v>
      </c>
      <c r="AC3">
        <f>'[1]3-OHB'!$AL$3</f>
        <v>55.5</v>
      </c>
      <c r="AD3">
        <f>'[41]Apo B, HDL, Cholesterol, ALT'!$F$6</f>
        <v>6.96</v>
      </c>
      <c r="AE3">
        <f>'[41]Apo B, HDL, Cholesterol, ALT'!$M$6</f>
        <v>1.03</v>
      </c>
      <c r="AF3">
        <f>Data[[#This Row],[total_chol (umol/L)]]-Data[[#This Row],[HDL_chol (umol/L)]]</f>
        <v>3.29</v>
      </c>
      <c r="AG3">
        <f>Data[[#This Row],[Non_HDL (umol/L)]]-(Data[[#This Row],[TAG (umol/L)]]/2200)</f>
        <v>2.9421136363636364</v>
      </c>
      <c r="AH3">
        <v>1130.4689250000001</v>
      </c>
      <c r="AI3">
        <f>'[28]plasma H2O'!$P$4</f>
        <v>3.2160094714065563E-3</v>
      </c>
      <c r="AJ3">
        <f>[1]DNL_160!$AL$5</f>
        <v>8.8789607287229337</v>
      </c>
      <c r="AK3">
        <f>[1]DNL_160!$AL$56</f>
        <v>33.421303462632835</v>
      </c>
      <c r="AL3">
        <v>47.441264245752571</v>
      </c>
      <c r="AM3">
        <v>22.267147419104518</v>
      </c>
      <c r="AN3">
        <v>60</v>
      </c>
      <c r="AO3" t="s">
        <v>381</v>
      </c>
      <c r="AP3">
        <f t="shared" ref="AP3:AP11" si="2">(AM3-AL3)/AL3</f>
        <v>-0.53063756261305572</v>
      </c>
    </row>
    <row r="4" spans="1:42" x14ac:dyDescent="0.25">
      <c r="A4">
        <v>38</v>
      </c>
      <c r="B4" t="s">
        <v>83</v>
      </c>
      <c r="C4" t="s">
        <v>84</v>
      </c>
      <c r="D4" t="s">
        <v>386</v>
      </c>
      <c r="F4">
        <v>6793</v>
      </c>
      <c r="G4" t="s">
        <v>228</v>
      </c>
      <c r="H4">
        <v>27</v>
      </c>
      <c r="K4">
        <v>185</v>
      </c>
      <c r="L4">
        <v>92.9</v>
      </c>
      <c r="M4">
        <f t="shared" si="0"/>
        <v>27.143900657414171</v>
      </c>
      <c r="N4">
        <v>92</v>
      </c>
      <c r="O4">
        <v>104</v>
      </c>
      <c r="P4">
        <f>Data[[#This Row],[Waist_Circumference]]/Data[[#This Row],[Hip_circumference]]</f>
        <v>0.87037037037037035</v>
      </c>
      <c r="Q4">
        <f>'[1]Anthro data'!$AM$27</f>
        <v>21062.678204823998</v>
      </c>
      <c r="R4">
        <f>'[1]Anthro data'!$AM$28</f>
        <v>67952.615830025999</v>
      </c>
      <c r="S4">
        <f t="shared" si="1"/>
        <v>89015.294034849998</v>
      </c>
      <c r="T4">
        <f>(Data[[#This Row],[Total_fat_g]]/Data[[#This Row],[Total_mass_g]])*100</f>
        <v>45.705372054184451</v>
      </c>
      <c r="U4">
        <f>(Data[[#This Row],[Lean_mass_g]]/Data[[#This Row],[Total_mass_g]])*100</f>
        <v>54.294627945815556</v>
      </c>
      <c r="V4">
        <v>735.1140805</v>
      </c>
      <c r="W4">
        <v>2.2000000000000002</v>
      </c>
      <c r="X4">
        <f>[1]Glucose!$AM$3</f>
        <v>4.6879999999999997</v>
      </c>
      <c r="Y4">
        <f>'[1]Insulin+HOMA'!$AM$3</f>
        <v>12.083500000000001</v>
      </c>
      <c r="Z4">
        <f>(Data[[#This Row],[Glucose (umol/L)]]*Data[[#This Row],[Insulin (umol/L)]])/22.5</f>
        <v>2.861963055555556</v>
      </c>
      <c r="AA4">
        <f>[1]NEFA!$AM$3</f>
        <v>171.7</v>
      </c>
      <c r="AB4">
        <f>[1]TAG!$AM$3</f>
        <v>1900.5</v>
      </c>
      <c r="AC4">
        <f>'[1]3-OHB'!$AM$3</f>
        <v>32.5</v>
      </c>
      <c r="AD4">
        <f>'[42]Apo B, HDL, Cholesterol, ALT'!$F$6</f>
        <v>3.29</v>
      </c>
      <c r="AE4">
        <f>'[42]Apo B, HDL, Cholesterol, ALT'!$M$6</f>
        <v>0.68</v>
      </c>
      <c r="AF4">
        <f>Data[[#This Row],[total_chol (umol/L)]]-Data[[#This Row],[HDL_chol (umol/L)]]</f>
        <v>2.8450000000000002</v>
      </c>
      <c r="AG4">
        <f>Data[[#This Row],[Non_HDL (umol/L)]]-(Data[[#This Row],[TAG (umol/L)]]/2200)</f>
        <v>2.6954318181818184</v>
      </c>
      <c r="AH4">
        <v>1566.2246625000002</v>
      </c>
      <c r="AI4">
        <f>'[28]plasma H2O'!$Q$4</f>
        <v>2.8375269572662376E-3</v>
      </c>
      <c r="AJ4">
        <f>[1]DNL_160!$AM$5</f>
        <v>5.5825567288415385</v>
      </c>
      <c r="AK4">
        <f>[1]DNL_160!$AM$56</f>
        <v>23.805861878688237</v>
      </c>
      <c r="AL4">
        <v>27.004188931712697</v>
      </c>
      <c r="AM4">
        <v>7.2844036298384358</v>
      </c>
      <c r="AN4">
        <v>60</v>
      </c>
      <c r="AO4" t="s">
        <v>381</v>
      </c>
      <c r="AP4">
        <f t="shared" si="2"/>
        <v>-0.7302491236356331</v>
      </c>
    </row>
    <row r="5" spans="1:42" x14ac:dyDescent="0.25">
      <c r="A5">
        <v>39</v>
      </c>
      <c r="B5" t="s">
        <v>85</v>
      </c>
      <c r="C5" t="s">
        <v>86</v>
      </c>
      <c r="D5" t="s">
        <v>386</v>
      </c>
      <c r="F5">
        <v>2735</v>
      </c>
      <c r="G5" t="s">
        <v>228</v>
      </c>
      <c r="H5">
        <v>46</v>
      </c>
      <c r="I5" t="s">
        <v>146</v>
      </c>
      <c r="K5">
        <v>180</v>
      </c>
      <c r="L5">
        <v>89.2</v>
      </c>
      <c r="M5">
        <f t="shared" si="0"/>
        <v>27.530864197530864</v>
      </c>
      <c r="N5">
        <v>93</v>
      </c>
      <c r="O5">
        <v>102</v>
      </c>
      <c r="P5">
        <f>Data[[#This Row],[Waist_Circumference]]/Data[[#This Row],[Hip_circumference]]</f>
        <v>0.98958333333333337</v>
      </c>
      <c r="Q5">
        <f>'[1]Anthro data'!$AN$27</f>
        <v>19578.981572150999</v>
      </c>
      <c r="R5">
        <f>'[1]Anthro data'!$AN$28</f>
        <v>63481.962302802</v>
      </c>
      <c r="S5">
        <f t="shared" si="1"/>
        <v>83060.943874952995</v>
      </c>
      <c r="T5">
        <f>(Data[[#This Row],[Total_fat_g]]/Data[[#This Row],[Total_mass_g]])*100</f>
        <v>31.212166880164773</v>
      </c>
      <c r="U5">
        <f>(Data[[#This Row],[Lean_mass_g]]/Data[[#This Row],[Total_mass_g]])*100</f>
        <v>68.787833119835227</v>
      </c>
      <c r="V5">
        <v>1208.1452079999999</v>
      </c>
      <c r="W5">
        <v>1.5</v>
      </c>
      <c r="X5">
        <f>[1]Glucose!$AN$3</f>
        <v>5.665</v>
      </c>
      <c r="Y5">
        <f>'[1]Insulin+HOMA'!$AN$3</f>
        <v>14.282499999999999</v>
      </c>
      <c r="Z5">
        <f>(Data[[#This Row],[Glucose (umol/L)]]*Data[[#This Row],[Insulin (umol/L)]])/22.5</f>
        <v>2.3718570666666663</v>
      </c>
      <c r="AA5">
        <f>[1]NEFA!$AN$3</f>
        <v>499.4</v>
      </c>
      <c r="AB5">
        <f>[1]TAG!$AN$3</f>
        <v>1666.1</v>
      </c>
      <c r="AC5">
        <f>'[1]3-OHB'!$AN$3</f>
        <v>70</v>
      </c>
      <c r="AD5">
        <f>'[43]Apo B, HDL, Cholesterol, ALT'!$F$6</f>
        <v>5.29</v>
      </c>
      <c r="AE5">
        <f>'[43]Apo B, HDL, Cholesterol, ALT'!$M$6</f>
        <v>0.97</v>
      </c>
      <c r="AF5">
        <f>Data[[#This Row],[total_chol (umol/L)]]-Data[[#This Row],[HDL_chol (umol/L)]]</f>
        <v>4.96</v>
      </c>
      <c r="AG5">
        <f>Data[[#This Row],[Non_HDL (umol/L)]]-(Data[[#This Row],[TAG (umol/L)]]/2200)</f>
        <v>4.5098636363636366</v>
      </c>
      <c r="AH5">
        <v>1128.3457199999998</v>
      </c>
      <c r="AI5">
        <f>'[28]plasma H2O'!$R$4</f>
        <v>3.0088575975497633E-3</v>
      </c>
      <c r="AJ5">
        <f>[1]DNL_160!$AN$5</f>
        <v>7.988338328367969</v>
      </c>
      <c r="AK5">
        <f>[1]DNL_160!$AN$56</f>
        <v>41.709612108507606</v>
      </c>
      <c r="AL5">
        <v>53.138981109815184</v>
      </c>
      <c r="AM5">
        <v>13.847484296947036</v>
      </c>
      <c r="AN5">
        <v>60</v>
      </c>
      <c r="AO5" t="s">
        <v>381</v>
      </c>
      <c r="AP5">
        <f t="shared" si="2"/>
        <v>-0.73941005251248038</v>
      </c>
    </row>
    <row r="6" spans="1:42" x14ac:dyDescent="0.25">
      <c r="A6">
        <v>40</v>
      </c>
      <c r="B6" t="s">
        <v>87</v>
      </c>
      <c r="C6" t="s">
        <v>88</v>
      </c>
      <c r="D6" t="s">
        <v>386</v>
      </c>
      <c r="F6">
        <v>2704</v>
      </c>
      <c r="G6" t="s">
        <v>228</v>
      </c>
      <c r="H6">
        <v>45</v>
      </c>
      <c r="I6" t="s">
        <v>146</v>
      </c>
      <c r="K6">
        <v>179</v>
      </c>
      <c r="L6">
        <v>96.7</v>
      </c>
      <c r="M6">
        <f t="shared" si="0"/>
        <v>30.18008177023189</v>
      </c>
      <c r="N6">
        <v>103</v>
      </c>
      <c r="O6">
        <v>106</v>
      </c>
      <c r="P6">
        <f>Data[[#This Row],[Waist_Circumference]]/Data[[#This Row],[Hip_circumference]]</f>
        <v>0.91752577319587625</v>
      </c>
      <c r="Q6">
        <f>'[1]Anthro data'!$AO$27</f>
        <v>29697</v>
      </c>
      <c r="R6">
        <f>'[1]Anthro data'!$AO$28</f>
        <v>65505</v>
      </c>
      <c r="S6">
        <f t="shared" si="1"/>
        <v>95202</v>
      </c>
      <c r="T6">
        <f>(Data[[#This Row],[Total_fat_g]]/Data[[#This Row],[Total_mass_g]])*100</f>
        <v>26.333389281241526</v>
      </c>
      <c r="U6">
        <f>(Data[[#This Row],[Lean_mass_g]]/Data[[#This Row],[Total_mass_g]])*100</f>
        <v>73.666610718758477</v>
      </c>
      <c r="V6">
        <v>1794</v>
      </c>
      <c r="W6">
        <v>5.8</v>
      </c>
      <c r="X6">
        <f>[1]Glucose!$AO$3</f>
        <v>5.4089999999999998</v>
      </c>
      <c r="Y6">
        <f>'[1]Insulin+HOMA'!$AO$3</f>
        <v>10.619</v>
      </c>
      <c r="Z6">
        <f>(Data[[#This Row],[Glucose (umol/L)]]*Data[[#This Row],[Insulin (umol/L)]])/22.5</f>
        <v>1.9950915555555557</v>
      </c>
      <c r="AA6">
        <f>[1]NEFA!$AO$3</f>
        <v>513</v>
      </c>
      <c r="AB6">
        <f>[1]TAG!$AO$3</f>
        <v>2448.7000000000003</v>
      </c>
      <c r="AC6">
        <f>'[1]3-OHB'!$AO$3</f>
        <v>46</v>
      </c>
      <c r="AD6">
        <f>'[44]Apo B, HDL, Cholesterol, ALT'!$F$6</f>
        <v>5.57</v>
      </c>
      <c r="AE6">
        <f>'[44]Apo B, HDL, Cholesterol, ALT'!$M$6</f>
        <v>1.08</v>
      </c>
      <c r="AF6">
        <f>Data[[#This Row],[total_chol (umol/L)]]-Data[[#This Row],[HDL_chol (umol/L)]]</f>
        <v>3.9499999999999993</v>
      </c>
      <c r="AG6">
        <f>Data[[#This Row],[Non_HDL (umol/L)]]-(Data[[#This Row],[TAG (umol/L)]]/2200)</f>
        <v>3.1648181818181813</v>
      </c>
      <c r="AH6">
        <v>1641.2204325000002</v>
      </c>
      <c r="AI6">
        <f>'[28]plasma H2O'!$S$4</f>
        <v>3.1389021086097512E-3</v>
      </c>
      <c r="AJ6">
        <f>[1]DNL_160!$AO$5</f>
        <v>5.1193307099529992</v>
      </c>
      <c r="AK6">
        <f>[1]DNL_160!$AO$56</f>
        <v>30.098922776657034</v>
      </c>
      <c r="AL6">
        <v>37.766405918469772</v>
      </c>
      <c r="AM6">
        <v>12.012227291108903</v>
      </c>
      <c r="AN6">
        <v>60</v>
      </c>
      <c r="AO6" t="s">
        <v>381</v>
      </c>
      <c r="AP6">
        <f t="shared" si="2"/>
        <v>-0.681933533282438</v>
      </c>
    </row>
    <row r="7" spans="1:42" x14ac:dyDescent="0.25">
      <c r="A7">
        <v>41</v>
      </c>
      <c r="B7" t="s">
        <v>89</v>
      </c>
      <c r="C7" t="s">
        <v>90</v>
      </c>
      <c r="D7" t="s">
        <v>386</v>
      </c>
      <c r="F7">
        <v>2124</v>
      </c>
      <c r="G7" t="s">
        <v>228</v>
      </c>
      <c r="H7">
        <v>48</v>
      </c>
      <c r="I7" t="s">
        <v>146</v>
      </c>
      <c r="K7">
        <v>187</v>
      </c>
      <c r="L7">
        <v>88.2</v>
      </c>
      <c r="M7">
        <f t="shared" si="0"/>
        <v>25.22233978666819</v>
      </c>
      <c r="N7">
        <v>96</v>
      </c>
      <c r="O7">
        <v>100</v>
      </c>
      <c r="P7">
        <f>Data[[#This Row],[Waist_Circumference]]/Data[[#This Row],[Hip_circumference]]</f>
        <v>0.91919191919191923</v>
      </c>
      <c r="Q7">
        <f>'[1]Anthro data'!$AP$27</f>
        <v>23989.228831755001</v>
      </c>
      <c r="R7">
        <f>'[1]Anthro data'!$AP$28</f>
        <v>62032.984410883</v>
      </c>
      <c r="S7">
        <f t="shared" si="1"/>
        <v>86022.213242637998</v>
      </c>
      <c r="T7">
        <f>(Data[[#This Row],[Total_fat_g]]/Data[[#This Row],[Total_mass_g]])*100</f>
        <v>30.659727739816727</v>
      </c>
      <c r="U7">
        <f>(Data[[#This Row],[Lean_mass_g]]/Data[[#This Row],[Total_mass_g]])*100</f>
        <v>69.340272260183283</v>
      </c>
      <c r="V7">
        <v>1869.0818650000001</v>
      </c>
      <c r="W7">
        <v>5.2</v>
      </c>
      <c r="X7">
        <f>[1]Glucose!$AP$3</f>
        <v>5.4909999999999997</v>
      </c>
      <c r="Y7">
        <f>'[1]Insulin+HOMA'!$AP$3</f>
        <v>13.5745</v>
      </c>
      <c r="Z7">
        <f>(Data[[#This Row],[Glucose (umol/L)]]*Data[[#This Row],[Insulin (umol/L)]])/22.5</f>
        <v>2.3622066666666663</v>
      </c>
      <c r="AA7">
        <f>[1]NEFA!$AP$3</f>
        <v>381.2</v>
      </c>
      <c r="AB7">
        <f>[1]TAG!$AP$3</f>
        <v>4084.5</v>
      </c>
      <c r="AC7">
        <f>'[1]3-OHB'!$AP$3</f>
        <v>34.6</v>
      </c>
      <c r="AD7">
        <f>'[45]Apo B, HDL, Cholesterol, ALT'!$F$6</f>
        <v>6.26</v>
      </c>
      <c r="AE7">
        <f>'[45]Apo B, HDL, Cholesterol, ALT'!$M$6</f>
        <v>1.04</v>
      </c>
      <c r="AF7">
        <f>Data[[#This Row],[total_chol (umol/L)]]-Data[[#This Row],[HDL_chol (umol/L)]]</f>
        <v>4.46</v>
      </c>
      <c r="AG7">
        <f>Data[[#This Row],[Non_HDL (umol/L)]]-(Data[[#This Row],[TAG (umol/L)]]/2200)</f>
        <v>2.672409090909091</v>
      </c>
      <c r="AH7">
        <v>1298.6619450000001</v>
      </c>
      <c r="AI7">
        <f>'[28]plasma H2O'!$T$4</f>
        <v>2.9471485337249116E-3</v>
      </c>
      <c r="AJ7">
        <f>[1]DNL_160!$AP$5</f>
        <v>19.245080469266266</v>
      </c>
      <c r="AK7">
        <f>[1]DNL_160!$AP$56</f>
        <v>75.377175496344307</v>
      </c>
      <c r="AL7">
        <v>27.965573461228686</v>
      </c>
      <c r="AM7">
        <v>2.6614096162801384</v>
      </c>
      <c r="AN7">
        <v>60</v>
      </c>
      <c r="AO7" t="s">
        <v>381</v>
      </c>
      <c r="AP7">
        <f t="shared" si="2"/>
        <v>-0.90483264646906303</v>
      </c>
    </row>
    <row r="8" spans="1:42" x14ac:dyDescent="0.25">
      <c r="A8">
        <v>42</v>
      </c>
      <c r="B8" t="s">
        <v>355</v>
      </c>
      <c r="C8" t="s">
        <v>91</v>
      </c>
      <c r="D8" t="s">
        <v>386</v>
      </c>
      <c r="F8">
        <v>6943</v>
      </c>
      <c r="G8" t="s">
        <v>228</v>
      </c>
      <c r="H8">
        <v>35</v>
      </c>
      <c r="K8">
        <v>174</v>
      </c>
      <c r="L8">
        <v>101.3</v>
      </c>
      <c r="M8">
        <f t="shared" si="0"/>
        <v>33.458845289998678</v>
      </c>
      <c r="N8">
        <v>113</v>
      </c>
      <c r="O8">
        <v>111</v>
      </c>
      <c r="P8">
        <f>Data[[#This Row],[Waist_Circumference]]/Data[[#This Row],[Hip_circumference]]</f>
        <v>0.8545454545454545</v>
      </c>
      <c r="Q8">
        <f>'[1]Anthro data'!$AQ$27</f>
        <v>33620.860036359998</v>
      </c>
      <c r="R8">
        <f>'[1]Anthro data'!$AQ$28</f>
        <v>58896.373600316001</v>
      </c>
      <c r="S8">
        <f t="shared" si="1"/>
        <v>92517.233636675999</v>
      </c>
      <c r="T8">
        <f>(Data[[#This Row],[Total_fat_g]]/Data[[#This Row],[Total_mass_g]])*100</f>
        <v>47.068198184372378</v>
      </c>
      <c r="U8">
        <f>(Data[[#This Row],[Lean_mass_g]]/Data[[#This Row],[Total_mass_g]])*100</f>
        <v>52.931801815627622</v>
      </c>
      <c r="V8">
        <v>3089.9811580000001</v>
      </c>
      <c r="W8">
        <v>16.600000000000001</v>
      </c>
      <c r="X8">
        <f>[1]Glucose!$AQ$3</f>
        <v>5.6970000000000001</v>
      </c>
      <c r="Y8">
        <f>'[1]Insulin+HOMA'!$AQ$3</f>
        <v>15.769500000000001</v>
      </c>
      <c r="Z8">
        <f>(Data[[#This Row],[Glucose (umol/L)]]*Data[[#This Row],[Insulin (umol/L)]])/22.5</f>
        <v>4.164153555555556</v>
      </c>
      <c r="AA8">
        <f>[1]NEFA!$AQ$3</f>
        <v>469.8</v>
      </c>
      <c r="AB8">
        <f>[1]TAG!$AQ$3</f>
        <v>2772.4</v>
      </c>
      <c r="AC8">
        <f>'[1]3-OHB'!$AQ$3</f>
        <v>66.3</v>
      </c>
      <c r="AD8">
        <f>'[46]Apo B, HDL, Cholesterol, ALT'!$F$6</f>
        <v>5.27</v>
      </c>
      <c r="AE8">
        <f>'[46]Apo B, HDL, Cholesterol, ALT'!$M$6</f>
        <v>0.85</v>
      </c>
      <c r="AF8">
        <f>Data[[#This Row],[total_chol (umol/L)]]-Data[[#This Row],[HDL_chol (umol/L)]]</f>
        <v>4.29</v>
      </c>
      <c r="AG8">
        <f>Data[[#This Row],[Non_HDL (umol/L)]]-(Data[[#This Row],[TAG (umol/L)]]/2200)</f>
        <v>3.5044090909090908</v>
      </c>
      <c r="AH8">
        <v>1549.8949950000003</v>
      </c>
      <c r="AI8">
        <f>'[28]plasma H2O'!$U$4</f>
        <v>1.9887722941756896E-3</v>
      </c>
      <c r="AJ8">
        <f>[1]DNL_160!$AQ$5</f>
        <v>34.296880411390909</v>
      </c>
      <c r="AK8">
        <f>[1]DNL_160!$AQ$56</f>
        <v>203.24158981343135</v>
      </c>
      <c r="AL8">
        <v>57.187158327608721</v>
      </c>
      <c r="AM8">
        <v>18.212883311160649</v>
      </c>
      <c r="AN8">
        <v>60</v>
      </c>
      <c r="AO8" t="s">
        <v>381</v>
      </c>
      <c r="AP8">
        <f t="shared" si="2"/>
        <v>-0.68152144915429624</v>
      </c>
    </row>
    <row r="9" spans="1:42" hidden="1" x14ac:dyDescent="0.25">
      <c r="A9">
        <v>43</v>
      </c>
      <c r="B9" t="s">
        <v>360</v>
      </c>
      <c r="C9" t="s">
        <v>93</v>
      </c>
      <c r="D9" t="s">
        <v>386</v>
      </c>
      <c r="F9">
        <v>6933</v>
      </c>
      <c r="G9" t="s">
        <v>228</v>
      </c>
      <c r="H9">
        <v>31</v>
      </c>
      <c r="K9">
        <v>188</v>
      </c>
      <c r="L9">
        <v>97.7</v>
      </c>
      <c r="M9">
        <f t="shared" si="0"/>
        <v>27.642598460842013</v>
      </c>
      <c r="N9">
        <v>101</v>
      </c>
      <c r="O9">
        <v>102</v>
      </c>
      <c r="P9">
        <f>Data[[#This Row],[Waist_Circumference]]/Data[[#This Row],[Hip_circumference]]</f>
        <v>0.93457943925233644</v>
      </c>
      <c r="Q9">
        <f>'[1]Anthro data'!$AR$27</f>
        <v>31096</v>
      </c>
      <c r="R9">
        <f>'[1]Anthro data'!$AR$28</f>
        <v>62336</v>
      </c>
      <c r="S9">
        <f t="shared" si="1"/>
        <v>93432</v>
      </c>
      <c r="T9">
        <f>(Data[[#This Row],[Total_fat_g]]/Data[[#This Row],[Total_mass_g]])*100</f>
        <v>36.275009557792785</v>
      </c>
      <c r="U9">
        <f>(Data[[#This Row],[Lean_mass_g]]/Data[[#This Row],[Total_mass_g]])*100</f>
        <v>63.724990442207208</v>
      </c>
      <c r="W9">
        <v>27.6</v>
      </c>
      <c r="X9">
        <f>[1]Glucose!$AR$3</f>
        <v>5.6950000000000003</v>
      </c>
      <c r="Y9">
        <f>'[1]Insulin+HOMA'!$AR$3</f>
        <v>16.440999999999999</v>
      </c>
      <c r="Z9">
        <f>(Data[[#This Row],[Glucose (umol/L)]]*Data[[#This Row],[Insulin (umol/L)]])/22.5</f>
        <v>6.096820666666666</v>
      </c>
      <c r="AA9">
        <f>[1]NEFA!$AR$3</f>
        <v>559.6</v>
      </c>
      <c r="AB9">
        <f>[1]TAG!$AR$3</f>
        <v>2068</v>
      </c>
      <c r="AC9">
        <f>'[1]3-OHB'!$AR$3</f>
        <v>39</v>
      </c>
      <c r="AD9">
        <f>'[47]Apo B, HDL, Cholesterol, ALT'!$F$6</f>
        <v>4.88</v>
      </c>
      <c r="AE9">
        <f>'[47]Apo B, HDL, Cholesterol, ALT'!$M$6</f>
        <v>0.99</v>
      </c>
      <c r="AF9">
        <f>Data[[#This Row],[total_chol (umol/L)]]-Data[[#This Row],[HDL_chol (umol/L)]]</f>
        <v>6.04</v>
      </c>
      <c r="AG9">
        <f>Data[[#This Row],[Non_HDL (umol/L)]]-(Data[[#This Row],[TAG (umol/L)]]/2200)</f>
        <v>5.0607272727272727</v>
      </c>
      <c r="AH9">
        <v>1234.4110874999999</v>
      </c>
      <c r="AI9">
        <f>'[28]plasma H2O'!$V$4</f>
        <v>3.2017153059658945E-3</v>
      </c>
      <c r="AJ9">
        <f>[1]DNL_160!$AR$5</f>
        <v>7.535185568459994</v>
      </c>
      <c r="AK9">
        <f>[1]DNL_160!$AR$56</f>
        <v>31.129932442858465</v>
      </c>
      <c r="AL9">
        <v>33.054836812077951</v>
      </c>
      <c r="AM9">
        <v>11.298425883564711</v>
      </c>
      <c r="AN9">
        <v>45</v>
      </c>
      <c r="AO9" t="s">
        <v>411</v>
      </c>
      <c r="AP9">
        <f t="shared" si="2"/>
        <v>-0.658191448719046</v>
      </c>
    </row>
    <row r="10" spans="1:42" hidden="1" x14ac:dyDescent="0.25">
      <c r="A10">
        <v>44</v>
      </c>
      <c r="B10" t="s">
        <v>359</v>
      </c>
      <c r="C10" t="s">
        <v>94</v>
      </c>
      <c r="D10" t="s">
        <v>386</v>
      </c>
      <c r="F10">
        <v>7145</v>
      </c>
      <c r="G10" t="s">
        <v>228</v>
      </c>
      <c r="H10">
        <v>29</v>
      </c>
      <c r="K10">
        <v>179</v>
      </c>
      <c r="L10">
        <v>94.6</v>
      </c>
      <c r="M10">
        <f t="shared" si="0"/>
        <v>29.52467151462189</v>
      </c>
      <c r="N10">
        <v>106</v>
      </c>
      <c r="O10">
        <v>103</v>
      </c>
      <c r="P10">
        <f>Data[[#This Row],[Waist_Circumference]]/Data[[#This Row],[Hip_circumference]]</f>
        <v>0.81553398058252424</v>
      </c>
      <c r="Q10">
        <f>'[1]Anthro data'!$AS$27</f>
        <v>37404.261645819999</v>
      </c>
      <c r="R10">
        <f>'[1]Anthro data'!$AS$28</f>
        <v>57942.709429862</v>
      </c>
      <c r="S10">
        <f t="shared" si="1"/>
        <v>95346.971075681999</v>
      </c>
      <c r="T10">
        <f>(Data[[#This Row],[Total_fat_g]]/Data[[#This Row],[Total_mass_g]])*100</f>
        <v>35.386829794890254</v>
      </c>
      <c r="U10">
        <f>(Data[[#This Row],[Lean_mass_g]]/Data[[#This Row],[Total_mass_g]])*100</f>
        <v>64.613170205109753</v>
      </c>
      <c r="V10">
        <v>2389.4895569999999</v>
      </c>
      <c r="W10">
        <v>1.7</v>
      </c>
      <c r="X10">
        <f>[1]Glucose!$AS$3</f>
        <v>5.6520000000000001</v>
      </c>
      <c r="Y10">
        <f>'[1]Insulin+HOMA'!$AS$3</f>
        <v>12.0875</v>
      </c>
      <c r="Z10">
        <f>(Data[[#This Row],[Glucose (umol/L)]]*Data[[#This Row],[Insulin (umol/L)]])/22.5</f>
        <v>1.8572643555555552</v>
      </c>
      <c r="AA10">
        <f>[1]NEFA!$AS$3</f>
        <v>411.6</v>
      </c>
      <c r="AB10">
        <f>[1]TAG!$AS$3</f>
        <v>1638.1</v>
      </c>
      <c r="AC10">
        <f>'[1]3-OHB'!$AS$3</f>
        <v>104.2</v>
      </c>
      <c r="AD10">
        <f>'[48]Apo B, HDL, Cholesterol, ALT'!$F$6</f>
        <v>5.68</v>
      </c>
      <c r="AE10">
        <f>'[48]Apo B, HDL, Cholesterol, ALT'!$M$6</f>
        <v>0.94</v>
      </c>
      <c r="AF10">
        <f>Data[[#This Row],[total_chol (umol/L)]]-Data[[#This Row],[HDL_chol (umol/L)]]</f>
        <v>4.7699999999999996</v>
      </c>
      <c r="AG10">
        <f>Data[[#This Row],[Non_HDL (umol/L)]]-(Data[[#This Row],[TAG (umol/L)]]/2200)</f>
        <v>4.2712272727272724</v>
      </c>
      <c r="AH10">
        <v>870.66292500000009</v>
      </c>
      <c r="AI10">
        <f>'[28]plasma H2O'!$W$4</f>
        <v>1.9304021209642773E-3</v>
      </c>
      <c r="AJ10">
        <f>[1]DNL_160!$AS$5</f>
        <v>5.7307271711598871</v>
      </c>
      <c r="AK10">
        <f>[1]DNL_160!$AS$56</f>
        <v>22.255794336620468</v>
      </c>
      <c r="AL10">
        <v>67.537701241092989</v>
      </c>
      <c r="AM10">
        <v>28.168760341723846</v>
      </c>
      <c r="AN10">
        <v>45</v>
      </c>
      <c r="AO10" t="s">
        <v>411</v>
      </c>
      <c r="AP10">
        <f t="shared" si="2"/>
        <v>-0.58291798767079295</v>
      </c>
    </row>
    <row r="11" spans="1:42" ht="14.25" customHeight="1" x14ac:dyDescent="0.25">
      <c r="A11">
        <v>45</v>
      </c>
      <c r="B11" t="s">
        <v>358</v>
      </c>
      <c r="C11" t="s">
        <v>95</v>
      </c>
      <c r="D11" t="s">
        <v>386</v>
      </c>
      <c r="F11">
        <v>6870</v>
      </c>
      <c r="G11" t="s">
        <v>228</v>
      </c>
      <c r="H11">
        <v>37</v>
      </c>
      <c r="K11">
        <v>190</v>
      </c>
      <c r="L11">
        <v>96.35</v>
      </c>
      <c r="M11">
        <f t="shared" si="0"/>
        <v>26.689750692520775</v>
      </c>
      <c r="N11">
        <v>94</v>
      </c>
      <c r="O11">
        <v>111</v>
      </c>
      <c r="P11">
        <f>Data[[#This Row],[Waist_Circumference]]/Data[[#This Row],[Hip_circumference]]</f>
        <v>0.95238095238095233</v>
      </c>
      <c r="Q11">
        <f>'[1]Anthro data'!$AT$27</f>
        <v>21220.093620142001</v>
      </c>
      <c r="R11">
        <f>'[1]Anthro data'!$AT$28</f>
        <v>72470.967732364006</v>
      </c>
      <c r="S11">
        <f t="shared" si="1"/>
        <v>93691.061352506003</v>
      </c>
      <c r="T11">
        <f>(Data[[#This Row],[Total_fat_g]]/Data[[#This Row],[Total_mass_g]])*100</f>
        <v>36.411448428071658</v>
      </c>
      <c r="U11">
        <f>(Data[[#This Row],[Lean_mass_g]]/Data[[#This Row],[Total_mass_g]])*100</f>
        <v>63.588551571928342</v>
      </c>
      <c r="V11">
        <v>713.24954779999996</v>
      </c>
      <c r="W11">
        <v>2.7</v>
      </c>
      <c r="X11">
        <f>[1]Glucose!$AT$3</f>
        <v>5.117</v>
      </c>
      <c r="Y11">
        <f>'[1]Insulin+HOMA'!$AT$3</f>
        <v>14.140499999999999</v>
      </c>
      <c r="Z11">
        <f>(Data[[#This Row],[Glucose (umol/L)]]*Data[[#This Row],[Insulin (umol/L)]])/22.5</f>
        <v>3.2546052000000008</v>
      </c>
      <c r="AA11">
        <f>[1]NEFA!$AT$3</f>
        <v>259.39999999999998</v>
      </c>
      <c r="AB11">
        <f>[1]TAG!$AT$3</f>
        <v>2138.7000000000003</v>
      </c>
      <c r="AC11">
        <f>'[1]3-OHB'!$AT$3</f>
        <v>63.2</v>
      </c>
      <c r="AD11">
        <f>'[49]Apo B, HDL, Cholesterol, ALT'!$F$6</f>
        <v>5.31</v>
      </c>
      <c r="AE11">
        <f>'[49]Apo B, HDL, Cholesterol, ALT'!$M$6</f>
        <v>1.03</v>
      </c>
      <c r="AF11">
        <f>Data[[#This Row],[total_chol (umol/L)]]-Data[[#This Row],[HDL_chol (umol/L)]]</f>
        <v>4.93</v>
      </c>
      <c r="AG11">
        <f>Data[[#This Row],[Non_HDL (umol/L)]]-(Data[[#This Row],[TAG (umol/L)]]/2200)</f>
        <v>3.9846363636363633</v>
      </c>
      <c r="AH11">
        <v>1181.0977199999998</v>
      </c>
      <c r="AI11">
        <f>'[28]plasma H2O'!$X$4</f>
        <v>2.169393146972255E-3</v>
      </c>
      <c r="AJ11">
        <f>[1]DNL_160!$AT$5</f>
        <v>11.938570347184735</v>
      </c>
      <c r="AK11">
        <f>[1]DNL_160!$AT$56</f>
        <v>59.346684565316458</v>
      </c>
      <c r="AL11">
        <v>61.219582725535219</v>
      </c>
      <c r="AM11">
        <v>6.5723560012564519</v>
      </c>
      <c r="AN11">
        <v>60</v>
      </c>
      <c r="AO11" t="s">
        <v>381</v>
      </c>
      <c r="AP11">
        <f t="shared" si="2"/>
        <v>-0.89264291410279306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7"/>
  <sheetViews>
    <sheetView workbookViewId="0">
      <selection activeCell="O8" sqref="O8"/>
    </sheetView>
  </sheetViews>
  <sheetFormatPr defaultColWidth="8.85546875" defaultRowHeight="15" x14ac:dyDescent="0.25"/>
  <sheetData>
    <row r="1" spans="1:12" x14ac:dyDescent="0.25">
      <c r="A1" s="41" t="s">
        <v>0</v>
      </c>
      <c r="B1" s="42" t="s">
        <v>1</v>
      </c>
      <c r="C1" s="42" t="s">
        <v>10</v>
      </c>
      <c r="D1" s="42" t="s">
        <v>321</v>
      </c>
      <c r="E1" s="42" t="s">
        <v>2</v>
      </c>
      <c r="F1" s="42" t="s">
        <v>6</v>
      </c>
      <c r="G1" s="44" t="s">
        <v>382</v>
      </c>
      <c r="H1" s="44" t="s">
        <v>384</v>
      </c>
      <c r="I1" s="44" t="s">
        <v>383</v>
      </c>
      <c r="J1" s="44" t="s">
        <v>385</v>
      </c>
    </row>
    <row r="2" spans="1:12" x14ac:dyDescent="0.25">
      <c r="A2" s="40" t="s">
        <v>231</v>
      </c>
      <c r="B2" s="39" t="s">
        <v>232</v>
      </c>
      <c r="C2" s="39">
        <v>2</v>
      </c>
      <c r="D2" s="39">
        <v>1</v>
      </c>
      <c r="E2" s="39" t="s">
        <v>228</v>
      </c>
      <c r="F2" s="39">
        <f>[52]Sheet1!$E$3</f>
        <v>47</v>
      </c>
      <c r="G2" s="71">
        <v>19.217422184087638</v>
      </c>
      <c r="H2" s="72">
        <v>0.95510588254915552</v>
      </c>
      <c r="I2" s="70">
        <v>39.680192189081623</v>
      </c>
      <c r="J2" s="72">
        <v>1.9840096094540813</v>
      </c>
      <c r="K2" s="3">
        <f t="shared" ref="K2:K17" si="0">I2-G2</f>
        <v>20.462770004993985</v>
      </c>
      <c r="L2" s="73">
        <f t="shared" ref="L2:L17" si="1">J2-H2</f>
        <v>1.0289037269049257</v>
      </c>
    </row>
    <row r="3" spans="1:12" x14ac:dyDescent="0.25">
      <c r="A3" s="40" t="s">
        <v>234</v>
      </c>
      <c r="B3" s="39" t="s">
        <v>232</v>
      </c>
      <c r="C3" s="39">
        <v>2</v>
      </c>
      <c r="D3" s="39">
        <v>1</v>
      </c>
      <c r="E3" s="39" t="s">
        <v>228</v>
      </c>
      <c r="F3" s="39">
        <f>[52]Sheet1!$E$4</f>
        <v>51</v>
      </c>
      <c r="G3" s="70">
        <v>33.458451621686692</v>
      </c>
      <c r="H3" s="72">
        <v>1.7465311746520451</v>
      </c>
      <c r="I3" s="70">
        <v>43.836178163957435</v>
      </c>
      <c r="J3" s="72">
        <v>2.2325765538903521</v>
      </c>
      <c r="K3" s="3">
        <f t="shared" si="0"/>
        <v>10.377726542270743</v>
      </c>
      <c r="L3" s="73">
        <f t="shared" si="1"/>
        <v>0.48604537923830704</v>
      </c>
    </row>
    <row r="4" spans="1:12" x14ac:dyDescent="0.25">
      <c r="A4" s="40" t="s">
        <v>235</v>
      </c>
      <c r="B4" s="39" t="s">
        <v>232</v>
      </c>
      <c r="C4" s="39">
        <v>2</v>
      </c>
      <c r="D4" s="39">
        <v>2</v>
      </c>
      <c r="E4" s="39" t="s">
        <v>228</v>
      </c>
      <c r="F4" s="39">
        <f>[52]Sheet1!$E$5</f>
        <v>45</v>
      </c>
      <c r="G4" s="70">
        <v>21.967988113980073</v>
      </c>
      <c r="H4" s="72">
        <v>1.2343812521245403</v>
      </c>
      <c r="I4" s="70">
        <v>32.432041610314002</v>
      </c>
      <c r="J4" s="72">
        <v>1.7578166552790189</v>
      </c>
      <c r="K4" s="3">
        <f t="shared" si="0"/>
        <v>10.464053496333928</v>
      </c>
      <c r="L4" s="73">
        <f t="shared" si="1"/>
        <v>0.52343540315447856</v>
      </c>
    </row>
    <row r="5" spans="1:12" x14ac:dyDescent="0.25">
      <c r="A5" s="40" t="s">
        <v>236</v>
      </c>
      <c r="B5" s="39" t="s">
        <v>232</v>
      </c>
      <c r="C5" s="39">
        <v>2</v>
      </c>
      <c r="D5" s="39">
        <v>2</v>
      </c>
      <c r="E5" s="39" t="s">
        <v>228</v>
      </c>
      <c r="F5" s="39">
        <f>[52]Sheet1!$E$6</f>
        <v>54</v>
      </c>
      <c r="G5" s="70">
        <v>20.812138232902424</v>
      </c>
      <c r="H5" s="72">
        <v>1.2549719354440163</v>
      </c>
      <c r="I5" s="70">
        <v>25.606308828315001</v>
      </c>
      <c r="J5" s="72">
        <v>1.3901665062892214</v>
      </c>
      <c r="K5" s="3">
        <f t="shared" si="0"/>
        <v>4.7941705954125773</v>
      </c>
      <c r="L5" s="73">
        <f t="shared" si="1"/>
        <v>0.13519457084520514</v>
      </c>
    </row>
    <row r="6" spans="1:12" x14ac:dyDescent="0.25">
      <c r="A6" s="40" t="s">
        <v>237</v>
      </c>
      <c r="B6" s="39" t="s">
        <v>232</v>
      </c>
      <c r="C6" s="39">
        <v>2</v>
      </c>
      <c r="D6" s="39">
        <v>1</v>
      </c>
      <c r="E6" s="39" t="s">
        <v>228</v>
      </c>
      <c r="F6" s="39">
        <f>[52]Sheet1!$E$7</f>
        <v>45</v>
      </c>
      <c r="G6" s="70">
        <v>30.440330838334482</v>
      </c>
      <c r="H6" s="72">
        <v>1.636472185868862</v>
      </c>
      <c r="I6" s="70">
        <v>26.944716715967353</v>
      </c>
      <c r="J6" s="72">
        <v>1.4221421482687568</v>
      </c>
      <c r="K6" s="3">
        <f t="shared" si="0"/>
        <v>-3.4956141223671295</v>
      </c>
      <c r="L6" s="73">
        <f t="shared" si="1"/>
        <v>-0.21433003760010516</v>
      </c>
    </row>
    <row r="7" spans="1:12" x14ac:dyDescent="0.25">
      <c r="A7" s="40" t="s">
        <v>238</v>
      </c>
      <c r="B7" s="39" t="s">
        <v>232</v>
      </c>
      <c r="C7" s="39">
        <v>2</v>
      </c>
      <c r="D7" s="39">
        <v>2</v>
      </c>
      <c r="E7" s="39" t="s">
        <v>228</v>
      </c>
      <c r="F7" s="39">
        <v>38</v>
      </c>
      <c r="G7" s="70">
        <v>21.038628746232828</v>
      </c>
      <c r="H7" s="72">
        <v>1.2025680191346684</v>
      </c>
      <c r="I7" s="70">
        <v>15.505886101396364</v>
      </c>
      <c r="J7" s="72">
        <v>0.83204584820092875</v>
      </c>
      <c r="K7" s="3">
        <f t="shared" si="0"/>
        <v>-5.5327426448364641</v>
      </c>
      <c r="L7" s="73">
        <f t="shared" si="1"/>
        <v>-0.37052217093373963</v>
      </c>
    </row>
    <row r="8" spans="1:12" x14ac:dyDescent="0.25">
      <c r="A8" s="40" t="s">
        <v>239</v>
      </c>
      <c r="B8" s="39" t="s">
        <v>232</v>
      </c>
      <c r="C8" s="39">
        <v>2</v>
      </c>
      <c r="D8" s="39">
        <v>2</v>
      </c>
      <c r="E8" s="39" t="s">
        <v>228</v>
      </c>
      <c r="F8" s="39">
        <f>[52]Sheet1!$E$9</f>
        <v>42</v>
      </c>
      <c r="G8" s="70">
        <v>24.218899714112677</v>
      </c>
      <c r="H8" s="72">
        <v>1.4783216385494378</v>
      </c>
      <c r="I8" s="70">
        <v>28.40231017733959</v>
      </c>
      <c r="J8" s="72">
        <v>1.6643753763921001</v>
      </c>
      <c r="K8" s="3">
        <f t="shared" si="0"/>
        <v>4.1834104632269131</v>
      </c>
      <c r="L8" s="73">
        <f t="shared" si="1"/>
        <v>0.18605373784266233</v>
      </c>
    </row>
    <row r="9" spans="1:12" x14ac:dyDescent="0.25">
      <c r="A9" s="40" t="s">
        <v>240</v>
      </c>
      <c r="B9" s="39" t="s">
        <v>232</v>
      </c>
      <c r="C9" s="39">
        <v>2</v>
      </c>
      <c r="D9" s="39">
        <v>1</v>
      </c>
      <c r="E9" s="39" t="s">
        <v>228</v>
      </c>
      <c r="F9" s="39">
        <f>[52]Sheet1!$E$10</f>
        <v>52</v>
      </c>
      <c r="G9" s="70">
        <v>23.440321279090277</v>
      </c>
      <c r="H9" s="72">
        <v>1.1316987113544785</v>
      </c>
      <c r="I9" s="70">
        <v>25.932182542195743</v>
      </c>
      <c r="J9" s="72">
        <v>1.2953125179826774</v>
      </c>
      <c r="K9" s="3">
        <f t="shared" si="0"/>
        <v>2.4918612631054664</v>
      </c>
      <c r="L9" s="73">
        <f t="shared" si="1"/>
        <v>0.16361380662819891</v>
      </c>
    </row>
    <row r="10" spans="1:12" x14ac:dyDescent="0.25">
      <c r="A10" s="40" t="s">
        <v>241</v>
      </c>
      <c r="B10" s="39" t="s">
        <v>232</v>
      </c>
      <c r="C10" s="39">
        <v>2</v>
      </c>
      <c r="D10" s="39">
        <v>2</v>
      </c>
      <c r="E10" s="39" t="s">
        <v>228</v>
      </c>
      <c r="F10" s="39">
        <f>[52]Sheet1!$E$11</f>
        <v>52</v>
      </c>
      <c r="G10" s="70">
        <v>25.157208438597156</v>
      </c>
      <c r="H10" s="72">
        <v>1.4799985724426707</v>
      </c>
      <c r="I10" s="71">
        <v>24.485365749362551</v>
      </c>
      <c r="J10" s="72">
        <v>1.2920927505938617</v>
      </c>
      <c r="K10" s="3">
        <f t="shared" si="0"/>
        <v>-0.67184268923460522</v>
      </c>
      <c r="L10" s="73">
        <f t="shared" si="1"/>
        <v>-0.187905821848809</v>
      </c>
    </row>
    <row r="11" spans="1:12" x14ac:dyDescent="0.25">
      <c r="A11" s="40" t="s">
        <v>242</v>
      </c>
      <c r="B11" s="39" t="s">
        <v>232</v>
      </c>
      <c r="C11" s="39">
        <v>2</v>
      </c>
      <c r="D11" s="39">
        <v>2</v>
      </c>
      <c r="E11" s="39" t="s">
        <v>228</v>
      </c>
      <c r="F11" s="39">
        <f>[52]Sheet1!$E$13</f>
        <v>51</v>
      </c>
      <c r="G11" s="70">
        <v>32.183317781046782</v>
      </c>
      <c r="H11" s="72">
        <v>1.6564753661904781</v>
      </c>
      <c r="I11" s="70">
        <v>19.950006915235068</v>
      </c>
      <c r="J11" s="72">
        <v>0.98732584223498354</v>
      </c>
      <c r="K11" s="3">
        <f t="shared" si="0"/>
        <v>-12.233310865811713</v>
      </c>
      <c r="L11" s="73">
        <f t="shared" si="1"/>
        <v>-0.66914952395549454</v>
      </c>
    </row>
    <row r="12" spans="1:12" x14ac:dyDescent="0.25">
      <c r="A12" s="40" t="s">
        <v>243</v>
      </c>
      <c r="B12" s="39" t="s">
        <v>232</v>
      </c>
      <c r="C12" s="39">
        <v>2</v>
      </c>
      <c r="D12" s="39">
        <v>2</v>
      </c>
      <c r="E12" s="39" t="s">
        <v>228</v>
      </c>
      <c r="F12" s="39">
        <f>[52]Sheet1!$E$14</f>
        <v>47</v>
      </c>
      <c r="G12" s="70">
        <v>19.584621087780832</v>
      </c>
      <c r="H12" s="72">
        <v>1.0849880082630581</v>
      </c>
      <c r="I12" s="70">
        <v>29.118303620112258</v>
      </c>
      <c r="J12" s="72">
        <v>1.4131112746840477</v>
      </c>
      <c r="K12" s="3">
        <f t="shared" si="0"/>
        <v>9.5336825323314258</v>
      </c>
      <c r="L12" s="73">
        <f t="shared" si="1"/>
        <v>0.32812326642098966</v>
      </c>
    </row>
    <row r="13" spans="1:12" x14ac:dyDescent="0.25">
      <c r="A13" s="40" t="s">
        <v>244</v>
      </c>
      <c r="B13" s="39" t="s">
        <v>232</v>
      </c>
      <c r="C13" s="39">
        <v>2</v>
      </c>
      <c r="D13" s="39">
        <v>1</v>
      </c>
      <c r="E13" s="39" t="s">
        <v>228</v>
      </c>
      <c r="F13" s="39">
        <f>[52]Sheet1!$E$15</f>
        <v>50</v>
      </c>
      <c r="G13" s="70">
        <v>27.183083736844573</v>
      </c>
      <c r="H13" s="72">
        <v>1.6557216304112028</v>
      </c>
      <c r="I13" s="70">
        <v>36.520778827828202</v>
      </c>
      <c r="J13" s="72">
        <v>2.3406167150755097</v>
      </c>
      <c r="K13" s="3">
        <f t="shared" si="0"/>
        <v>9.3376950909836296</v>
      </c>
      <c r="L13" s="73">
        <f t="shared" si="1"/>
        <v>0.68489508466430693</v>
      </c>
    </row>
    <row r="14" spans="1:12" x14ac:dyDescent="0.25">
      <c r="A14" s="40" t="s">
        <v>245</v>
      </c>
      <c r="B14" s="39" t="s">
        <v>232</v>
      </c>
      <c r="C14" s="39">
        <v>2</v>
      </c>
      <c r="D14" s="39">
        <v>1</v>
      </c>
      <c r="E14" s="39" t="s">
        <v>228</v>
      </c>
      <c r="F14" s="39">
        <f>[52]Sheet1!$E$16</f>
        <v>52</v>
      </c>
      <c r="G14" s="70">
        <v>20.422277337116533</v>
      </c>
      <c r="H14" s="72">
        <v>1.2330971056150963</v>
      </c>
      <c r="I14" s="70">
        <v>15.231876070260814</v>
      </c>
      <c r="J14" s="72">
        <v>0.85542216010584726</v>
      </c>
      <c r="K14" s="3">
        <f t="shared" si="0"/>
        <v>-5.1904012668557193</v>
      </c>
      <c r="L14" s="73">
        <f t="shared" si="1"/>
        <v>-0.37767494550924907</v>
      </c>
    </row>
    <row r="15" spans="1:12" x14ac:dyDescent="0.25">
      <c r="A15" s="40" t="s">
        <v>246</v>
      </c>
      <c r="B15" s="39" t="s">
        <v>232</v>
      </c>
      <c r="C15" s="39">
        <v>2</v>
      </c>
      <c r="D15" s="39">
        <v>2</v>
      </c>
      <c r="E15" s="39" t="s">
        <v>228</v>
      </c>
      <c r="F15" s="39">
        <f>[52]Sheet1!$E$17</f>
        <v>48</v>
      </c>
      <c r="G15" s="71">
        <v>19.896570716096569</v>
      </c>
      <c r="H15" s="72">
        <v>0.92021639561946633</v>
      </c>
      <c r="I15" s="70">
        <v>42.765305950779137</v>
      </c>
      <c r="J15" s="72">
        <v>2.2049791748221721</v>
      </c>
      <c r="K15" s="3">
        <f t="shared" si="0"/>
        <v>22.868735234682568</v>
      </c>
      <c r="L15" s="73">
        <f t="shared" si="1"/>
        <v>1.2847627792027057</v>
      </c>
    </row>
    <row r="16" spans="1:12" x14ac:dyDescent="0.25">
      <c r="A16" s="40" t="s">
        <v>247</v>
      </c>
      <c r="B16" s="39" t="s">
        <v>232</v>
      </c>
      <c r="C16" s="39">
        <v>2</v>
      </c>
      <c r="D16" s="39">
        <v>1</v>
      </c>
      <c r="E16" s="39" t="s">
        <v>228</v>
      </c>
      <c r="F16" s="39">
        <f>[52]Sheet1!$E$18</f>
        <v>52</v>
      </c>
      <c r="G16" s="70">
        <v>36.850048307202407</v>
      </c>
      <c r="H16" s="72">
        <v>1.9574745660785917</v>
      </c>
      <c r="I16" s="70">
        <v>13.729696346697537</v>
      </c>
      <c r="J16" s="72">
        <v>0.64817896452759072</v>
      </c>
      <c r="K16" s="3">
        <f t="shared" si="0"/>
        <v>-23.12035196050487</v>
      </c>
      <c r="L16" s="73">
        <f t="shared" si="1"/>
        <v>-1.3092956015510011</v>
      </c>
    </row>
    <row r="17" spans="1:12" x14ac:dyDescent="0.25">
      <c r="A17" s="40" t="s">
        <v>248</v>
      </c>
      <c r="B17" s="39" t="s">
        <v>232</v>
      </c>
      <c r="C17" s="39">
        <v>2</v>
      </c>
      <c r="D17" s="39">
        <v>2</v>
      </c>
      <c r="E17" s="39" t="s">
        <v>228</v>
      </c>
      <c r="F17" s="39">
        <v>45</v>
      </c>
      <c r="G17" s="70">
        <v>17.691956315113192</v>
      </c>
      <c r="H17" s="72">
        <v>0.80144562107462758</v>
      </c>
      <c r="I17" s="70">
        <v>23.044277600323564</v>
      </c>
      <c r="J17" s="72">
        <v>1.2040635046169061</v>
      </c>
      <c r="K17" s="3">
        <f t="shared" si="0"/>
        <v>5.3523212852103725</v>
      </c>
      <c r="L17" s="73">
        <f t="shared" si="1"/>
        <v>0.40261788354227857</v>
      </c>
    </row>
  </sheetData>
  <conditionalFormatting sqref="L1:M1 L18:M1048576 K2:L17">
    <cfRule type="cellIs" dxfId="4" priority="2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3"/>
  <sheetViews>
    <sheetView workbookViewId="0">
      <selection activeCell="N32" sqref="N32"/>
    </sheetView>
  </sheetViews>
  <sheetFormatPr defaultColWidth="8.85546875" defaultRowHeight="15" x14ac:dyDescent="0.25"/>
  <cols>
    <col min="8" max="8" width="12.140625" customWidth="1"/>
    <col min="12" max="12" width="18" customWidth="1"/>
    <col min="14" max="14" width="32.140625" customWidth="1"/>
    <col min="16" max="16" width="32.28515625" customWidth="1"/>
    <col min="18" max="18" width="35.7109375" customWidth="1"/>
  </cols>
  <sheetData>
    <row r="1" spans="1:16" x14ac:dyDescent="0.25">
      <c r="A1" s="42" t="s">
        <v>426</v>
      </c>
      <c r="B1" s="42" t="s">
        <v>427</v>
      </c>
      <c r="C1" s="42" t="s">
        <v>1</v>
      </c>
      <c r="D1" s="42" t="s">
        <v>11</v>
      </c>
      <c r="E1" s="42" t="s">
        <v>390</v>
      </c>
      <c r="F1" s="42" t="s">
        <v>2</v>
      </c>
      <c r="G1" s="42" t="s">
        <v>6</v>
      </c>
      <c r="H1" s="42" t="s">
        <v>424</v>
      </c>
      <c r="I1" s="42" t="s">
        <v>425</v>
      </c>
      <c r="J1" s="42" t="s">
        <v>428</v>
      </c>
      <c r="K1" s="42" t="s">
        <v>429</v>
      </c>
      <c r="L1" s="44" t="s">
        <v>430</v>
      </c>
      <c r="M1" s="44" t="s">
        <v>431</v>
      </c>
      <c r="N1" s="44" t="s">
        <v>432</v>
      </c>
      <c r="O1" s="44" t="s">
        <v>433</v>
      </c>
      <c r="P1" s="44" t="s">
        <v>434</v>
      </c>
    </row>
    <row r="2" spans="1:16" x14ac:dyDescent="0.25">
      <c r="A2">
        <v>24</v>
      </c>
      <c r="B2" t="s">
        <v>55</v>
      </c>
      <c r="C2" t="s">
        <v>56</v>
      </c>
      <c r="D2" t="s">
        <v>386</v>
      </c>
      <c r="E2">
        <v>4607</v>
      </c>
      <c r="F2" t="s">
        <v>228</v>
      </c>
      <c r="G2">
        <v>50</v>
      </c>
      <c r="J2">
        <v>21.477653012421836</v>
      </c>
      <c r="K2">
        <v>1.0859101363080479</v>
      </c>
      <c r="N2" s="74">
        <v>8</v>
      </c>
      <c r="O2" s="74">
        <f>'[119]For SPSS'!$AD$2</f>
        <v>7.9</v>
      </c>
      <c r="P2" s="3">
        <f>N2-O2</f>
        <v>9.9999999999999645E-2</v>
      </c>
    </row>
    <row r="3" spans="1:16" x14ac:dyDescent="0.25">
      <c r="A3">
        <v>25</v>
      </c>
      <c r="B3" t="s">
        <v>57</v>
      </c>
      <c r="C3" t="s">
        <v>58</v>
      </c>
      <c r="D3" t="s">
        <v>386</v>
      </c>
      <c r="E3">
        <v>2137</v>
      </c>
      <c r="F3" t="s">
        <v>228</v>
      </c>
      <c r="G3">
        <v>45</v>
      </c>
      <c r="H3">
        <v>20.25070731606122</v>
      </c>
      <c r="I3">
        <v>1.0639721623858565</v>
      </c>
      <c r="J3">
        <v>29.935354871070409</v>
      </c>
      <c r="K3">
        <v>1.54765784683434</v>
      </c>
      <c r="L3">
        <f t="shared" ref="L3:L23" si="0">H3-J3</f>
        <v>-9.6846475550091888</v>
      </c>
      <c r="M3">
        <f t="shared" ref="M3:M23" si="1">I3-K3</f>
        <v>-0.48368568444848359</v>
      </c>
      <c r="N3" s="74">
        <v>1.9</v>
      </c>
      <c r="O3" s="74">
        <f>'[119]For SPSS'!$AD$4</f>
        <v>1.9</v>
      </c>
      <c r="P3" s="3">
        <f t="shared" ref="P3:P23" si="2">N3-O3</f>
        <v>0</v>
      </c>
    </row>
    <row r="4" spans="1:16" x14ac:dyDescent="0.25">
      <c r="A4">
        <v>26</v>
      </c>
      <c r="B4" t="s">
        <v>59</v>
      </c>
      <c r="C4" t="s">
        <v>60</v>
      </c>
      <c r="D4" t="s">
        <v>386</v>
      </c>
      <c r="E4">
        <v>5144</v>
      </c>
      <c r="F4" t="s">
        <v>228</v>
      </c>
      <c r="G4">
        <v>37</v>
      </c>
      <c r="H4">
        <v>45.720575388202725</v>
      </c>
      <c r="I4">
        <v>2.5045731197657455</v>
      </c>
      <c r="J4">
        <v>25.892951523919113</v>
      </c>
      <c r="K4">
        <v>1.4088354924164388</v>
      </c>
      <c r="L4">
        <f t="shared" si="0"/>
        <v>19.827623864283613</v>
      </c>
      <c r="M4">
        <f t="shared" si="1"/>
        <v>1.0957376273493067</v>
      </c>
      <c r="N4" s="74">
        <v>17.399999999999999</v>
      </c>
      <c r="O4" s="74">
        <f>'[119]For SPSS'!$AD$5</f>
        <v>11.3</v>
      </c>
      <c r="P4" s="3">
        <f t="shared" si="2"/>
        <v>6.0999999999999979</v>
      </c>
    </row>
    <row r="5" spans="1:16" x14ac:dyDescent="0.25">
      <c r="A5">
        <v>27</v>
      </c>
      <c r="B5" t="s">
        <v>61</v>
      </c>
      <c r="C5" t="s">
        <v>62</v>
      </c>
      <c r="D5" t="s">
        <v>386</v>
      </c>
      <c r="E5">
        <v>6238</v>
      </c>
      <c r="F5" t="s">
        <v>228</v>
      </c>
      <c r="G5">
        <v>48</v>
      </c>
      <c r="H5">
        <v>27.059676430844554</v>
      </c>
      <c r="I5">
        <v>1.3805846915016893</v>
      </c>
      <c r="J5">
        <v>27.934284081983797</v>
      </c>
      <c r="K5">
        <v>1.5070546262230256</v>
      </c>
      <c r="L5">
        <f t="shared" si="0"/>
        <v>-0.8746076511392431</v>
      </c>
      <c r="M5">
        <f t="shared" si="1"/>
        <v>-0.12646993472133627</v>
      </c>
      <c r="N5" s="74">
        <v>1.7</v>
      </c>
      <c r="O5" s="74">
        <f>'[119]For SPSS'!$AD$6</f>
        <v>1.9</v>
      </c>
      <c r="P5" s="3">
        <f t="shared" si="2"/>
        <v>-0.19999999999999996</v>
      </c>
    </row>
    <row r="6" spans="1:16" x14ac:dyDescent="0.25">
      <c r="A6">
        <v>28</v>
      </c>
      <c r="B6" t="s">
        <v>63</v>
      </c>
      <c r="C6" t="s">
        <v>64</v>
      </c>
      <c r="D6" t="s">
        <v>386</v>
      </c>
      <c r="E6">
        <v>5115</v>
      </c>
      <c r="F6" t="s">
        <v>228</v>
      </c>
      <c r="G6">
        <v>44</v>
      </c>
      <c r="H6">
        <v>24.736674126970019</v>
      </c>
      <c r="I6">
        <v>1.2034391962770914</v>
      </c>
      <c r="N6" s="74">
        <v>1.7</v>
      </c>
      <c r="P6" s="3"/>
    </row>
    <row r="7" spans="1:16" x14ac:dyDescent="0.25">
      <c r="A7">
        <v>29</v>
      </c>
      <c r="B7" t="s">
        <v>65</v>
      </c>
      <c r="C7" t="s">
        <v>66</v>
      </c>
      <c r="D7" t="s">
        <v>386</v>
      </c>
      <c r="E7">
        <v>6344</v>
      </c>
      <c r="F7" t="s">
        <v>228</v>
      </c>
      <c r="G7">
        <v>46</v>
      </c>
      <c r="H7">
        <v>44.754291431720873</v>
      </c>
      <c r="I7">
        <v>2.8660648232874046</v>
      </c>
      <c r="J7">
        <v>45.70171428688316</v>
      </c>
      <c r="K7">
        <v>2.3627786286318595</v>
      </c>
      <c r="L7">
        <f>H7-J8</f>
        <v>6.1277223870201354</v>
      </c>
      <c r="M7">
        <f>I7-K8</f>
        <v>0.73851340030528823</v>
      </c>
      <c r="N7" s="74">
        <v>1.9</v>
      </c>
      <c r="O7" s="74">
        <f>'[119]For SPSS'!$AD$8</f>
        <v>1.8</v>
      </c>
      <c r="P7" s="3">
        <f t="shared" si="2"/>
        <v>9.9999999999999867E-2</v>
      </c>
    </row>
    <row r="8" spans="1:16" x14ac:dyDescent="0.25">
      <c r="A8">
        <v>30</v>
      </c>
      <c r="B8" t="s">
        <v>67</v>
      </c>
      <c r="C8" t="s">
        <v>68</v>
      </c>
      <c r="D8" t="s">
        <v>386</v>
      </c>
      <c r="E8">
        <v>5919</v>
      </c>
      <c r="F8" t="s">
        <v>228</v>
      </c>
      <c r="G8">
        <v>47</v>
      </c>
      <c r="H8">
        <v>20.339859861222127</v>
      </c>
      <c r="I8">
        <v>1.0519775520224084</v>
      </c>
      <c r="J8">
        <v>38.626569044700737</v>
      </c>
      <c r="K8">
        <v>2.1275514229821164</v>
      </c>
      <c r="L8">
        <f>H8-J9</f>
        <v>3.6249327837274201</v>
      </c>
      <c r="M8">
        <f>I8-K9</f>
        <v>1.778683743415943E-3</v>
      </c>
      <c r="N8" s="74">
        <v>4.3</v>
      </c>
      <c r="O8" s="74">
        <f>'[119]For SPSS'!$AD$9</f>
        <v>5.3</v>
      </c>
      <c r="P8" s="3">
        <f t="shared" si="2"/>
        <v>-1</v>
      </c>
    </row>
    <row r="9" spans="1:16" x14ac:dyDescent="0.25">
      <c r="A9">
        <v>31</v>
      </c>
      <c r="B9" t="s">
        <v>69</v>
      </c>
      <c r="C9" t="s">
        <v>70</v>
      </c>
      <c r="D9" t="s">
        <v>386</v>
      </c>
      <c r="E9">
        <v>3118</v>
      </c>
      <c r="F9" t="s">
        <v>228</v>
      </c>
      <c r="G9">
        <v>47</v>
      </c>
      <c r="H9">
        <v>37.967195062669582</v>
      </c>
      <c r="I9">
        <v>2.2013379697335824</v>
      </c>
      <c r="J9">
        <v>16.714927077494707</v>
      </c>
      <c r="K9">
        <v>1.0501988682789924</v>
      </c>
      <c r="L9">
        <f t="shared" ref="L9:L10" si="3">H9-J10</f>
        <v>-8.2539925367825333</v>
      </c>
      <c r="M9">
        <f t="shared" ref="M9:M12" si="4">I9-K10</f>
        <v>-0.27842874497702352</v>
      </c>
      <c r="N9" s="74">
        <v>8.8000000000000007</v>
      </c>
      <c r="O9" s="74">
        <f>'[119]For SPSS'!$AD$10</f>
        <v>7.6</v>
      </c>
      <c r="P9" s="3">
        <f t="shared" si="2"/>
        <v>1.2000000000000011</v>
      </c>
    </row>
    <row r="10" spans="1:16" x14ac:dyDescent="0.25">
      <c r="A10">
        <v>32</v>
      </c>
      <c r="B10" t="s">
        <v>71</v>
      </c>
      <c r="C10" t="s">
        <v>72</v>
      </c>
      <c r="D10" t="s">
        <v>386</v>
      </c>
      <c r="E10">
        <v>4514</v>
      </c>
      <c r="F10" t="s">
        <v>228</v>
      </c>
      <c r="G10">
        <v>45</v>
      </c>
      <c r="H10">
        <v>48.20074451215681</v>
      </c>
      <c r="I10">
        <v>2.4582379701199972</v>
      </c>
      <c r="J10">
        <v>46.221187599452115</v>
      </c>
      <c r="K10">
        <v>2.4797667147106059</v>
      </c>
      <c r="L10">
        <f t="shared" si="3"/>
        <v>10.869091392876634</v>
      </c>
      <c r="M10">
        <f t="shared" si="4"/>
        <v>0.30382826860633827</v>
      </c>
      <c r="N10" s="74">
        <v>6.5</v>
      </c>
      <c r="O10" s="74">
        <f>'[119]For SPSS'!$AD$11</f>
        <v>2.9</v>
      </c>
      <c r="P10" s="3">
        <f t="shared" si="2"/>
        <v>3.6</v>
      </c>
    </row>
    <row r="11" spans="1:16" x14ac:dyDescent="0.25">
      <c r="A11">
        <v>33</v>
      </c>
      <c r="B11" t="s">
        <v>73</v>
      </c>
      <c r="C11" t="s">
        <v>74</v>
      </c>
      <c r="D11" t="s">
        <v>386</v>
      </c>
      <c r="E11">
        <v>4896</v>
      </c>
      <c r="F11" t="s">
        <v>228</v>
      </c>
      <c r="G11">
        <v>47</v>
      </c>
      <c r="H11">
        <v>26.510622534428052</v>
      </c>
      <c r="I11">
        <v>1.485655286829348</v>
      </c>
      <c r="J11">
        <v>37.331653119280176</v>
      </c>
      <c r="K11">
        <v>2.154409701513659</v>
      </c>
      <c r="L11">
        <f t="shared" si="0"/>
        <v>-10.821030584852124</v>
      </c>
      <c r="M11">
        <f t="shared" si="4"/>
        <v>0.22827299002896129</v>
      </c>
      <c r="N11" s="74">
        <v>14.335920339999999</v>
      </c>
      <c r="O11" s="74">
        <f>'[119]For SPSS'!$AD$12</f>
        <v>13.533834586466167</v>
      </c>
      <c r="P11" s="3">
        <f t="shared" si="2"/>
        <v>0.8020857535338326</v>
      </c>
    </row>
    <row r="12" spans="1:16" x14ac:dyDescent="0.25">
      <c r="A12">
        <v>34</v>
      </c>
      <c r="B12" t="s">
        <v>75</v>
      </c>
      <c r="C12" t="s">
        <v>76</v>
      </c>
      <c r="D12" t="s">
        <v>386</v>
      </c>
      <c r="E12">
        <v>5966</v>
      </c>
      <c r="F12" t="s">
        <v>228</v>
      </c>
      <c r="G12">
        <v>44</v>
      </c>
      <c r="H12">
        <v>27.126365299929482</v>
      </c>
      <c r="I12">
        <v>1.5904187975348658</v>
      </c>
      <c r="J12">
        <v>20.945898664007775</v>
      </c>
      <c r="K12">
        <v>1.2573822968003867</v>
      </c>
      <c r="L12">
        <f t="shared" si="0"/>
        <v>6.1804666359217073</v>
      </c>
      <c r="M12">
        <f t="shared" si="4"/>
        <v>-0.13073238690009426</v>
      </c>
      <c r="N12" s="74">
        <v>1.4</v>
      </c>
      <c r="O12" s="74"/>
      <c r="P12" s="3">
        <f t="shared" si="2"/>
        <v>1.4</v>
      </c>
    </row>
    <row r="13" spans="1:16" x14ac:dyDescent="0.25">
      <c r="A13">
        <v>35</v>
      </c>
      <c r="B13" t="s">
        <v>77</v>
      </c>
      <c r="C13" t="s">
        <v>78</v>
      </c>
      <c r="D13" t="s">
        <v>386</v>
      </c>
      <c r="E13">
        <v>5013</v>
      </c>
      <c r="F13" t="s">
        <v>228</v>
      </c>
      <c r="G13">
        <v>33</v>
      </c>
      <c r="H13">
        <v>41.685434922937709</v>
      </c>
      <c r="I13">
        <v>2.2076606335187812</v>
      </c>
      <c r="J13">
        <v>31.896797339417347</v>
      </c>
      <c r="K13">
        <v>1.7211511844349601</v>
      </c>
      <c r="L13">
        <f t="shared" si="0"/>
        <v>9.7886375835203623</v>
      </c>
      <c r="M13">
        <f t="shared" si="1"/>
        <v>0.4865094490838211</v>
      </c>
      <c r="N13" s="74">
        <v>5.3</v>
      </c>
      <c r="O13" s="74">
        <f>'[119]For SPSS'!$AD$13</f>
        <v>3.3</v>
      </c>
      <c r="P13" s="3">
        <f t="shared" si="2"/>
        <v>2</v>
      </c>
    </row>
    <row r="14" spans="1:16" x14ac:dyDescent="0.25">
      <c r="A14">
        <v>36</v>
      </c>
      <c r="B14" t="s">
        <v>79</v>
      </c>
      <c r="C14" t="s">
        <v>80</v>
      </c>
      <c r="D14" t="s">
        <v>386</v>
      </c>
      <c r="E14">
        <v>2228</v>
      </c>
      <c r="F14" t="s">
        <v>228</v>
      </c>
      <c r="G14">
        <v>52</v>
      </c>
      <c r="H14">
        <v>42.05978602036339</v>
      </c>
      <c r="I14">
        <v>2.562702762220741</v>
      </c>
      <c r="J14">
        <v>40.088278340402425</v>
      </c>
      <c r="K14">
        <v>2.3187060192088764</v>
      </c>
      <c r="L14">
        <f t="shared" si="0"/>
        <v>1.9715076799609648</v>
      </c>
      <c r="M14">
        <f t="shared" si="1"/>
        <v>0.24399674301186458</v>
      </c>
      <c r="N14" s="74">
        <v>22.410586169999998</v>
      </c>
      <c r="O14" s="74">
        <f>'[119]For SPSS'!$AD$14</f>
        <v>22.8</v>
      </c>
      <c r="P14" s="3">
        <f t="shared" si="2"/>
        <v>-0.38941383000000229</v>
      </c>
    </row>
    <row r="15" spans="1:16" x14ac:dyDescent="0.25">
      <c r="A15">
        <v>37</v>
      </c>
      <c r="B15" t="s">
        <v>81</v>
      </c>
      <c r="C15" t="s">
        <v>82</v>
      </c>
      <c r="D15" t="s">
        <v>386</v>
      </c>
      <c r="E15">
        <v>1283</v>
      </c>
      <c r="F15" t="s">
        <v>228</v>
      </c>
      <c r="G15">
        <v>45</v>
      </c>
      <c r="H15">
        <v>52.364683755724705</v>
      </c>
      <c r="I15">
        <v>2.8114598708448595</v>
      </c>
      <c r="J15">
        <v>46.990335755845585</v>
      </c>
      <c r="K15">
        <v>2.7080530496093811</v>
      </c>
      <c r="L15">
        <f t="shared" si="0"/>
        <v>5.3743479998791202</v>
      </c>
      <c r="M15">
        <f t="shared" si="1"/>
        <v>0.1034068212354784</v>
      </c>
      <c r="N15" s="74">
        <v>3.3</v>
      </c>
      <c r="O15" s="74">
        <f>'[119]For SPSS'!$AD$15</f>
        <v>1.3</v>
      </c>
      <c r="P15" s="3">
        <f t="shared" si="2"/>
        <v>1.9999999999999998</v>
      </c>
    </row>
    <row r="16" spans="1:16" x14ac:dyDescent="0.25">
      <c r="A16">
        <v>38</v>
      </c>
      <c r="B16" t="s">
        <v>83</v>
      </c>
      <c r="C16" t="s">
        <v>84</v>
      </c>
      <c r="D16" t="s">
        <v>386</v>
      </c>
      <c r="E16">
        <v>6793</v>
      </c>
      <c r="F16" t="s">
        <v>228</v>
      </c>
      <c r="G16">
        <v>27</v>
      </c>
      <c r="H16">
        <v>32.584316984851249</v>
      </c>
      <c r="I16">
        <v>1.5275527802498263</v>
      </c>
      <c r="J16">
        <v>35.792663828664189</v>
      </c>
      <c r="K16">
        <v>2.0920812007854219</v>
      </c>
      <c r="L16">
        <f t="shared" si="0"/>
        <v>-3.2083468438129401</v>
      </c>
      <c r="M16">
        <f t="shared" si="1"/>
        <v>-0.5645284205355956</v>
      </c>
      <c r="N16" s="74">
        <v>2.2000000000000002</v>
      </c>
      <c r="O16" s="74">
        <f>'[119]For SPSS'!$AD$16</f>
        <v>3.3</v>
      </c>
      <c r="P16" s="3">
        <f t="shared" si="2"/>
        <v>-1.0999999999999996</v>
      </c>
    </row>
    <row r="17" spans="1:16" x14ac:dyDescent="0.25">
      <c r="A17">
        <v>39</v>
      </c>
      <c r="B17" t="s">
        <v>85</v>
      </c>
      <c r="C17" t="s">
        <v>86</v>
      </c>
      <c r="D17" t="s">
        <v>386</v>
      </c>
      <c r="E17">
        <v>2735</v>
      </c>
      <c r="F17" t="s">
        <v>228</v>
      </c>
      <c r="G17">
        <v>46</v>
      </c>
      <c r="H17">
        <v>58.40136500883132</v>
      </c>
      <c r="I17">
        <v>3.3084373277502941</v>
      </c>
      <c r="J17">
        <v>42.128389189114209</v>
      </c>
      <c r="K17">
        <v>2.4211185266983932</v>
      </c>
      <c r="L17">
        <f t="shared" si="0"/>
        <v>16.272975819717111</v>
      </c>
      <c r="M17">
        <f t="shared" si="1"/>
        <v>0.88731880105190086</v>
      </c>
      <c r="N17" s="74">
        <v>1.5</v>
      </c>
      <c r="O17" s="74">
        <f>'[119]For SPSS'!$AD$17</f>
        <v>1.5</v>
      </c>
      <c r="P17" s="3">
        <f t="shared" si="2"/>
        <v>0</v>
      </c>
    </row>
    <row r="18" spans="1:16" x14ac:dyDescent="0.25">
      <c r="A18">
        <v>40</v>
      </c>
      <c r="B18" t="s">
        <v>87</v>
      </c>
      <c r="C18" t="s">
        <v>88</v>
      </c>
      <c r="D18" t="s">
        <v>386</v>
      </c>
      <c r="E18">
        <v>2704</v>
      </c>
      <c r="F18" t="s">
        <v>228</v>
      </c>
      <c r="G18">
        <v>45</v>
      </c>
      <c r="H18">
        <v>42.810769593382567</v>
      </c>
      <c r="I18">
        <v>2.315634527306063</v>
      </c>
      <c r="J18">
        <v>28.911203864225786</v>
      </c>
      <c r="K18">
        <v>1.79394019977521</v>
      </c>
      <c r="L18">
        <f t="shared" si="0"/>
        <v>13.89956572915678</v>
      </c>
      <c r="M18">
        <f t="shared" si="1"/>
        <v>0.52169432753085299</v>
      </c>
      <c r="N18" s="74">
        <v>5.8</v>
      </c>
      <c r="O18" s="74">
        <f>'[119]For SPSS'!$AD$18</f>
        <v>2.8</v>
      </c>
      <c r="P18" s="3">
        <f t="shared" si="2"/>
        <v>3</v>
      </c>
    </row>
    <row r="19" spans="1:16" x14ac:dyDescent="0.25">
      <c r="A19">
        <v>41</v>
      </c>
      <c r="B19" t="s">
        <v>89</v>
      </c>
      <c r="C19" t="s">
        <v>90</v>
      </c>
      <c r="D19" t="s">
        <v>386</v>
      </c>
      <c r="E19">
        <v>2124</v>
      </c>
      <c r="F19" t="s">
        <v>228</v>
      </c>
      <c r="G19">
        <v>48</v>
      </c>
      <c r="H19">
        <v>33.338144132366821</v>
      </c>
      <c r="I19">
        <v>1.8305974943082619</v>
      </c>
      <c r="J19">
        <v>32.509878266296724</v>
      </c>
      <c r="K19">
        <v>1.9161322250155288</v>
      </c>
      <c r="L19">
        <f t="shared" si="0"/>
        <v>0.82826586607009745</v>
      </c>
      <c r="M19">
        <f t="shared" si="1"/>
        <v>-8.5534730707266915E-2</v>
      </c>
      <c r="N19" s="74">
        <v>5.2</v>
      </c>
      <c r="O19" s="74">
        <f>'[119]For SPSS'!$AD$19</f>
        <v>6.8</v>
      </c>
      <c r="P19" s="3">
        <f t="shared" si="2"/>
        <v>-1.5999999999999996</v>
      </c>
    </row>
    <row r="20" spans="1:16" x14ac:dyDescent="0.25">
      <c r="A20">
        <v>42</v>
      </c>
      <c r="B20" t="s">
        <v>355</v>
      </c>
      <c r="C20" t="s">
        <v>91</v>
      </c>
      <c r="D20" t="s">
        <v>386</v>
      </c>
      <c r="E20">
        <v>6943</v>
      </c>
      <c r="F20" t="s">
        <v>228</v>
      </c>
      <c r="G20">
        <v>35</v>
      </c>
      <c r="H20">
        <v>65.148735337781744</v>
      </c>
      <c r="I20">
        <v>3.7115234521934264</v>
      </c>
      <c r="J20">
        <v>82.952475339100602</v>
      </c>
      <c r="K20">
        <v>5.0957705600809504</v>
      </c>
      <c r="L20">
        <f t="shared" si="0"/>
        <v>-17.803740001318857</v>
      </c>
      <c r="M20">
        <f t="shared" si="1"/>
        <v>-1.384247107887524</v>
      </c>
      <c r="N20" s="74">
        <v>16.600000000000001</v>
      </c>
      <c r="O20" s="74">
        <f>'[119]For SPSS'!$AD$20</f>
        <v>7.1</v>
      </c>
      <c r="P20" s="3">
        <f t="shared" si="2"/>
        <v>9.5000000000000018</v>
      </c>
    </row>
    <row r="21" spans="1:16" x14ac:dyDescent="0.25">
      <c r="A21">
        <v>43</v>
      </c>
      <c r="B21" t="s">
        <v>360</v>
      </c>
      <c r="C21" t="s">
        <v>93</v>
      </c>
      <c r="D21" t="s">
        <v>386</v>
      </c>
      <c r="E21">
        <v>6933</v>
      </c>
      <c r="F21" t="s">
        <v>228</v>
      </c>
      <c r="G21">
        <v>31</v>
      </c>
      <c r="H21">
        <v>38.000237093694018</v>
      </c>
      <c r="I21">
        <v>2.1641135024858742</v>
      </c>
      <c r="N21" s="74">
        <v>27.6</v>
      </c>
      <c r="P21" s="3"/>
    </row>
    <row r="22" spans="1:16" x14ac:dyDescent="0.25">
      <c r="A22">
        <v>44</v>
      </c>
      <c r="B22" t="s">
        <v>359</v>
      </c>
      <c r="C22" t="s">
        <v>94</v>
      </c>
      <c r="D22" t="s">
        <v>386</v>
      </c>
      <c r="E22">
        <v>7145</v>
      </c>
      <c r="F22" t="s">
        <v>228</v>
      </c>
      <c r="G22">
        <v>29</v>
      </c>
      <c r="H22">
        <v>75.74001494755997</v>
      </c>
      <c r="I22">
        <v>4.2808256448360895</v>
      </c>
      <c r="J22">
        <v>34.187578291370905</v>
      </c>
      <c r="K22">
        <v>2.1794581160748954</v>
      </c>
      <c r="L22">
        <f t="shared" si="0"/>
        <v>41.552436656189066</v>
      </c>
      <c r="M22">
        <f t="shared" si="1"/>
        <v>2.1013675287611941</v>
      </c>
      <c r="N22" s="74">
        <v>1.7</v>
      </c>
      <c r="O22" s="74">
        <f>'[119]For SPSS'!$AD$21</f>
        <v>2.2999999999999998</v>
      </c>
      <c r="P22" s="3">
        <f t="shared" si="2"/>
        <v>-0.59999999999999987</v>
      </c>
    </row>
    <row r="23" spans="1:16" x14ac:dyDescent="0.25">
      <c r="A23">
        <v>45</v>
      </c>
      <c r="B23" t="s">
        <v>358</v>
      </c>
      <c r="C23" t="s">
        <v>95</v>
      </c>
      <c r="D23" t="s">
        <v>386</v>
      </c>
      <c r="E23">
        <v>6870</v>
      </c>
      <c r="F23" t="s">
        <v>228</v>
      </c>
      <c r="G23">
        <v>37</v>
      </c>
      <c r="H23">
        <v>68.518289185393272</v>
      </c>
      <c r="I23">
        <v>3.5060808576165736</v>
      </c>
      <c r="J23">
        <v>20.24976413059267</v>
      </c>
      <c r="K23">
        <v>1.0507602607364537</v>
      </c>
      <c r="L23">
        <f t="shared" si="0"/>
        <v>48.268525054800605</v>
      </c>
      <c r="M23">
        <f t="shared" si="1"/>
        <v>2.4553205968801199</v>
      </c>
      <c r="N23" s="74">
        <v>2.7</v>
      </c>
      <c r="O23" s="74">
        <f>'[119]For SPSS'!$AD$22</f>
        <v>2.5</v>
      </c>
      <c r="P23" s="3">
        <f t="shared" si="2"/>
        <v>0.20000000000000018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O21"/>
  <sheetViews>
    <sheetView topLeftCell="W1" zoomScaleNormal="100" workbookViewId="0">
      <selection activeCell="AL25" sqref="AL25"/>
    </sheetView>
  </sheetViews>
  <sheetFormatPr defaultColWidth="8.85546875" defaultRowHeight="15" x14ac:dyDescent="0.25"/>
  <cols>
    <col min="9" max="9" width="11.28515625" customWidth="1"/>
    <col min="10" max="10" width="16.7109375" customWidth="1"/>
    <col min="11" max="11" width="15.85546875" customWidth="1"/>
    <col min="12" max="12" width="14.42578125" customWidth="1"/>
    <col min="13" max="13" width="16" customWidth="1"/>
    <col min="14" max="14" width="14.7109375" customWidth="1"/>
    <col min="38" max="38" width="16.140625" customWidth="1"/>
    <col min="65" max="65" width="17.5703125" customWidth="1"/>
    <col min="66" max="66" width="33.28515625" customWidth="1"/>
    <col min="67" max="67" width="20.42578125" customWidth="1"/>
  </cols>
  <sheetData>
    <row r="1" spans="1:67" x14ac:dyDescent="0.25">
      <c r="A1" t="s">
        <v>322</v>
      </c>
      <c r="B1" t="s">
        <v>0</v>
      </c>
      <c r="C1" t="s">
        <v>1</v>
      </c>
      <c r="D1" t="s">
        <v>10</v>
      </c>
      <c r="E1" t="s">
        <v>11</v>
      </c>
      <c r="F1" t="s">
        <v>390</v>
      </c>
      <c r="G1" t="s">
        <v>2</v>
      </c>
      <c r="H1" t="s">
        <v>6</v>
      </c>
      <c r="I1" t="s">
        <v>28</v>
      </c>
      <c r="J1" t="s">
        <v>29</v>
      </c>
      <c r="K1" t="s">
        <v>3</v>
      </c>
      <c r="L1" t="s">
        <v>4</v>
      </c>
      <c r="M1" t="s">
        <v>5</v>
      </c>
      <c r="N1" t="s">
        <v>7</v>
      </c>
      <c r="O1" t="s">
        <v>30</v>
      </c>
      <c r="P1" t="s">
        <v>286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8</v>
      </c>
      <c r="W1" t="s">
        <v>9</v>
      </c>
      <c r="X1" t="s">
        <v>423</v>
      </c>
      <c r="Y1" t="s">
        <v>422</v>
      </c>
      <c r="Z1" t="s">
        <v>17</v>
      </c>
      <c r="AA1" t="s">
        <v>421</v>
      </c>
      <c r="AB1" t="s">
        <v>420</v>
      </c>
      <c r="AC1" t="s">
        <v>419</v>
      </c>
      <c r="AD1" t="s">
        <v>418</v>
      </c>
      <c r="AE1" t="s">
        <v>417</v>
      </c>
      <c r="AF1" t="s">
        <v>416</v>
      </c>
      <c r="AG1" t="s">
        <v>21</v>
      </c>
      <c r="AH1" t="s">
        <v>415</v>
      </c>
      <c r="AI1" t="s">
        <v>414</v>
      </c>
      <c r="AJ1" t="s">
        <v>320</v>
      </c>
      <c r="AK1" t="s">
        <v>388</v>
      </c>
      <c r="AL1" t="s">
        <v>319</v>
      </c>
      <c r="AM1" t="s">
        <v>389</v>
      </c>
      <c r="AN1" t="s">
        <v>453</v>
      </c>
      <c r="AO1" t="s">
        <v>454</v>
      </c>
      <c r="AP1" t="s">
        <v>455</v>
      </c>
      <c r="AQ1" t="s">
        <v>456</v>
      </c>
      <c r="AR1" t="s">
        <v>491</v>
      </c>
      <c r="AS1" t="s">
        <v>457</v>
      </c>
      <c r="AT1" t="s">
        <v>458</v>
      </c>
      <c r="AU1" t="s">
        <v>459</v>
      </c>
      <c r="AV1" t="s">
        <v>460</v>
      </c>
      <c r="AW1" t="s">
        <v>461</v>
      </c>
      <c r="AX1" t="s">
        <v>462</v>
      </c>
      <c r="AY1" t="s">
        <v>463</v>
      </c>
      <c r="AZ1" t="s">
        <v>464</v>
      </c>
      <c r="BA1" t="s">
        <v>465</v>
      </c>
      <c r="BB1" t="s">
        <v>466</v>
      </c>
      <c r="BC1" t="s">
        <v>467</v>
      </c>
      <c r="BD1" t="s">
        <v>468</v>
      </c>
      <c r="BE1" t="s">
        <v>469</v>
      </c>
      <c r="BF1" t="s">
        <v>470</v>
      </c>
      <c r="BG1" t="s">
        <v>471</v>
      </c>
      <c r="BH1" t="s">
        <v>472</v>
      </c>
      <c r="BI1" t="s">
        <v>473</v>
      </c>
      <c r="BJ1" t="s">
        <v>474</v>
      </c>
      <c r="BK1" t="s">
        <v>475</v>
      </c>
      <c r="BL1" t="s">
        <v>476</v>
      </c>
      <c r="BM1" t="s">
        <v>477</v>
      </c>
      <c r="BN1" t="s">
        <v>478</v>
      </c>
      <c r="BO1" t="s">
        <v>479</v>
      </c>
    </row>
    <row r="2" spans="1:67" x14ac:dyDescent="0.25">
      <c r="A2">
        <v>202</v>
      </c>
      <c r="B2" t="s">
        <v>249</v>
      </c>
      <c r="C2" t="s">
        <v>250</v>
      </c>
      <c r="D2">
        <v>1</v>
      </c>
      <c r="E2" t="s">
        <v>228</v>
      </c>
      <c r="G2" t="s">
        <v>227</v>
      </c>
      <c r="H2">
        <v>55</v>
      </c>
      <c r="K2">
        <v>164.5</v>
      </c>
      <c r="L2">
        <v>95.7</v>
      </c>
      <c r="M2">
        <v>35.365526926026185</v>
      </c>
      <c r="Q2">
        <v>44213.400000000009</v>
      </c>
      <c r="R2">
        <v>51486.600000000006</v>
      </c>
      <c r="S2">
        <v>95700.000000000015</v>
      </c>
      <c r="T2">
        <v>46.2</v>
      </c>
      <c r="U2">
        <v>53.800000000000004</v>
      </c>
      <c r="W2">
        <v>6.73</v>
      </c>
      <c r="X2">
        <v>5.4029999999999996</v>
      </c>
      <c r="Y2">
        <v>18.9145</v>
      </c>
      <c r="Z2">
        <v>4.5420019333333332</v>
      </c>
      <c r="AA2">
        <v>633.4</v>
      </c>
      <c r="AB2">
        <v>365</v>
      </c>
      <c r="AC2">
        <v>78.099999999999994</v>
      </c>
      <c r="AD2">
        <v>4.0199999999999996</v>
      </c>
      <c r="AE2">
        <v>1.74</v>
      </c>
      <c r="AF2">
        <v>2.2799999999999994</v>
      </c>
      <c r="AG2">
        <v>2.1140909090909084</v>
      </c>
      <c r="AH2">
        <v>98.905829999999995</v>
      </c>
      <c r="AI2">
        <v>3.6464100390296524E-3</v>
      </c>
      <c r="AJ2">
        <v>7.4843289396458808</v>
      </c>
      <c r="AK2">
        <v>7.4024376576869564</v>
      </c>
      <c r="AL2">
        <v>26.026352756870995</v>
      </c>
      <c r="AM2">
        <v>1.4062038394537397</v>
      </c>
      <c r="AN2">
        <v>93.5</v>
      </c>
      <c r="AO2">
        <v>34.552526307037077</v>
      </c>
      <c r="AS2">
        <v>45347.500000000007</v>
      </c>
      <c r="AT2">
        <v>48152.5</v>
      </c>
      <c r="AU2">
        <v>93500</v>
      </c>
      <c r="AV2">
        <v>48.500000000000007</v>
      </c>
      <c r="AW2">
        <v>51.5</v>
      </c>
      <c r="AY2">
        <v>10.16</v>
      </c>
      <c r="AZ2">
        <v>4.9619999999999997</v>
      </c>
      <c r="BA2">
        <v>23.206</v>
      </c>
      <c r="BB2">
        <v>5.1176965333333326</v>
      </c>
      <c r="BC2">
        <v>533.79999999999995</v>
      </c>
      <c r="BD2">
        <v>556.90000000000009</v>
      </c>
      <c r="BE2">
        <v>40.4</v>
      </c>
      <c r="BF2">
        <v>4.97</v>
      </c>
      <c r="BG2">
        <v>2.02</v>
      </c>
      <c r="BH2">
        <v>2.9499999999999997</v>
      </c>
      <c r="BI2">
        <v>2.696863636363636</v>
      </c>
      <c r="BJ2">
        <v>192.74482499999999</v>
      </c>
      <c r="BK2">
        <v>3.7263461272751823E-3</v>
      </c>
      <c r="BL2">
        <v>26.588496680001906</v>
      </c>
      <c r="BM2">
        <v>51.247951396000481</v>
      </c>
      <c r="BN2">
        <v>22.214098379672869</v>
      </c>
      <c r="BO2">
        <v>1.1022635615993677</v>
      </c>
    </row>
    <row r="3" spans="1:67" x14ac:dyDescent="0.25">
      <c r="A3">
        <v>203</v>
      </c>
      <c r="B3" t="s">
        <v>251</v>
      </c>
      <c r="C3" t="s">
        <v>250</v>
      </c>
      <c r="D3">
        <v>1</v>
      </c>
      <c r="E3" t="s">
        <v>228</v>
      </c>
      <c r="G3" t="s">
        <v>227</v>
      </c>
      <c r="H3">
        <v>51</v>
      </c>
      <c r="K3">
        <v>154</v>
      </c>
      <c r="L3">
        <v>82.2</v>
      </c>
      <c r="M3">
        <v>34.660145049755442</v>
      </c>
      <c r="Q3">
        <v>35099.4</v>
      </c>
      <c r="R3">
        <v>47100.6</v>
      </c>
      <c r="S3">
        <v>82200</v>
      </c>
      <c r="T3">
        <v>42.699999999999996</v>
      </c>
      <c r="U3">
        <v>57.3</v>
      </c>
      <c r="W3">
        <v>26.61</v>
      </c>
      <c r="X3">
        <v>6.6740000000000004</v>
      </c>
      <c r="Y3">
        <v>41.305</v>
      </c>
      <c r="Z3">
        <v>12.251980888888889</v>
      </c>
      <c r="AA3">
        <v>805.4</v>
      </c>
      <c r="AB3">
        <v>2069.8000000000002</v>
      </c>
      <c r="AC3">
        <v>215.3</v>
      </c>
      <c r="AD3">
        <v>4.29</v>
      </c>
      <c r="AE3">
        <v>0.9</v>
      </c>
      <c r="AF3">
        <v>3.39</v>
      </c>
      <c r="AG3">
        <v>2.4491818181818181</v>
      </c>
      <c r="AH3">
        <v>1596.9589124999998</v>
      </c>
      <c r="AI3">
        <v>3.4221575817647795E-3</v>
      </c>
      <c r="AJ3">
        <v>3.8944953998748826</v>
      </c>
      <c r="AK3">
        <v>62.193491385204439</v>
      </c>
      <c r="AL3">
        <v>27.322832693623329</v>
      </c>
      <c r="AM3">
        <v>1.8235258539724211</v>
      </c>
      <c r="AN3">
        <v>80.7</v>
      </c>
      <c r="AO3">
        <v>34.02766065103728</v>
      </c>
      <c r="AS3">
        <v>35588.700000000004</v>
      </c>
      <c r="AT3">
        <v>45111.3</v>
      </c>
      <c r="AU3">
        <v>80700</v>
      </c>
      <c r="AV3">
        <v>44.100000000000009</v>
      </c>
      <c r="AW3">
        <v>55.900000000000006</v>
      </c>
      <c r="AY3">
        <v>36.5</v>
      </c>
      <c r="AZ3">
        <v>6.2409999999999997</v>
      </c>
      <c r="BA3">
        <v>29.346499999999999</v>
      </c>
      <c r="BB3">
        <v>8.1400669555555556</v>
      </c>
      <c r="BC3">
        <v>622.1</v>
      </c>
      <c r="BD3">
        <v>1434.5</v>
      </c>
      <c r="BE3">
        <v>76.7</v>
      </c>
      <c r="BF3">
        <v>4.13</v>
      </c>
      <c r="BG3">
        <v>1.1200000000000001</v>
      </c>
      <c r="BH3">
        <v>3.01</v>
      </c>
      <c r="BI3">
        <v>2.357954545454545</v>
      </c>
      <c r="BJ3">
        <v>778.70916000000011</v>
      </c>
      <c r="BK3">
        <v>3.4296784772533334E-3</v>
      </c>
      <c r="BL3">
        <v>12.78233544478598</v>
      </c>
      <c r="BM3">
        <v>99.537216970475185</v>
      </c>
      <c r="BN3">
        <v>37.02439825292975</v>
      </c>
      <c r="BO3">
        <v>2.3106926949653457</v>
      </c>
    </row>
    <row r="4" spans="1:67" x14ac:dyDescent="0.25">
      <c r="A4">
        <v>204</v>
      </c>
      <c r="B4" t="s">
        <v>252</v>
      </c>
      <c r="C4" t="s">
        <v>250</v>
      </c>
      <c r="D4">
        <v>1</v>
      </c>
      <c r="E4" t="s">
        <v>228</v>
      </c>
      <c r="G4" t="s">
        <v>228</v>
      </c>
      <c r="H4">
        <v>50</v>
      </c>
      <c r="K4">
        <v>182.5</v>
      </c>
      <c r="L4">
        <v>111.3</v>
      </c>
      <c r="M4">
        <v>33.417151435541378</v>
      </c>
      <c r="Q4">
        <v>39066.299999999996</v>
      </c>
      <c r="R4">
        <v>72233.7</v>
      </c>
      <c r="S4">
        <v>111300</v>
      </c>
      <c r="T4">
        <v>35.099999999999994</v>
      </c>
      <c r="U4">
        <v>64.900000000000006</v>
      </c>
      <c r="W4">
        <v>28.41</v>
      </c>
      <c r="X4">
        <v>5.8280000000000003</v>
      </c>
      <c r="Y4">
        <v>23.057000000000002</v>
      </c>
      <c r="Z4">
        <v>5.9722753777777786</v>
      </c>
      <c r="AA4">
        <v>697</v>
      </c>
      <c r="AB4">
        <v>2342.5</v>
      </c>
      <c r="AC4">
        <v>105.6</v>
      </c>
      <c r="AD4">
        <v>5.45</v>
      </c>
      <c r="AE4">
        <v>0.85</v>
      </c>
      <c r="AF4">
        <v>4.6000000000000005</v>
      </c>
      <c r="AG4">
        <v>3.5352272727272736</v>
      </c>
      <c r="AH4">
        <v>1297.9474781250003</v>
      </c>
      <c r="AI4">
        <v>3.3419930331895224E-3</v>
      </c>
      <c r="AJ4">
        <v>9.894469660976414</v>
      </c>
      <c r="AK4">
        <v>128.42501943848663</v>
      </c>
      <c r="AL4">
        <v>34.483981786925398</v>
      </c>
      <c r="AM4">
        <v>2.0097264585420125</v>
      </c>
      <c r="AN4">
        <v>105.9</v>
      </c>
      <c r="AO4">
        <v>31.795834115218618</v>
      </c>
      <c r="AS4">
        <v>35582.400000000009</v>
      </c>
      <c r="AT4">
        <v>70317.600000000006</v>
      </c>
      <c r="AU4">
        <v>105900.00000000001</v>
      </c>
      <c r="AV4">
        <v>33.6</v>
      </c>
      <c r="AW4">
        <v>66.399999999999991</v>
      </c>
      <c r="AY4">
        <v>24.83</v>
      </c>
      <c r="AZ4">
        <v>5.6219999999999999</v>
      </c>
      <c r="BA4">
        <v>20.452500000000001</v>
      </c>
      <c r="BB4">
        <v>5.110398</v>
      </c>
      <c r="BC4">
        <v>633.70000000000005</v>
      </c>
      <c r="BD4">
        <v>1971.3</v>
      </c>
      <c r="BE4">
        <v>102.5</v>
      </c>
      <c r="BF4">
        <v>4.9800000000000004</v>
      </c>
      <c r="BG4">
        <v>0.94</v>
      </c>
      <c r="BH4">
        <v>4.0400000000000009</v>
      </c>
      <c r="BI4">
        <v>3.1439545454545463</v>
      </c>
      <c r="BJ4">
        <v>1320.771</v>
      </c>
      <c r="BK4">
        <v>3.3476322750603344E-3</v>
      </c>
      <c r="BL4">
        <v>8.0952292240996133</v>
      </c>
      <c r="BM4">
        <v>106.91943997543271</v>
      </c>
      <c r="BN4">
        <v>36.70695227731801</v>
      </c>
      <c r="BO4">
        <v>2.0636648570308185</v>
      </c>
    </row>
    <row r="5" spans="1:67" x14ac:dyDescent="0.25">
      <c r="A5">
        <v>205</v>
      </c>
      <c r="B5" t="s">
        <v>253</v>
      </c>
      <c r="C5" t="s">
        <v>250</v>
      </c>
      <c r="D5">
        <v>1</v>
      </c>
      <c r="E5" t="s">
        <v>228</v>
      </c>
      <c r="G5" t="s">
        <v>228</v>
      </c>
      <c r="H5">
        <v>36</v>
      </c>
      <c r="K5">
        <v>176</v>
      </c>
      <c r="L5">
        <v>96.7</v>
      </c>
      <c r="M5">
        <v>31.217716942148762</v>
      </c>
      <c r="Q5">
        <v>27076</v>
      </c>
      <c r="R5">
        <v>69624.000000000015</v>
      </c>
      <c r="S5">
        <v>96700.000000000015</v>
      </c>
      <c r="T5">
        <v>27.999999999999996</v>
      </c>
      <c r="U5">
        <v>72.000000000000014</v>
      </c>
      <c r="W5">
        <v>2.31</v>
      </c>
      <c r="X5">
        <v>5.1849999999999996</v>
      </c>
      <c r="Y5">
        <v>16.584499999999998</v>
      </c>
      <c r="Z5">
        <v>3.8218058888888886</v>
      </c>
      <c r="AA5">
        <v>639.5</v>
      </c>
      <c r="AB5">
        <v>1255.5999999999999</v>
      </c>
      <c r="AC5">
        <v>43.2</v>
      </c>
      <c r="AD5">
        <v>3.98</v>
      </c>
      <c r="AE5">
        <v>0.98</v>
      </c>
      <c r="AF5">
        <v>3</v>
      </c>
      <c r="AG5">
        <v>2.4292727272727275</v>
      </c>
      <c r="AH5">
        <v>716.1268275000001</v>
      </c>
      <c r="AI5">
        <v>2.6187527873265323E-3</v>
      </c>
      <c r="AJ5">
        <v>6.1899547933444108</v>
      </c>
      <c r="AK5">
        <v>44.327926885261512</v>
      </c>
      <c r="AL5">
        <v>25.230018513577413</v>
      </c>
      <c r="AM5">
        <v>1.3081764599289887</v>
      </c>
      <c r="AN5">
        <v>94.2</v>
      </c>
      <c r="AO5">
        <v>30.410640495867771</v>
      </c>
      <c r="AS5">
        <v>24774.600000000002</v>
      </c>
      <c r="AT5">
        <v>69425.400000000009</v>
      </c>
      <c r="AU5">
        <v>94200.000000000015</v>
      </c>
      <c r="AV5">
        <v>26.299999999999997</v>
      </c>
      <c r="AW5">
        <v>73.7</v>
      </c>
      <c r="AY5">
        <v>3.09</v>
      </c>
      <c r="AZ5">
        <v>5.4349999999999996</v>
      </c>
      <c r="BA5">
        <v>14.939500000000001</v>
      </c>
      <c r="BB5">
        <v>3.6087192222222217</v>
      </c>
      <c r="BC5">
        <v>806.5</v>
      </c>
      <c r="BD5">
        <v>805.1</v>
      </c>
      <c r="BE5">
        <v>114.2</v>
      </c>
      <c r="BF5">
        <v>4</v>
      </c>
      <c r="BG5">
        <v>1.1000000000000001</v>
      </c>
      <c r="BH5">
        <v>2.9</v>
      </c>
      <c r="BI5">
        <v>2.5340454545454545</v>
      </c>
      <c r="BJ5">
        <v>314.8618350000001</v>
      </c>
      <c r="BK5">
        <v>2.7359574021582115E-3</v>
      </c>
      <c r="BL5">
        <v>5.3791516935311323</v>
      </c>
      <c r="BM5">
        <v>16.936895729685705</v>
      </c>
      <c r="BN5">
        <v>41.16770139491107</v>
      </c>
      <c r="BO5">
        <v>2.2374645708134167</v>
      </c>
    </row>
    <row r="6" spans="1:67" x14ac:dyDescent="0.25">
      <c r="A6">
        <v>206</v>
      </c>
      <c r="B6" t="s">
        <v>254</v>
      </c>
      <c r="C6" t="s">
        <v>250</v>
      </c>
      <c r="D6">
        <v>1</v>
      </c>
      <c r="E6" t="s">
        <v>228</v>
      </c>
      <c r="G6" t="s">
        <v>227</v>
      </c>
      <c r="H6">
        <v>52</v>
      </c>
      <c r="K6">
        <v>164.5</v>
      </c>
      <c r="L6">
        <v>69</v>
      </c>
      <c r="M6">
        <v>25.49865577738565</v>
      </c>
      <c r="Q6">
        <v>28290</v>
      </c>
      <c r="R6">
        <v>40709.999999999993</v>
      </c>
      <c r="S6">
        <v>69000</v>
      </c>
      <c r="T6">
        <v>41</v>
      </c>
      <c r="U6">
        <v>58.999999999999986</v>
      </c>
      <c r="W6">
        <v>2.91</v>
      </c>
      <c r="X6">
        <v>5.742</v>
      </c>
      <c r="Y6">
        <v>14.666499999999999</v>
      </c>
      <c r="Z6">
        <v>3.7428907999999996</v>
      </c>
      <c r="AA6">
        <v>426.1</v>
      </c>
      <c r="AB6">
        <v>734.59999999999991</v>
      </c>
      <c r="AC6">
        <v>139.4</v>
      </c>
      <c r="AD6">
        <v>4.2300000000000004</v>
      </c>
      <c r="AE6">
        <v>1.34</v>
      </c>
      <c r="AF6">
        <v>2.8900000000000006</v>
      </c>
      <c r="AG6">
        <v>2.5560909090909099</v>
      </c>
      <c r="AH6">
        <v>411.84099375</v>
      </c>
      <c r="AI6">
        <v>3.9428634426274672E-3</v>
      </c>
      <c r="AJ6">
        <v>3.3927485775381636</v>
      </c>
      <c r="AK6">
        <v>13.972729457172161</v>
      </c>
      <c r="AL6">
        <v>24.713457119045458</v>
      </c>
      <c r="AM6">
        <v>1.4190467077755902</v>
      </c>
      <c r="AN6">
        <v>65.900000000000006</v>
      </c>
      <c r="AO6">
        <v>24.353063996082817</v>
      </c>
      <c r="AS6">
        <v>27348.5</v>
      </c>
      <c r="AT6">
        <v>38551.500000000007</v>
      </c>
      <c r="AU6">
        <v>65900</v>
      </c>
      <c r="AV6">
        <v>41.5</v>
      </c>
      <c r="AW6">
        <v>58.500000000000007</v>
      </c>
      <c r="AY6">
        <v>2.76</v>
      </c>
      <c r="AZ6">
        <v>5.4939999999999998</v>
      </c>
      <c r="BA6">
        <v>13.214500000000001</v>
      </c>
      <c r="BB6">
        <v>3.2266872444444448</v>
      </c>
      <c r="BC6">
        <v>486.7</v>
      </c>
      <c r="BD6">
        <v>565.19999999999993</v>
      </c>
      <c r="BE6">
        <v>103.8</v>
      </c>
      <c r="BF6">
        <v>3.58</v>
      </c>
      <c r="BG6">
        <v>1.26</v>
      </c>
      <c r="BH6">
        <v>2.3200000000000003</v>
      </c>
      <c r="BI6">
        <v>2.0630909090909095</v>
      </c>
      <c r="BJ6">
        <v>156.35673</v>
      </c>
      <c r="BK6">
        <v>2.224980588193896E-3</v>
      </c>
      <c r="BL6">
        <v>7.5683617242468513</v>
      </c>
      <c r="BM6">
        <v>11.833642906603993</v>
      </c>
      <c r="BN6">
        <v>48.194221288724151</v>
      </c>
      <c r="BO6">
        <v>2.6477905176025045</v>
      </c>
    </row>
    <row r="7" spans="1:67" x14ac:dyDescent="0.25">
      <c r="A7">
        <v>207</v>
      </c>
      <c r="B7" t="s">
        <v>255</v>
      </c>
      <c r="C7" t="s">
        <v>250</v>
      </c>
      <c r="D7">
        <v>1</v>
      </c>
      <c r="E7" t="s">
        <v>228</v>
      </c>
      <c r="G7" t="s">
        <v>228</v>
      </c>
      <c r="H7">
        <v>36</v>
      </c>
      <c r="K7">
        <v>172</v>
      </c>
      <c r="L7">
        <v>125.1</v>
      </c>
      <c r="M7">
        <v>42.286371011357495</v>
      </c>
      <c r="Q7">
        <v>44035.200000000004</v>
      </c>
      <c r="R7">
        <v>81064.799999999988</v>
      </c>
      <c r="S7">
        <v>125100</v>
      </c>
      <c r="T7">
        <v>35.200000000000003</v>
      </c>
      <c r="U7">
        <v>64.8</v>
      </c>
      <c r="W7">
        <v>36.4</v>
      </c>
      <c r="X7">
        <v>8.4469999999999992</v>
      </c>
      <c r="Y7">
        <v>62.718999999999994</v>
      </c>
      <c r="Z7">
        <v>23.546106355555555</v>
      </c>
      <c r="AA7">
        <v>632.4</v>
      </c>
      <c r="AB7">
        <v>1047.9000000000001</v>
      </c>
      <c r="AC7">
        <v>79.400000000000006</v>
      </c>
      <c r="AD7">
        <v>4.25</v>
      </c>
      <c r="AE7">
        <v>1.18</v>
      </c>
      <c r="AF7">
        <v>3.0700000000000003</v>
      </c>
      <c r="AG7">
        <v>2.5936818181818184</v>
      </c>
      <c r="AH7">
        <v>599.91045374999999</v>
      </c>
      <c r="AI7">
        <v>4.1892222106076401E-3</v>
      </c>
      <c r="AJ7">
        <v>3.430180332615544</v>
      </c>
      <c r="AK7">
        <v>20.578010397837168</v>
      </c>
      <c r="AL7">
        <v>15.211630511138255</v>
      </c>
      <c r="AM7">
        <v>1.2849264292758482</v>
      </c>
      <c r="AN7">
        <v>124.5</v>
      </c>
      <c r="AO7">
        <v>42.083558680367773</v>
      </c>
      <c r="AS7">
        <v>44446.500000000007</v>
      </c>
      <c r="AT7">
        <v>80053.5</v>
      </c>
      <c r="AU7">
        <v>124500</v>
      </c>
      <c r="AV7">
        <v>35.700000000000003</v>
      </c>
      <c r="AW7">
        <v>64.3</v>
      </c>
      <c r="AY7">
        <v>38.369999999999997</v>
      </c>
      <c r="AZ7">
        <v>6.7279999999999998</v>
      </c>
      <c r="BA7">
        <v>41.500500000000002</v>
      </c>
      <c r="BB7">
        <v>12.409571733333335</v>
      </c>
      <c r="BC7">
        <v>672.5</v>
      </c>
      <c r="BD7">
        <v>990.8</v>
      </c>
      <c r="BE7">
        <v>113.5</v>
      </c>
      <c r="BF7">
        <v>4.18</v>
      </c>
      <c r="BG7">
        <v>1.17</v>
      </c>
      <c r="BH7">
        <v>3.01</v>
      </c>
      <c r="BI7">
        <v>2.5596363636363635</v>
      </c>
      <c r="BJ7">
        <v>206.16755250000003</v>
      </c>
      <c r="BK7">
        <v>4.3588049512871853E-3</v>
      </c>
      <c r="BL7">
        <v>6.0430833255744156</v>
      </c>
      <c r="BM7">
        <v>12.458876987872381</v>
      </c>
      <c r="BN7">
        <v>20.232268972960942</v>
      </c>
      <c r="BO7">
        <v>1.3612270565008122</v>
      </c>
    </row>
    <row r="8" spans="1:67" x14ac:dyDescent="0.25">
      <c r="A8">
        <v>208</v>
      </c>
      <c r="B8" t="s">
        <v>256</v>
      </c>
      <c r="C8" t="s">
        <v>250</v>
      </c>
      <c r="D8">
        <v>1</v>
      </c>
      <c r="E8" t="s">
        <v>228</v>
      </c>
      <c r="G8" t="s">
        <v>227</v>
      </c>
      <c r="H8">
        <v>63</v>
      </c>
      <c r="K8">
        <v>152</v>
      </c>
      <c r="L8">
        <v>77.06</v>
      </c>
      <c r="M8">
        <v>33.35353185595568</v>
      </c>
      <c r="Q8">
        <v>34368.76</v>
      </c>
      <c r="R8">
        <v>42691.24</v>
      </c>
      <c r="S8">
        <v>77060</v>
      </c>
      <c r="T8">
        <v>44.6</v>
      </c>
      <c r="U8">
        <v>55.399999999999991</v>
      </c>
      <c r="W8">
        <v>15.34</v>
      </c>
      <c r="X8">
        <v>11.159000000000001</v>
      </c>
      <c r="Y8">
        <v>21.965</v>
      </c>
      <c r="Z8">
        <v>10.893663777777778</v>
      </c>
      <c r="AA8">
        <v>612.6</v>
      </c>
      <c r="AB8">
        <v>1270.3</v>
      </c>
      <c r="AC8">
        <v>55.1</v>
      </c>
      <c r="AD8">
        <v>3.54</v>
      </c>
      <c r="AE8">
        <v>1.24</v>
      </c>
      <c r="AF8">
        <v>2.2999999999999998</v>
      </c>
      <c r="AG8">
        <v>1.7225909090909091</v>
      </c>
      <c r="AH8">
        <v>748.67915249999999</v>
      </c>
      <c r="AI8">
        <v>4.1022121631510734E-3</v>
      </c>
      <c r="AJ8">
        <v>2.8778302963615112</v>
      </c>
      <c r="AK8">
        <v>21.545715473187602</v>
      </c>
      <c r="AL8">
        <v>21.825290896466036</v>
      </c>
      <c r="AM8">
        <v>2.4354842111366453</v>
      </c>
      <c r="AN8">
        <v>78.7</v>
      </c>
      <c r="AO8">
        <v>34.06336565096953</v>
      </c>
      <c r="AS8">
        <v>31086.5</v>
      </c>
      <c r="AT8">
        <v>47613.5</v>
      </c>
      <c r="AU8">
        <v>78700</v>
      </c>
      <c r="AV8">
        <v>39.5</v>
      </c>
      <c r="AW8">
        <v>60.5</v>
      </c>
      <c r="AY8">
        <v>17.649999999999999</v>
      </c>
      <c r="AZ8">
        <v>10.987</v>
      </c>
      <c r="BA8">
        <v>22.029499999999999</v>
      </c>
      <c r="BB8">
        <v>10.757249622222222</v>
      </c>
      <c r="BC8">
        <v>754.6</v>
      </c>
      <c r="BD8">
        <v>1066.9000000000001</v>
      </c>
      <c r="BE8">
        <v>67.900000000000006</v>
      </c>
      <c r="BF8">
        <v>3.621</v>
      </c>
      <c r="BG8">
        <v>1.25</v>
      </c>
      <c r="BH8">
        <v>2.371</v>
      </c>
      <c r="BI8">
        <v>1.8860454545454546</v>
      </c>
      <c r="BJ8">
        <v>356.79521249999999</v>
      </c>
      <c r="BK8">
        <v>4.3797541228440687E-3</v>
      </c>
      <c r="BL8">
        <v>6.9301238724860941</v>
      </c>
      <c r="BM8">
        <v>24.726350197349987</v>
      </c>
      <c r="BN8">
        <v>13.908288329793134</v>
      </c>
      <c r="BO8">
        <v>1.5281036387943716</v>
      </c>
    </row>
    <row r="9" spans="1:67" x14ac:dyDescent="0.25">
      <c r="A9">
        <v>209</v>
      </c>
      <c r="B9" t="s">
        <v>257</v>
      </c>
      <c r="C9" t="s">
        <v>250</v>
      </c>
      <c r="D9">
        <v>1</v>
      </c>
      <c r="E9" t="s">
        <v>228</v>
      </c>
      <c r="G9" t="s">
        <v>227</v>
      </c>
      <c r="H9">
        <v>48</v>
      </c>
      <c r="K9">
        <v>152.5</v>
      </c>
      <c r="L9">
        <v>80.599999999999994</v>
      </c>
      <c r="M9">
        <v>34.657350174684225</v>
      </c>
      <c r="Q9">
        <v>30547.399999999998</v>
      </c>
      <c r="R9">
        <v>50052.6</v>
      </c>
      <c r="S9">
        <v>80600</v>
      </c>
      <c r="T9">
        <v>37.899999999999991</v>
      </c>
      <c r="U9">
        <v>62.1</v>
      </c>
      <c r="W9">
        <v>7.87</v>
      </c>
      <c r="X9">
        <v>5.9509999999999996</v>
      </c>
      <c r="Y9">
        <v>17.602499999999999</v>
      </c>
      <c r="Z9">
        <v>4.6556656666666658</v>
      </c>
      <c r="AA9">
        <v>1042.7</v>
      </c>
      <c r="AB9">
        <v>2530.5</v>
      </c>
      <c r="AC9">
        <v>119.3</v>
      </c>
      <c r="AD9">
        <v>6.07</v>
      </c>
      <c r="AE9">
        <v>1</v>
      </c>
      <c r="AF9">
        <v>5.07</v>
      </c>
      <c r="AG9">
        <v>3.9197727272727274</v>
      </c>
      <c r="AH9">
        <v>1715.171955</v>
      </c>
      <c r="AI9">
        <v>4.5606431345139309E-3</v>
      </c>
      <c r="AJ9">
        <v>8.3944771776661451</v>
      </c>
      <c r="AK9">
        <v>143.97971832020522</v>
      </c>
      <c r="AL9">
        <v>14.578926059947294</v>
      </c>
      <c r="AM9">
        <v>0.86759188982746349</v>
      </c>
      <c r="AN9">
        <v>74.2</v>
      </c>
      <c r="AO9">
        <v>31.905401773716751</v>
      </c>
      <c r="AS9">
        <v>26415.200000000001</v>
      </c>
      <c r="AT9">
        <v>47784.800000000003</v>
      </c>
      <c r="AU9">
        <v>74200</v>
      </c>
      <c r="AV9">
        <v>35.6</v>
      </c>
      <c r="AW9">
        <v>64.400000000000006</v>
      </c>
      <c r="AY9">
        <v>5.94</v>
      </c>
      <c r="AZ9">
        <v>5.4009999999999998</v>
      </c>
      <c r="BA9">
        <v>18.749000000000002</v>
      </c>
      <c r="BB9">
        <v>4.5005932888888891</v>
      </c>
      <c r="BC9">
        <v>810.4</v>
      </c>
      <c r="BD9">
        <v>2009.6000000000001</v>
      </c>
      <c r="BE9">
        <v>174.3</v>
      </c>
      <c r="BF9">
        <v>5.08</v>
      </c>
      <c r="BG9">
        <v>0.89</v>
      </c>
      <c r="BH9">
        <v>4.1900000000000004</v>
      </c>
      <c r="BI9">
        <v>3.2765454545454551</v>
      </c>
      <c r="BJ9">
        <v>1433.3728799999997</v>
      </c>
      <c r="BK9">
        <v>4.5915508665043472E-3</v>
      </c>
      <c r="BL9">
        <v>3.8975860509624973</v>
      </c>
      <c r="BM9">
        <v>55.866941429159404</v>
      </c>
      <c r="BN9">
        <v>30.900074852703955</v>
      </c>
      <c r="BO9">
        <v>1.6689130427945407</v>
      </c>
    </row>
    <row r="10" spans="1:67" x14ac:dyDescent="0.25">
      <c r="A10">
        <v>210</v>
      </c>
      <c r="B10" t="s">
        <v>303</v>
      </c>
      <c r="C10" t="s">
        <v>250</v>
      </c>
      <c r="D10">
        <v>1</v>
      </c>
      <c r="E10" t="s">
        <v>228</v>
      </c>
      <c r="G10" t="s">
        <v>228</v>
      </c>
      <c r="H10">
        <v>45</v>
      </c>
      <c r="K10">
        <v>185.5</v>
      </c>
      <c r="L10">
        <v>114.9</v>
      </c>
      <c r="M10">
        <v>33.391213373922021</v>
      </c>
      <c r="Q10">
        <v>31597.5</v>
      </c>
      <c r="R10">
        <v>83302.5</v>
      </c>
      <c r="S10">
        <v>114900</v>
      </c>
      <c r="T10">
        <v>27.500000000000004</v>
      </c>
      <c r="U10">
        <v>72.5</v>
      </c>
      <c r="W10">
        <v>13.54</v>
      </c>
      <c r="X10">
        <v>5.4720000000000004</v>
      </c>
      <c r="Y10">
        <v>21.371500000000001</v>
      </c>
      <c r="Z10">
        <v>5.1975488000000007</v>
      </c>
      <c r="AA10">
        <v>564.1</v>
      </c>
      <c r="AB10">
        <v>4352.2000000000007</v>
      </c>
      <c r="AC10">
        <v>49.6</v>
      </c>
      <c r="AD10">
        <v>4.62</v>
      </c>
      <c r="AE10">
        <v>0.74</v>
      </c>
      <c r="AF10">
        <v>3.88</v>
      </c>
      <c r="AG10">
        <v>1.9017272727272723</v>
      </c>
      <c r="AH10">
        <v>1520.7412050000003</v>
      </c>
      <c r="AI10">
        <v>3.9937235596385718E-3</v>
      </c>
      <c r="AJ10">
        <v>6.0386137155219499</v>
      </c>
      <c r="AK10">
        <v>91.831686982723781</v>
      </c>
      <c r="AL10">
        <v>23.028571851214753</v>
      </c>
      <c r="AM10">
        <v>1.2601234516984714</v>
      </c>
      <c r="AN10">
        <v>113.5</v>
      </c>
      <c r="AO10">
        <v>32.984357858486938</v>
      </c>
      <c r="AS10">
        <v>33255.5</v>
      </c>
      <c r="AT10">
        <v>80244.5</v>
      </c>
      <c r="AU10">
        <v>113500</v>
      </c>
      <c r="AV10">
        <v>29.299999999999997</v>
      </c>
      <c r="AW10">
        <v>70.7</v>
      </c>
      <c r="AY10">
        <v>14.62</v>
      </c>
      <c r="AZ10">
        <v>4.7119999999999997</v>
      </c>
      <c r="BA10">
        <v>24.7165</v>
      </c>
      <c r="BB10">
        <v>5.1761843555555549</v>
      </c>
      <c r="BC10">
        <v>372.4</v>
      </c>
      <c r="BD10">
        <v>3789.1</v>
      </c>
      <c r="BE10">
        <v>33.1</v>
      </c>
      <c r="BF10">
        <v>3.93</v>
      </c>
      <c r="BG10">
        <v>0.61</v>
      </c>
      <c r="BH10">
        <v>3.3200000000000003</v>
      </c>
      <c r="BI10">
        <v>1.5976818181818184</v>
      </c>
      <c r="BJ10">
        <v>1873.4193900000002</v>
      </c>
      <c r="BK10">
        <v>4.0754855072849816E-3</v>
      </c>
      <c r="BL10">
        <v>5.0927960309821652</v>
      </c>
      <c r="BM10">
        <v>95.40942833757029</v>
      </c>
      <c r="BN10">
        <v>17.635351490006613</v>
      </c>
      <c r="BO10">
        <v>0.83097776220911157</v>
      </c>
    </row>
    <row r="11" spans="1:67" x14ac:dyDescent="0.25">
      <c r="A11">
        <v>211</v>
      </c>
      <c r="B11" t="s">
        <v>258</v>
      </c>
      <c r="C11" t="s">
        <v>250</v>
      </c>
      <c r="D11">
        <v>1</v>
      </c>
      <c r="E11" t="s">
        <v>228</v>
      </c>
      <c r="G11" t="s">
        <v>227</v>
      </c>
      <c r="H11">
        <v>46</v>
      </c>
      <c r="K11">
        <v>160.5</v>
      </c>
      <c r="L11">
        <v>81</v>
      </c>
      <c r="M11">
        <v>31.44379421783562</v>
      </c>
      <c r="Q11">
        <v>30780</v>
      </c>
      <c r="R11">
        <v>50220.000000000007</v>
      </c>
      <c r="S11">
        <v>81000</v>
      </c>
      <c r="T11">
        <v>38</v>
      </c>
      <c r="U11">
        <v>62.000000000000014</v>
      </c>
      <c r="W11">
        <v>18.690000000000001</v>
      </c>
      <c r="X11">
        <v>4.5209999999999999</v>
      </c>
      <c r="Y11">
        <v>27.655000000000001</v>
      </c>
      <c r="Z11">
        <v>5.5568113333333331</v>
      </c>
      <c r="AA11">
        <v>251.3</v>
      </c>
      <c r="AB11">
        <v>765.4</v>
      </c>
      <c r="AC11">
        <v>27.4</v>
      </c>
      <c r="AD11">
        <v>4.41</v>
      </c>
      <c r="AE11">
        <v>0.83</v>
      </c>
      <c r="AF11">
        <v>3.58</v>
      </c>
      <c r="AG11">
        <v>3.2320909090909091</v>
      </c>
      <c r="AH11">
        <v>635.32403999999997</v>
      </c>
      <c r="AI11">
        <v>4.3713966392755384E-3</v>
      </c>
      <c r="AJ11">
        <v>1.0069448390170579</v>
      </c>
      <c r="AK11">
        <v>6.3973626318146675</v>
      </c>
      <c r="AL11">
        <v>18.085316268452157</v>
      </c>
      <c r="AM11">
        <v>0.81763714849672198</v>
      </c>
      <c r="AN11">
        <v>79.8</v>
      </c>
      <c r="AO11">
        <v>30.977960229423239</v>
      </c>
      <c r="AS11">
        <v>31042.199999999997</v>
      </c>
      <c r="AT11">
        <v>48757.799999999996</v>
      </c>
      <c r="AU11">
        <v>79800</v>
      </c>
      <c r="AV11">
        <v>38.9</v>
      </c>
      <c r="AW11">
        <v>61.1</v>
      </c>
      <c r="AY11">
        <v>17.3</v>
      </c>
      <c r="AZ11">
        <v>5.1390000000000002</v>
      </c>
      <c r="BA11">
        <v>21.378500000000003</v>
      </c>
      <c r="BB11">
        <v>4.8828494000000013</v>
      </c>
      <c r="BC11">
        <v>347</v>
      </c>
      <c r="BD11">
        <v>1193.2</v>
      </c>
      <c r="BE11">
        <v>57.5</v>
      </c>
      <c r="BF11">
        <v>5.85</v>
      </c>
      <c r="BG11">
        <v>1.2</v>
      </c>
      <c r="BH11">
        <v>4.6499999999999995</v>
      </c>
      <c r="BI11">
        <v>4.1076363636363631</v>
      </c>
      <c r="BJ11">
        <v>655.73588250000012</v>
      </c>
      <c r="BK11">
        <v>4.3588049512871853E-3</v>
      </c>
      <c r="BL11">
        <v>2.517465072328509</v>
      </c>
      <c r="BM11">
        <v>16.507921808662616</v>
      </c>
      <c r="BN11">
        <v>23.129628606630103</v>
      </c>
      <c r="BO11">
        <v>1.1886316140947211</v>
      </c>
    </row>
    <row r="12" spans="1:67" x14ac:dyDescent="0.25">
      <c r="A12">
        <v>212</v>
      </c>
      <c r="B12" t="s">
        <v>259</v>
      </c>
      <c r="C12" t="s">
        <v>250</v>
      </c>
      <c r="D12">
        <v>1</v>
      </c>
      <c r="E12" t="s">
        <v>318</v>
      </c>
      <c r="G12" t="s">
        <v>228</v>
      </c>
      <c r="H12">
        <v>55</v>
      </c>
      <c r="K12">
        <v>172.49999999999986</v>
      </c>
      <c r="L12">
        <v>82.6</v>
      </c>
      <c r="M12">
        <v>27.758874186095401</v>
      </c>
      <c r="Q12">
        <v>22700</v>
      </c>
      <c r="R12">
        <v>63849.799999999996</v>
      </c>
      <c r="S12">
        <v>86549.799999999988</v>
      </c>
      <c r="T12">
        <v>26.227674702887821</v>
      </c>
      <c r="U12">
        <v>73.772325297112189</v>
      </c>
      <c r="W12">
        <v>2.3199999999999998</v>
      </c>
      <c r="X12">
        <v>5.3949999999999996</v>
      </c>
      <c r="Y12">
        <v>12.678000000000001</v>
      </c>
      <c r="Z12">
        <v>3.0399026666666664</v>
      </c>
      <c r="AA12">
        <v>297.8</v>
      </c>
      <c r="AB12">
        <v>552.9</v>
      </c>
      <c r="AC12">
        <v>43.3</v>
      </c>
      <c r="AD12">
        <v>3.59</v>
      </c>
      <c r="AE12">
        <v>1.24</v>
      </c>
      <c r="AF12">
        <v>2.3499999999999996</v>
      </c>
      <c r="AG12">
        <v>2.0986818181818179</v>
      </c>
      <c r="AH12">
        <v>301.959225</v>
      </c>
      <c r="AI12">
        <v>3.0545657833967203E-3</v>
      </c>
      <c r="AJ12">
        <v>9.9540603575296664</v>
      </c>
      <c r="AK12">
        <v>30.05720351162881</v>
      </c>
      <c r="AL12">
        <v>32.583646858531083</v>
      </c>
      <c r="AM12">
        <v>1.7578877480177519</v>
      </c>
      <c r="AN12">
        <v>77.599999999999994</v>
      </c>
      <c r="AO12">
        <v>26.078554925435828</v>
      </c>
      <c r="AS12">
        <v>19700</v>
      </c>
      <c r="AT12">
        <v>62312.799999999988</v>
      </c>
      <c r="AU12">
        <v>82012.799999999988</v>
      </c>
      <c r="AV12">
        <v>24.020640680479151</v>
      </c>
      <c r="AW12">
        <v>75.979359319520853</v>
      </c>
      <c r="AY12">
        <v>2.0699999999999998</v>
      </c>
      <c r="AZ12">
        <v>5.0519999999999996</v>
      </c>
      <c r="BA12">
        <v>11.449</v>
      </c>
      <c r="BB12">
        <v>2.570682133333333</v>
      </c>
      <c r="BC12">
        <v>412.5</v>
      </c>
      <c r="BD12">
        <v>552.9</v>
      </c>
      <c r="BE12">
        <v>116.2</v>
      </c>
      <c r="BF12">
        <v>3.82</v>
      </c>
      <c r="BG12">
        <v>1.36</v>
      </c>
      <c r="BH12">
        <v>2.46</v>
      </c>
      <c r="BI12">
        <v>2.2086818181818182</v>
      </c>
      <c r="BJ12">
        <v>190.35992250000004</v>
      </c>
      <c r="BK12">
        <v>2.9809059853784861E-3</v>
      </c>
      <c r="BL12">
        <v>4.9503789157666986</v>
      </c>
      <c r="BM12">
        <v>9.4235374675098296</v>
      </c>
      <c r="BN12">
        <v>8.9482057554008527</v>
      </c>
      <c r="BO12">
        <v>0.45206335476285103</v>
      </c>
    </row>
    <row r="13" spans="1:67" x14ac:dyDescent="0.25">
      <c r="A13">
        <v>213</v>
      </c>
      <c r="B13" t="s">
        <v>307</v>
      </c>
      <c r="C13" t="s">
        <v>250</v>
      </c>
      <c r="D13">
        <v>1</v>
      </c>
      <c r="E13" t="s">
        <v>318</v>
      </c>
      <c r="G13" t="s">
        <v>228</v>
      </c>
      <c r="H13">
        <v>51</v>
      </c>
      <c r="K13">
        <v>182.50000000000003</v>
      </c>
      <c r="L13">
        <v>114.4</v>
      </c>
      <c r="M13">
        <v>34.347907674985919</v>
      </c>
      <c r="Q13">
        <v>29800</v>
      </c>
      <c r="R13">
        <v>80308.800000000017</v>
      </c>
      <c r="S13">
        <v>110108.80000000002</v>
      </c>
      <c r="T13">
        <v>27.064140195878984</v>
      </c>
      <c r="U13">
        <v>72.935859804121023</v>
      </c>
      <c r="W13">
        <v>2.91</v>
      </c>
      <c r="X13">
        <v>4.8239999999999998</v>
      </c>
      <c r="Y13">
        <v>16.831</v>
      </c>
      <c r="Z13">
        <v>3.6085663999999995</v>
      </c>
      <c r="AA13">
        <v>558.79999999999995</v>
      </c>
      <c r="AB13">
        <v>473.2</v>
      </c>
      <c r="AC13">
        <v>487.5</v>
      </c>
      <c r="AD13">
        <v>3.77</v>
      </c>
      <c r="AE13">
        <v>1.1299999999999999</v>
      </c>
      <c r="AF13">
        <v>2.64</v>
      </c>
      <c r="AG13">
        <v>2.4249090909090909</v>
      </c>
      <c r="AH13">
        <v>227.22523124999995</v>
      </c>
      <c r="AI13">
        <v>3.8411568420929892E-3</v>
      </c>
      <c r="AJ13">
        <v>3.128087445007488</v>
      </c>
      <c r="AK13">
        <v>7.1078039306204799</v>
      </c>
      <c r="AL13">
        <v>25.179658281493499</v>
      </c>
      <c r="AM13">
        <v>1.2146667154992463</v>
      </c>
      <c r="AN13">
        <v>99.6</v>
      </c>
      <c r="AO13">
        <v>29.904297241508726</v>
      </c>
      <c r="AS13">
        <v>23300</v>
      </c>
      <c r="AT13">
        <v>76393.200000000012</v>
      </c>
      <c r="AU13">
        <v>99693.200000000012</v>
      </c>
      <c r="AV13">
        <v>23.371704389065652</v>
      </c>
      <c r="AW13">
        <v>76.628295610934344</v>
      </c>
      <c r="AY13">
        <v>1.08</v>
      </c>
      <c r="AZ13">
        <v>5.6719999999999997</v>
      </c>
      <c r="BA13">
        <v>18.5825</v>
      </c>
      <c r="BB13">
        <v>4.6844417777777769</v>
      </c>
      <c r="BC13">
        <v>565.4</v>
      </c>
      <c r="BD13">
        <v>473.2</v>
      </c>
      <c r="BE13">
        <v>118.9</v>
      </c>
      <c r="BF13">
        <v>4.4800000000000004</v>
      </c>
      <c r="BG13">
        <v>1.1399999999999999</v>
      </c>
      <c r="BH13">
        <v>3.3400000000000007</v>
      </c>
      <c r="BI13">
        <v>3.1249090909090915</v>
      </c>
      <c r="BJ13">
        <v>333.23220000000003</v>
      </c>
      <c r="BK13">
        <v>3.6629779308605306E-3</v>
      </c>
      <c r="BL13">
        <v>6.2770628868669869</v>
      </c>
      <c r="BM13">
        <v>20.917194753290374</v>
      </c>
      <c r="BN13">
        <v>27.681685673671097</v>
      </c>
      <c r="BO13">
        <v>1.5701052114106246</v>
      </c>
    </row>
    <row r="14" spans="1:67" x14ac:dyDescent="0.25">
      <c r="A14">
        <v>214</v>
      </c>
      <c r="B14" t="s">
        <v>308</v>
      </c>
      <c r="C14" t="s">
        <v>250</v>
      </c>
      <c r="D14">
        <v>1</v>
      </c>
      <c r="E14" t="s">
        <v>318</v>
      </c>
      <c r="G14" t="s">
        <v>228</v>
      </c>
      <c r="H14">
        <v>51</v>
      </c>
      <c r="K14">
        <v>172.5</v>
      </c>
      <c r="L14">
        <v>91.5</v>
      </c>
      <c r="M14">
        <v>30.749842470069311</v>
      </c>
      <c r="Q14">
        <v>29000</v>
      </c>
      <c r="R14">
        <v>64965</v>
      </c>
      <c r="S14">
        <v>93965</v>
      </c>
      <c r="T14">
        <v>30.862555206725911</v>
      </c>
      <c r="U14">
        <v>69.137444793274099</v>
      </c>
      <c r="W14">
        <v>8.9700000000000006</v>
      </c>
      <c r="X14">
        <v>5.6989999999999998</v>
      </c>
      <c r="Y14">
        <v>14.0745</v>
      </c>
      <c r="Z14">
        <v>3.564914466666667</v>
      </c>
      <c r="AA14">
        <v>685.2</v>
      </c>
      <c r="AB14">
        <v>947.2</v>
      </c>
      <c r="AC14">
        <v>205.7</v>
      </c>
      <c r="AD14">
        <v>4.4400000000000004</v>
      </c>
      <c r="AE14">
        <v>1.04</v>
      </c>
      <c r="AF14">
        <v>3.4000000000000004</v>
      </c>
      <c r="AG14">
        <v>2.9694545454545458</v>
      </c>
      <c r="AH14">
        <v>582.17155500000001</v>
      </c>
      <c r="AI14">
        <v>3.5867949961020636E-3</v>
      </c>
      <c r="AJ14">
        <v>1.7104428361308988</v>
      </c>
      <c r="AK14">
        <v>9.9577116564893551</v>
      </c>
      <c r="AL14">
        <v>33.273696214541019</v>
      </c>
      <c r="AM14">
        <v>1.8962679472666928</v>
      </c>
      <c r="AN14">
        <v>87.5</v>
      </c>
      <c r="AO14">
        <v>29.405587061541688</v>
      </c>
      <c r="AS14">
        <v>30400</v>
      </c>
      <c r="AT14">
        <v>60899.999999999993</v>
      </c>
      <c r="AU14">
        <v>91300</v>
      </c>
      <c r="AV14">
        <v>33.296823658269439</v>
      </c>
      <c r="AW14">
        <v>66.703176341730554</v>
      </c>
      <c r="AY14">
        <v>10.43</v>
      </c>
      <c r="AZ14">
        <v>5.0629999999999997</v>
      </c>
      <c r="BA14">
        <v>10.7865</v>
      </c>
      <c r="BB14">
        <v>2.4272022</v>
      </c>
      <c r="BC14">
        <v>716.1</v>
      </c>
      <c r="BD14">
        <v>947.2</v>
      </c>
      <c r="BE14">
        <v>236.1</v>
      </c>
      <c r="BF14">
        <v>4.32</v>
      </c>
      <c r="BG14">
        <v>1.1299999999999999</v>
      </c>
      <c r="BH14">
        <v>3.1900000000000004</v>
      </c>
      <c r="BI14">
        <v>2.7594545454545458</v>
      </c>
      <c r="BJ14">
        <v>515.2410900000001</v>
      </c>
      <c r="BK14">
        <v>3.5521704430118428E-3</v>
      </c>
      <c r="BL14">
        <v>2.4475535221113875</v>
      </c>
      <c r="BM14">
        <v>12.610801445660107</v>
      </c>
      <c r="BN14">
        <v>25.713592044153412</v>
      </c>
      <c r="BO14">
        <v>1.3018791651954871</v>
      </c>
    </row>
    <row r="15" spans="1:67" x14ac:dyDescent="0.25">
      <c r="A15">
        <v>215</v>
      </c>
      <c r="B15" t="s">
        <v>260</v>
      </c>
      <c r="C15" t="s">
        <v>250</v>
      </c>
      <c r="D15">
        <v>1</v>
      </c>
      <c r="E15" t="s">
        <v>318</v>
      </c>
      <c r="G15" t="s">
        <v>228</v>
      </c>
      <c r="H15">
        <v>50</v>
      </c>
      <c r="K15">
        <v>180.5</v>
      </c>
      <c r="L15">
        <v>120.3</v>
      </c>
      <c r="M15">
        <v>36.924210219381372</v>
      </c>
      <c r="Q15">
        <v>33900</v>
      </c>
      <c r="R15">
        <v>79518.3</v>
      </c>
      <c r="S15">
        <v>113418.3</v>
      </c>
      <c r="T15">
        <v>29.889356479509921</v>
      </c>
      <c r="U15">
        <v>70.110643520490072</v>
      </c>
      <c r="W15">
        <v>9.19</v>
      </c>
      <c r="X15">
        <v>5.734</v>
      </c>
      <c r="Y15">
        <v>33.664999999999999</v>
      </c>
      <c r="Z15">
        <v>8.5793382222222228</v>
      </c>
      <c r="AA15">
        <v>429.8</v>
      </c>
      <c r="AB15">
        <v>928</v>
      </c>
      <c r="AC15">
        <v>50</v>
      </c>
      <c r="AD15">
        <v>4.59</v>
      </c>
      <c r="AE15">
        <v>0.77</v>
      </c>
      <c r="AF15">
        <v>3.82</v>
      </c>
      <c r="AG15">
        <v>3.398181818181818</v>
      </c>
      <c r="AH15">
        <v>101.67093</v>
      </c>
      <c r="AI15">
        <v>3.7886111547635036E-3</v>
      </c>
      <c r="AJ15">
        <v>8.8956818554210138</v>
      </c>
      <c r="AK15">
        <v>9.0443224722478011</v>
      </c>
      <c r="AL15">
        <v>11.066271533623913</v>
      </c>
      <c r="AM15">
        <v>0.63454000973799518</v>
      </c>
      <c r="AN15">
        <v>115.9</v>
      </c>
      <c r="AO15">
        <v>35.57369878991107</v>
      </c>
      <c r="AS15">
        <v>34300</v>
      </c>
      <c r="AT15">
        <v>76146.300000000017</v>
      </c>
      <c r="AU15">
        <v>110446.30000000002</v>
      </c>
      <c r="AV15">
        <v>31.055816265461129</v>
      </c>
      <c r="AW15">
        <v>68.944183734538868</v>
      </c>
      <c r="AY15">
        <v>18.05</v>
      </c>
      <c r="AZ15">
        <v>5.6719999999999997</v>
      </c>
      <c r="BA15">
        <v>34.271500000000003</v>
      </c>
      <c r="BB15">
        <v>8.639464355555555</v>
      </c>
      <c r="BC15">
        <v>551</v>
      </c>
      <c r="BD15">
        <v>928</v>
      </c>
      <c r="BE15">
        <v>125.3</v>
      </c>
      <c r="BF15">
        <v>5.31</v>
      </c>
      <c r="BG15">
        <v>0.79</v>
      </c>
      <c r="BH15">
        <v>4.5199999999999996</v>
      </c>
      <c r="BI15">
        <v>4.0981818181818177</v>
      </c>
      <c r="BJ15">
        <v>426.50381249999992</v>
      </c>
      <c r="BK15">
        <v>4.1060907248057135E-3</v>
      </c>
      <c r="BL15">
        <v>6.0236836572191645</v>
      </c>
      <c r="BM15">
        <v>25.691240450979162</v>
      </c>
      <c r="BN15">
        <v>30.274599702199751</v>
      </c>
      <c r="BO15">
        <v>1.7171752951087698</v>
      </c>
    </row>
    <row r="16" spans="1:67" x14ac:dyDescent="0.25">
      <c r="A16">
        <v>216</v>
      </c>
      <c r="B16" t="s">
        <v>261</v>
      </c>
      <c r="C16" t="s">
        <v>250</v>
      </c>
      <c r="D16">
        <v>1</v>
      </c>
      <c r="E16" t="s">
        <v>318</v>
      </c>
      <c r="G16" t="s">
        <v>227</v>
      </c>
      <c r="H16">
        <v>51</v>
      </c>
      <c r="K16">
        <v>160</v>
      </c>
      <c r="L16">
        <v>92.3</v>
      </c>
      <c r="M16">
        <v>36.054687499999993</v>
      </c>
      <c r="Q16">
        <v>49200</v>
      </c>
      <c r="R16">
        <v>46888.399999999994</v>
      </c>
      <c r="S16">
        <v>96088.4</v>
      </c>
      <c r="T16">
        <v>51.202850708306102</v>
      </c>
      <c r="U16">
        <v>48.797149291693898</v>
      </c>
      <c r="W16">
        <v>13.54</v>
      </c>
      <c r="X16">
        <v>5.5990000000000002</v>
      </c>
      <c r="Y16">
        <v>28.106999999999999</v>
      </c>
      <c r="Z16">
        <v>6.9942707999999998</v>
      </c>
      <c r="AA16">
        <v>1251.7</v>
      </c>
      <c r="AB16">
        <v>1530.2</v>
      </c>
      <c r="AC16">
        <v>228.1</v>
      </c>
      <c r="AD16">
        <v>4.9000000000000004</v>
      </c>
      <c r="AE16">
        <v>1.34</v>
      </c>
      <c r="AF16">
        <v>3.5600000000000005</v>
      </c>
      <c r="AG16">
        <v>2.8644545454545458</v>
      </c>
      <c r="AH16">
        <v>908.15243999999996</v>
      </c>
      <c r="AI16">
        <v>5.6475256053878375E-3</v>
      </c>
      <c r="AJ16">
        <v>7.521878102827122</v>
      </c>
      <c r="AK16">
        <v>68.310119524650204</v>
      </c>
      <c r="AL16">
        <v>28.47231614593111</v>
      </c>
      <c r="AM16">
        <v>1.5941649810106828</v>
      </c>
      <c r="AN16">
        <v>92.7</v>
      </c>
      <c r="AO16">
        <v>36.210937499999993</v>
      </c>
      <c r="AS16">
        <v>46200</v>
      </c>
      <c r="AT16">
        <v>49872.6</v>
      </c>
      <c r="AU16">
        <v>96072.6</v>
      </c>
      <c r="AV16">
        <v>48.088632971315434</v>
      </c>
      <c r="AW16">
        <v>51.911367028684552</v>
      </c>
      <c r="AY16">
        <v>13.77</v>
      </c>
      <c r="AZ16">
        <v>5.569</v>
      </c>
      <c r="BA16">
        <v>22.6</v>
      </c>
      <c r="BB16">
        <v>5.5937511111111116</v>
      </c>
      <c r="BC16">
        <v>1166.8</v>
      </c>
      <c r="BD16">
        <v>1530.2</v>
      </c>
      <c r="BE16">
        <v>147.9</v>
      </c>
      <c r="BF16">
        <v>4.51</v>
      </c>
      <c r="BG16">
        <v>1.57</v>
      </c>
      <c r="BH16">
        <v>2.9399999999999995</v>
      </c>
      <c r="BI16">
        <v>2.2444545454545448</v>
      </c>
      <c r="BJ16">
        <v>918.38805374999993</v>
      </c>
      <c r="BK16">
        <v>5.3081990637571241E-3</v>
      </c>
      <c r="BL16">
        <v>12.675564293824282</v>
      </c>
      <c r="BM16">
        <v>116.41086821988274</v>
      </c>
      <c r="BN16">
        <v>24.915666441315267</v>
      </c>
      <c r="BO16">
        <v>1.3875534641168472</v>
      </c>
    </row>
    <row r="17" spans="1:67" x14ac:dyDescent="0.25">
      <c r="A17">
        <v>217</v>
      </c>
      <c r="B17" t="s">
        <v>262</v>
      </c>
      <c r="C17" t="s">
        <v>250</v>
      </c>
      <c r="D17">
        <v>1</v>
      </c>
      <c r="E17" t="s">
        <v>318</v>
      </c>
      <c r="G17" t="s">
        <v>227</v>
      </c>
      <c r="H17">
        <v>51</v>
      </c>
      <c r="K17">
        <v>162</v>
      </c>
      <c r="L17">
        <v>77.3</v>
      </c>
      <c r="M17">
        <v>29.454351470812369</v>
      </c>
      <c r="Q17">
        <v>35500</v>
      </c>
      <c r="R17">
        <v>49858.5</v>
      </c>
      <c r="S17">
        <v>85358.5</v>
      </c>
      <c r="T17">
        <v>41.589296906576379</v>
      </c>
      <c r="U17">
        <v>58.410703093423621</v>
      </c>
      <c r="W17">
        <v>34.07</v>
      </c>
      <c r="X17">
        <v>6.5270000000000001</v>
      </c>
      <c r="Y17">
        <v>28.107500000000002</v>
      </c>
      <c r="Z17">
        <v>8.1536734444444452</v>
      </c>
      <c r="AA17">
        <v>688.5</v>
      </c>
      <c r="AB17">
        <v>1040.3</v>
      </c>
      <c r="AC17">
        <v>80.3</v>
      </c>
      <c r="AD17">
        <v>4.05</v>
      </c>
      <c r="AE17">
        <v>1.18</v>
      </c>
      <c r="AF17">
        <v>2.87</v>
      </c>
      <c r="AG17">
        <v>2.3971363636363638</v>
      </c>
      <c r="AH17">
        <v>101.53542749999998</v>
      </c>
      <c r="AI17">
        <v>4.7658844711661657E-3</v>
      </c>
      <c r="AJ17">
        <v>1.1761410726545745</v>
      </c>
      <c r="AK17">
        <v>1.1941998661229076</v>
      </c>
      <c r="AL17">
        <v>30.559298323277932</v>
      </c>
      <c r="AM17">
        <v>1.9946054015603507</v>
      </c>
      <c r="AN17">
        <v>73.099999999999994</v>
      </c>
      <c r="AO17">
        <v>27.853985672915705</v>
      </c>
      <c r="AS17">
        <v>35800</v>
      </c>
      <c r="AT17">
        <v>46930.2</v>
      </c>
      <c r="AU17">
        <v>82730.2</v>
      </c>
      <c r="AV17">
        <v>43.273194069396666</v>
      </c>
      <c r="AW17">
        <v>56.726805930603334</v>
      </c>
      <c r="AY17">
        <v>19.5</v>
      </c>
      <c r="AZ17">
        <v>5.3520000000000003</v>
      </c>
      <c r="BA17">
        <v>24.243000000000002</v>
      </c>
      <c r="BB17">
        <v>5.7666016000000013</v>
      </c>
      <c r="BC17">
        <v>540.20000000000005</v>
      </c>
      <c r="BD17">
        <v>1040.3</v>
      </c>
      <c r="BE17">
        <v>30</v>
      </c>
      <c r="BF17">
        <v>3.33</v>
      </c>
      <c r="BG17">
        <v>1.06</v>
      </c>
      <c r="BH17">
        <v>2.27</v>
      </c>
      <c r="BI17">
        <v>1.7971363636363638</v>
      </c>
      <c r="BJ17">
        <v>414.16085250000009</v>
      </c>
      <c r="BK17">
        <v>4.3574424974542414E-3</v>
      </c>
      <c r="BL17">
        <v>4.9354184315274434</v>
      </c>
      <c r="BM17">
        <v>20.440571050456192</v>
      </c>
      <c r="BN17">
        <v>18.061697524720447</v>
      </c>
      <c r="BO17">
        <v>0.9666620515230383</v>
      </c>
    </row>
    <row r="18" spans="1:67" x14ac:dyDescent="0.25">
      <c r="A18">
        <v>218</v>
      </c>
      <c r="B18" t="s">
        <v>263</v>
      </c>
      <c r="C18" t="s">
        <v>250</v>
      </c>
      <c r="D18">
        <v>1</v>
      </c>
      <c r="E18" t="s">
        <v>318</v>
      </c>
      <c r="G18" t="s">
        <v>228</v>
      </c>
      <c r="H18">
        <v>54</v>
      </c>
      <c r="K18">
        <v>172.5</v>
      </c>
      <c r="L18">
        <v>93.1</v>
      </c>
      <c r="M18">
        <v>31.287544633480355</v>
      </c>
      <c r="Q18">
        <v>42900</v>
      </c>
      <c r="R18">
        <v>53160.1</v>
      </c>
      <c r="S18">
        <v>96060.1</v>
      </c>
      <c r="T18">
        <v>44.659541266353045</v>
      </c>
      <c r="U18">
        <v>55.340458733646948</v>
      </c>
      <c r="W18">
        <v>16.11</v>
      </c>
      <c r="X18">
        <v>5.577</v>
      </c>
      <c r="Y18">
        <v>23.411999999999999</v>
      </c>
      <c r="Z18">
        <v>5.8030543999999997</v>
      </c>
      <c r="AA18">
        <v>571.5</v>
      </c>
      <c r="AB18">
        <v>1866.2</v>
      </c>
      <c r="AC18">
        <v>29.5</v>
      </c>
      <c r="AD18">
        <v>5.21</v>
      </c>
      <c r="AE18">
        <v>1.42</v>
      </c>
      <c r="AF18">
        <v>3.79</v>
      </c>
      <c r="AG18">
        <v>2.941727272727273</v>
      </c>
      <c r="AH18">
        <v>1225.7629837500003</v>
      </c>
      <c r="AI18">
        <v>4.8981742350269119E-3</v>
      </c>
      <c r="AJ18">
        <v>8.6541355652603063</v>
      </c>
      <c r="AK18">
        <v>106.0791903225047</v>
      </c>
      <c r="AL18">
        <v>14.121463743751816</v>
      </c>
      <c r="AM18">
        <v>0.78755403298903881</v>
      </c>
      <c r="AN18">
        <v>89.9</v>
      </c>
      <c r="AO18">
        <v>30.212140306658263</v>
      </c>
      <c r="AS18">
        <v>43200</v>
      </c>
      <c r="AT18">
        <v>51063.200000000004</v>
      </c>
      <c r="AU18">
        <v>94263.200000000012</v>
      </c>
      <c r="AV18">
        <v>45.829125257788824</v>
      </c>
      <c r="AW18">
        <v>54.170874742211176</v>
      </c>
      <c r="AY18">
        <v>12.71</v>
      </c>
      <c r="AZ18">
        <v>5.617</v>
      </c>
      <c r="BA18">
        <v>23.824000000000002</v>
      </c>
      <c r="BB18">
        <v>5.9475292444444445</v>
      </c>
      <c r="BC18">
        <v>859.05</v>
      </c>
      <c r="BD18">
        <v>1866.2</v>
      </c>
      <c r="BE18">
        <v>112.1</v>
      </c>
      <c r="BF18">
        <v>4.93</v>
      </c>
      <c r="BG18">
        <v>1.29</v>
      </c>
      <c r="BH18">
        <v>3.6399999999999997</v>
      </c>
      <c r="BI18">
        <v>2.7917272727272726</v>
      </c>
      <c r="BJ18">
        <v>962.02130625000007</v>
      </c>
      <c r="BK18">
        <v>4.7619673162328053E-3</v>
      </c>
      <c r="BL18">
        <v>6.6454148728880194</v>
      </c>
      <c r="BM18">
        <v>63.930306965889109</v>
      </c>
      <c r="BN18">
        <v>24.552553840431351</v>
      </c>
      <c r="BO18">
        <v>1.379116949217029</v>
      </c>
    </row>
    <row r="19" spans="1:67" x14ac:dyDescent="0.25">
      <c r="A19">
        <v>219</v>
      </c>
      <c r="B19" t="s">
        <v>264</v>
      </c>
      <c r="C19" t="s">
        <v>250</v>
      </c>
      <c r="D19">
        <v>1</v>
      </c>
      <c r="E19" t="s">
        <v>318</v>
      </c>
      <c r="G19" t="s">
        <v>227</v>
      </c>
      <c r="H19">
        <v>50</v>
      </c>
      <c r="K19">
        <v>175</v>
      </c>
      <c r="L19">
        <v>87.1</v>
      </c>
      <c r="M19">
        <v>28.440816326530609</v>
      </c>
      <c r="Q19">
        <v>22200</v>
      </c>
      <c r="R19">
        <v>67763.8</v>
      </c>
      <c r="S19">
        <v>89963.8</v>
      </c>
      <c r="T19">
        <v>24.676592140394245</v>
      </c>
      <c r="U19">
        <v>75.323407859605751</v>
      </c>
      <c r="W19">
        <v>9.42</v>
      </c>
      <c r="X19">
        <v>5.2759999999999998</v>
      </c>
      <c r="Y19">
        <v>13.631499999999999</v>
      </c>
      <c r="Z19">
        <v>3.1964352888888885</v>
      </c>
      <c r="AA19">
        <v>584.1</v>
      </c>
      <c r="AB19">
        <v>956.19999999999993</v>
      </c>
      <c r="AC19">
        <v>164.1</v>
      </c>
      <c r="AD19">
        <v>4.66</v>
      </c>
      <c r="AE19">
        <v>1.57</v>
      </c>
      <c r="AF19">
        <v>3.09</v>
      </c>
      <c r="AG19">
        <v>2.6553636363636364</v>
      </c>
      <c r="AH19">
        <v>378.86593500000004</v>
      </c>
      <c r="AI19">
        <v>3.5905898792266346E-3</v>
      </c>
      <c r="AJ19">
        <v>3.0072864798562389</v>
      </c>
      <c r="AK19">
        <v>11.393584040035927</v>
      </c>
      <c r="AL19">
        <v>27.81419311193924</v>
      </c>
      <c r="AM19">
        <v>1.4674768285859141</v>
      </c>
      <c r="AN19">
        <v>81.900000000000006</v>
      </c>
      <c r="AO19">
        <v>26.742857142857144</v>
      </c>
      <c r="AS19">
        <v>21900</v>
      </c>
      <c r="AT19">
        <v>63963.9</v>
      </c>
      <c r="AU19">
        <v>85863.9</v>
      </c>
      <c r="AV19">
        <v>25.505480184338243</v>
      </c>
      <c r="AW19">
        <v>74.494519815661761</v>
      </c>
      <c r="AY19">
        <v>19.22</v>
      </c>
      <c r="AZ19">
        <v>5.6470000000000002</v>
      </c>
      <c r="BA19">
        <v>13.843499999999999</v>
      </c>
      <c r="BB19">
        <v>3.4744108666666667</v>
      </c>
      <c r="BC19">
        <v>444.9</v>
      </c>
      <c r="BD19">
        <v>956.19999999999993</v>
      </c>
      <c r="BE19">
        <v>184.9</v>
      </c>
      <c r="BF19">
        <v>4.41</v>
      </c>
      <c r="BG19">
        <v>1.44</v>
      </c>
      <c r="BH19">
        <v>2.97</v>
      </c>
      <c r="BI19">
        <v>2.5353636363636367</v>
      </c>
      <c r="BJ19">
        <v>384.33187500000003</v>
      </c>
      <c r="BK19">
        <v>3.7640491791585107E-3</v>
      </c>
      <c r="BL19">
        <v>11.627677711989266</v>
      </c>
      <c r="BM19">
        <v>44.688871769445448</v>
      </c>
      <c r="BN19">
        <v>28.591858761792992</v>
      </c>
      <c r="BO19">
        <v>1.6145822642784504</v>
      </c>
    </row>
    <row r="20" spans="1:67" x14ac:dyDescent="0.25">
      <c r="A20">
        <v>220</v>
      </c>
      <c r="B20" t="s">
        <v>265</v>
      </c>
      <c r="C20" t="s">
        <v>250</v>
      </c>
      <c r="D20">
        <v>1</v>
      </c>
      <c r="E20" t="s">
        <v>318</v>
      </c>
      <c r="G20" t="s">
        <v>227</v>
      </c>
      <c r="H20">
        <v>49</v>
      </c>
      <c r="K20">
        <v>165.5</v>
      </c>
      <c r="L20">
        <v>97.5</v>
      </c>
      <c r="M20">
        <v>35.596608282144189</v>
      </c>
      <c r="Q20">
        <v>43700</v>
      </c>
      <c r="R20">
        <v>54892.5</v>
      </c>
      <c r="S20">
        <v>98592.5</v>
      </c>
      <c r="T20">
        <v>44.323858305652053</v>
      </c>
      <c r="U20">
        <v>55.676141694347947</v>
      </c>
      <c r="W20">
        <v>16.25</v>
      </c>
      <c r="X20">
        <v>6.343</v>
      </c>
      <c r="Y20">
        <v>34.166499999999999</v>
      </c>
      <c r="Z20">
        <v>9.6319159777777781</v>
      </c>
      <c r="AA20">
        <v>590.20000000000005</v>
      </c>
      <c r="AB20">
        <v>1334.1000000000001</v>
      </c>
      <c r="AC20">
        <v>81.5</v>
      </c>
      <c r="AD20">
        <v>6.39</v>
      </c>
      <c r="AE20">
        <v>1.59</v>
      </c>
      <c r="AF20">
        <v>4.8</v>
      </c>
      <c r="AG20">
        <v>4.1935909090909087</v>
      </c>
      <c r="AH20">
        <v>449.95668000000006</v>
      </c>
      <c r="AI20">
        <v>5.1391547476350944E-3</v>
      </c>
      <c r="AJ20">
        <v>2.6268428606502776</v>
      </c>
      <c r="AK20">
        <v>11.819654924599016</v>
      </c>
      <c r="AL20">
        <v>17.605710601332795</v>
      </c>
      <c r="AM20">
        <v>1.1167302234425391</v>
      </c>
      <c r="AN20">
        <v>99.1</v>
      </c>
      <c r="AO20">
        <v>36.180757751389635</v>
      </c>
      <c r="AS20">
        <v>47300</v>
      </c>
      <c r="AT20">
        <v>52225.700000000004</v>
      </c>
      <c r="AU20">
        <v>99525.700000000012</v>
      </c>
      <c r="AV20">
        <v>47.525413034020353</v>
      </c>
      <c r="AW20">
        <v>52.47458696597964</v>
      </c>
      <c r="AY20">
        <v>27.94</v>
      </c>
      <c r="AZ20">
        <v>5.74</v>
      </c>
      <c r="BA20">
        <v>25.286000000000001</v>
      </c>
      <c r="BB20">
        <v>6.4507395555555567</v>
      </c>
      <c r="BC20">
        <v>497.8</v>
      </c>
      <c r="BD20">
        <v>1334.1000000000001</v>
      </c>
      <c r="BE20">
        <v>124.1</v>
      </c>
      <c r="BF20">
        <v>6.53</v>
      </c>
      <c r="BG20">
        <v>1.69</v>
      </c>
      <c r="BH20">
        <v>4.84</v>
      </c>
      <c r="BI20">
        <v>4.2335909090909087</v>
      </c>
      <c r="BJ20">
        <v>767.81031750000011</v>
      </c>
      <c r="BK20">
        <v>5.2190926266549083E-3</v>
      </c>
      <c r="BL20">
        <v>3.2308622312145512</v>
      </c>
      <c r="BM20">
        <v>24.806893555476034</v>
      </c>
      <c r="BN20">
        <v>23.029154535227185</v>
      </c>
      <c r="BO20">
        <v>1.3218734703220405</v>
      </c>
    </row>
    <row r="21" spans="1:67" x14ac:dyDescent="0.25">
      <c r="A21">
        <v>221</v>
      </c>
      <c r="B21" t="s">
        <v>266</v>
      </c>
      <c r="C21" t="s">
        <v>250</v>
      </c>
      <c r="D21">
        <v>1</v>
      </c>
      <c r="E21" t="s">
        <v>318</v>
      </c>
      <c r="G21" t="s">
        <v>227</v>
      </c>
      <c r="H21">
        <v>46</v>
      </c>
      <c r="K21">
        <v>159.50000000000003</v>
      </c>
      <c r="L21">
        <v>94.95</v>
      </c>
      <c r="M21">
        <v>37.322746435274809</v>
      </c>
      <c r="Q21">
        <v>42100</v>
      </c>
      <c r="R21">
        <v>54976.05</v>
      </c>
      <c r="S21">
        <v>97076.05</v>
      </c>
      <c r="T21">
        <v>43.368060402128023</v>
      </c>
      <c r="U21">
        <v>56.631939597871984</v>
      </c>
      <c r="W21">
        <v>15.73</v>
      </c>
      <c r="X21">
        <v>6.4080000000000004</v>
      </c>
      <c r="Y21">
        <v>32.417499999999997</v>
      </c>
      <c r="Z21">
        <v>9.2325039999999987</v>
      </c>
      <c r="AA21">
        <v>581.70000000000005</v>
      </c>
      <c r="AB21">
        <v>1333.7</v>
      </c>
      <c r="AC21">
        <v>40.6</v>
      </c>
      <c r="AD21">
        <v>5.01</v>
      </c>
      <c r="AE21">
        <v>0.7</v>
      </c>
      <c r="AF21">
        <v>4.3099999999999996</v>
      </c>
      <c r="AG21">
        <v>3.7037727272727268</v>
      </c>
      <c r="AH21">
        <v>932.10830999999996</v>
      </c>
      <c r="AI21">
        <v>4.3508899635868008E-3</v>
      </c>
      <c r="AJ21">
        <v>5.8311732847532793</v>
      </c>
      <c r="AK21">
        <v>54.352850757685275</v>
      </c>
      <c r="AL21">
        <v>20.928371359511125</v>
      </c>
      <c r="AM21">
        <v>1.341090036717473</v>
      </c>
      <c r="AN21">
        <v>89.2</v>
      </c>
      <c r="AO21">
        <v>35.062548520553072</v>
      </c>
      <c r="AS21">
        <v>39900</v>
      </c>
      <c r="AT21">
        <v>53609.200000000004</v>
      </c>
      <c r="AU21">
        <v>93509.200000000012</v>
      </c>
      <c r="AV21">
        <v>42.669598285516287</v>
      </c>
      <c r="AW21">
        <v>57.330401714483706</v>
      </c>
      <c r="AY21">
        <v>7.14</v>
      </c>
      <c r="AZ21">
        <v>4.9390000000000001</v>
      </c>
      <c r="BA21">
        <v>25.321000000000002</v>
      </c>
      <c r="BB21">
        <v>5.5582408444444447</v>
      </c>
      <c r="BC21">
        <v>372.9</v>
      </c>
      <c r="BD21">
        <v>1333.7</v>
      </c>
      <c r="BE21">
        <v>322.2</v>
      </c>
      <c r="BF21">
        <v>5</v>
      </c>
      <c r="BG21">
        <v>0.61</v>
      </c>
      <c r="BH21">
        <v>4.3899999999999997</v>
      </c>
      <c r="BI21">
        <v>3.7837727272727268</v>
      </c>
      <c r="BJ21">
        <v>789.1733925000002</v>
      </c>
      <c r="BK21">
        <v>4.4955494101482189E-3</v>
      </c>
      <c r="BL21">
        <v>3.2939602488675135</v>
      </c>
      <c r="BM21">
        <v>25.995057843589205</v>
      </c>
      <c r="BN21">
        <v>29.461788621306805</v>
      </c>
      <c r="BO21">
        <v>1.4551177400063431</v>
      </c>
    </row>
  </sheetData>
  <conditionalFormatting sqref="M1:N1048576">
    <cfRule type="cellIs" dxfId="3" priority="2" operator="lessThan">
      <formula>0</formula>
    </cfRule>
  </conditionalFormatting>
  <conditionalFormatting sqref="AO1:AP1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7"/>
  <sheetViews>
    <sheetView workbookViewId="0">
      <selection activeCell="P9" sqref="P9"/>
    </sheetView>
  </sheetViews>
  <sheetFormatPr defaultColWidth="8.85546875" defaultRowHeight="15" x14ac:dyDescent="0.25"/>
  <cols>
    <col min="1" max="1" width="15" customWidth="1"/>
    <col min="5" max="5" width="14.28515625" customWidth="1"/>
    <col min="6" max="6" width="14.42578125" customWidth="1"/>
    <col min="9" max="9" width="12.42578125" customWidth="1"/>
    <col min="10" max="10" width="13.85546875" customWidth="1"/>
    <col min="11" max="11" width="12.42578125" customWidth="1"/>
    <col min="12" max="12" width="14.140625" customWidth="1"/>
    <col min="13" max="13" width="14.42578125" customWidth="1"/>
    <col min="14" max="14" width="16.140625" customWidth="1"/>
  </cols>
  <sheetData>
    <row r="1" spans="1:14" x14ac:dyDescent="0.25">
      <c r="A1" s="75" t="s">
        <v>322</v>
      </c>
      <c r="B1" s="75" t="s">
        <v>0</v>
      </c>
      <c r="C1" s="75" t="s">
        <v>1</v>
      </c>
      <c r="D1" s="75" t="s">
        <v>10</v>
      </c>
      <c r="E1" s="75" t="s">
        <v>11</v>
      </c>
      <c r="F1" s="75" t="s">
        <v>390</v>
      </c>
      <c r="G1" s="75" t="s">
        <v>2</v>
      </c>
      <c r="H1" s="75" t="s">
        <v>6</v>
      </c>
      <c r="I1" s="75" t="s">
        <v>435</v>
      </c>
      <c r="J1" s="75" t="s">
        <v>436</v>
      </c>
      <c r="K1" s="75" t="s">
        <v>437</v>
      </c>
      <c r="L1" s="75" t="s">
        <v>438</v>
      </c>
      <c r="M1" s="75" t="s">
        <v>430</v>
      </c>
      <c r="N1" s="75" t="s">
        <v>431</v>
      </c>
    </row>
    <row r="2" spans="1:14" x14ac:dyDescent="0.25">
      <c r="A2">
        <v>170</v>
      </c>
      <c r="B2" t="s">
        <v>287</v>
      </c>
      <c r="C2" t="s">
        <v>233</v>
      </c>
      <c r="D2">
        <v>1</v>
      </c>
      <c r="F2" t="s">
        <v>391</v>
      </c>
      <c r="G2" t="s">
        <v>228</v>
      </c>
      <c r="H2">
        <v>53</v>
      </c>
      <c r="I2">
        <v>27.906290102168306</v>
      </c>
      <c r="J2">
        <v>1.343687868419404</v>
      </c>
      <c r="K2">
        <v>18.195996129452872</v>
      </c>
      <c r="L2">
        <v>0.8686768552200802</v>
      </c>
      <c r="M2">
        <f>Table3[[#This Row],[A GNG (%)]]-Table3[[#This Row],[B GNG (%)]]</f>
        <v>9.7102939727154336</v>
      </c>
      <c r="N2">
        <f>Table3[[#This Row],[A GNG(Abs)]]-Table3[[#This Row],[B GNG (Abs)]]</f>
        <v>0.47501101319932382</v>
      </c>
    </row>
    <row r="3" spans="1:14" x14ac:dyDescent="0.25">
      <c r="A3">
        <v>172</v>
      </c>
      <c r="B3" t="s">
        <v>288</v>
      </c>
      <c r="C3" t="s">
        <v>233</v>
      </c>
      <c r="D3">
        <v>1</v>
      </c>
      <c r="F3" t="s">
        <v>392</v>
      </c>
      <c r="G3" t="s">
        <v>228</v>
      </c>
      <c r="H3">
        <v>47</v>
      </c>
      <c r="I3">
        <v>28.480738434188762</v>
      </c>
      <c r="J3">
        <v>1.4394165204639002</v>
      </c>
      <c r="K3">
        <v>25.503627745713906</v>
      </c>
      <c r="L3">
        <v>1.1958651049965252</v>
      </c>
      <c r="M3">
        <f>Table3[[#This Row],[A GNG (%)]]-Table3[[#This Row],[B GNG (%)]]</f>
        <v>2.9771106884748555</v>
      </c>
      <c r="N3">
        <f>Table3[[#This Row],[A GNG(Abs)]]-Table3[[#This Row],[B GNG (Abs)]]</f>
        <v>0.24355141546737502</v>
      </c>
    </row>
    <row r="4" spans="1:14" x14ac:dyDescent="0.25">
      <c r="A4">
        <v>174</v>
      </c>
      <c r="B4" t="s">
        <v>289</v>
      </c>
      <c r="C4" t="s">
        <v>233</v>
      </c>
      <c r="D4">
        <v>1</v>
      </c>
      <c r="F4" t="s">
        <v>393</v>
      </c>
      <c r="G4" t="s">
        <v>228</v>
      </c>
      <c r="H4">
        <v>51</v>
      </c>
      <c r="I4">
        <v>18.256309883961581</v>
      </c>
      <c r="J4">
        <v>0.94640710438456832</v>
      </c>
      <c r="K4">
        <v>13.033953694593759</v>
      </c>
      <c r="L4">
        <v>0.64570206603017477</v>
      </c>
      <c r="M4">
        <f>Table3[[#This Row],[A GNG (%)]]-Table3[[#This Row],[B GNG (%)]]</f>
        <v>5.2223561893678223</v>
      </c>
      <c r="N4">
        <f>Table3[[#This Row],[A GNG(Abs)]]-Table3[[#This Row],[B GNG (Abs)]]</f>
        <v>0.30070503835439355</v>
      </c>
    </row>
    <row r="5" spans="1:14" x14ac:dyDescent="0.25">
      <c r="A5">
        <v>176</v>
      </c>
      <c r="B5" t="s">
        <v>290</v>
      </c>
      <c r="C5" t="s">
        <v>233</v>
      </c>
      <c r="D5">
        <v>1</v>
      </c>
      <c r="F5" t="s">
        <v>394</v>
      </c>
      <c r="G5" t="s">
        <v>227</v>
      </c>
      <c r="H5">
        <v>48</v>
      </c>
      <c r="I5">
        <v>23.395664088944702</v>
      </c>
      <c r="J5">
        <v>1.0790080277821297</v>
      </c>
      <c r="K5">
        <v>18.09212209082088</v>
      </c>
      <c r="L5">
        <v>0.91509953535372013</v>
      </c>
      <c r="M5">
        <f>Table3[[#This Row],[A GNG (%)]]-Table3[[#This Row],[B GNG (%)]]</f>
        <v>5.3035419981238228</v>
      </c>
      <c r="N5">
        <f>Table3[[#This Row],[A GNG(Abs)]]-Table3[[#This Row],[B GNG (Abs)]]</f>
        <v>0.16390849242840955</v>
      </c>
    </row>
    <row r="6" spans="1:14" x14ac:dyDescent="0.25">
      <c r="A6">
        <v>178</v>
      </c>
      <c r="B6" t="s">
        <v>291</v>
      </c>
      <c r="C6" t="s">
        <v>233</v>
      </c>
      <c r="D6">
        <v>1</v>
      </c>
      <c r="F6" t="s">
        <v>395</v>
      </c>
      <c r="G6" t="s">
        <v>228</v>
      </c>
      <c r="H6">
        <v>51</v>
      </c>
      <c r="I6">
        <v>27.587281485407029</v>
      </c>
      <c r="J6">
        <v>1.4855751079891684</v>
      </c>
      <c r="K6">
        <v>22.088796045338405</v>
      </c>
      <c r="L6">
        <v>1.1543604813293851</v>
      </c>
      <c r="M6">
        <f>Table3[[#This Row],[A GNG (%)]]-Table3[[#This Row],[B GNG (%)]]</f>
        <v>5.4984854400686238</v>
      </c>
      <c r="N6">
        <f>Table3[[#This Row],[A GNG(Abs)]]-Table3[[#This Row],[B GNG (Abs)]]</f>
        <v>0.3312146266597833</v>
      </c>
    </row>
    <row r="7" spans="1:14" x14ac:dyDescent="0.25">
      <c r="A7">
        <v>180</v>
      </c>
      <c r="B7" t="s">
        <v>292</v>
      </c>
      <c r="C7" t="s">
        <v>233</v>
      </c>
      <c r="D7">
        <v>1</v>
      </c>
      <c r="F7" t="s">
        <v>396</v>
      </c>
      <c r="G7" t="s">
        <v>227</v>
      </c>
      <c r="H7">
        <v>49</v>
      </c>
      <c r="I7">
        <v>13.130695047520005</v>
      </c>
      <c r="J7">
        <v>0.73978335897727709</v>
      </c>
      <c r="K7">
        <v>9.906877241645681</v>
      </c>
      <c r="L7">
        <v>0.5991679355747308</v>
      </c>
      <c r="M7">
        <f>Table3[[#This Row],[A GNG (%)]]-Table3[[#This Row],[B GNG (%)]]</f>
        <v>3.2238178058743241</v>
      </c>
      <c r="N7">
        <f>Table3[[#This Row],[A GNG(Abs)]]-Table3[[#This Row],[B GNG (Abs)]]</f>
        <v>0.14061542340254629</v>
      </c>
    </row>
    <row r="8" spans="1:14" x14ac:dyDescent="0.25">
      <c r="A8">
        <v>182</v>
      </c>
      <c r="B8" t="s">
        <v>293</v>
      </c>
      <c r="C8" t="s">
        <v>233</v>
      </c>
      <c r="D8">
        <v>1</v>
      </c>
      <c r="F8" t="s">
        <v>397</v>
      </c>
      <c r="G8" t="s">
        <v>228</v>
      </c>
      <c r="H8">
        <v>47</v>
      </c>
      <c r="I8">
        <v>26.016054101750925</v>
      </c>
      <c r="J8">
        <v>1.4868174919150652</v>
      </c>
      <c r="K8">
        <v>22.074516028220465</v>
      </c>
      <c r="L8">
        <v>1.2107872041478926</v>
      </c>
      <c r="M8">
        <f>Table3[[#This Row],[A GNG (%)]]-Table3[[#This Row],[B GNG (%)]]</f>
        <v>3.9415380735304595</v>
      </c>
      <c r="N8">
        <f>Table3[[#This Row],[A GNG(Abs)]]-Table3[[#This Row],[B GNG (Abs)]]</f>
        <v>0.27603028776717253</v>
      </c>
    </row>
    <row r="9" spans="1:14" x14ac:dyDescent="0.25">
      <c r="A9">
        <v>184</v>
      </c>
      <c r="B9" t="s">
        <v>294</v>
      </c>
      <c r="C9" t="s">
        <v>233</v>
      </c>
      <c r="D9">
        <v>1</v>
      </c>
      <c r="F9" t="s">
        <v>398</v>
      </c>
      <c r="G9" t="s">
        <v>228</v>
      </c>
      <c r="H9">
        <v>45</v>
      </c>
      <c r="I9">
        <v>32.158906312633221</v>
      </c>
      <c r="J9">
        <v>1.5532751749001847</v>
      </c>
      <c r="K9">
        <v>26.034109554970829</v>
      </c>
      <c r="L9">
        <v>1.3373722078388515</v>
      </c>
      <c r="M9">
        <f>Table3[[#This Row],[A GNG (%)]]-Table3[[#This Row],[B GNG (%)]]</f>
        <v>6.1247967576623914</v>
      </c>
      <c r="N9">
        <f>Table3[[#This Row],[A GNG(Abs)]]-Table3[[#This Row],[B GNG (Abs)]]</f>
        <v>0.21590296706133327</v>
      </c>
    </row>
    <row r="10" spans="1:14" x14ac:dyDescent="0.25">
      <c r="A10">
        <v>186</v>
      </c>
      <c r="B10" t="s">
        <v>295</v>
      </c>
      <c r="C10" t="s">
        <v>233</v>
      </c>
      <c r="D10">
        <v>1</v>
      </c>
      <c r="F10" t="s">
        <v>399</v>
      </c>
      <c r="G10" t="s">
        <v>227</v>
      </c>
      <c r="H10">
        <v>50</v>
      </c>
      <c r="I10">
        <v>29.026817619434713</v>
      </c>
      <c r="J10">
        <v>0.99387823528944463</v>
      </c>
      <c r="K10">
        <v>35.405309084314226</v>
      </c>
      <c r="L10">
        <v>1.5238445029888843</v>
      </c>
      <c r="M10">
        <f>Table3[[#This Row],[A GNG (%)]]-Table3[[#This Row],[B GNG (%)]]</f>
        <v>-6.378491464879513</v>
      </c>
      <c r="N10">
        <f>Table3[[#This Row],[A GNG(Abs)]]-Table3[[#This Row],[B GNG (Abs)]]</f>
        <v>-0.52996626769943966</v>
      </c>
    </row>
    <row r="11" spans="1:14" x14ac:dyDescent="0.25">
      <c r="A11">
        <v>188</v>
      </c>
      <c r="B11" t="s">
        <v>296</v>
      </c>
      <c r="C11" t="s">
        <v>233</v>
      </c>
      <c r="D11">
        <v>1</v>
      </c>
      <c r="F11" t="s">
        <v>400</v>
      </c>
      <c r="G11" t="s">
        <v>228</v>
      </c>
      <c r="H11">
        <v>51</v>
      </c>
      <c r="I11">
        <v>23.711485906041176</v>
      </c>
      <c r="J11">
        <v>0.92735621378527044</v>
      </c>
      <c r="K11">
        <v>31.525812356789075</v>
      </c>
      <c r="L11">
        <v>1.6541593743607226</v>
      </c>
      <c r="M11">
        <f>Table3[[#This Row],[A GNG (%)]]-Table3[[#This Row],[B GNG (%)]]</f>
        <v>-7.8143264507478989</v>
      </c>
      <c r="N11">
        <f>Table3[[#This Row],[A GNG(Abs)]]-Table3[[#This Row],[B GNG (Abs)]]</f>
        <v>-0.72680316057545213</v>
      </c>
    </row>
    <row r="12" spans="1:14" x14ac:dyDescent="0.25">
      <c r="A12">
        <v>190</v>
      </c>
      <c r="B12" t="s">
        <v>297</v>
      </c>
      <c r="C12" t="s">
        <v>233</v>
      </c>
      <c r="D12">
        <v>1</v>
      </c>
      <c r="F12" t="s">
        <v>401</v>
      </c>
      <c r="G12" t="s">
        <v>228</v>
      </c>
      <c r="H12">
        <v>39</v>
      </c>
      <c r="I12">
        <v>32.168663284094684</v>
      </c>
      <c r="J12">
        <v>1.6914283154776986</v>
      </c>
      <c r="K12">
        <v>29.072310389901983</v>
      </c>
      <c r="L12">
        <v>1.5047827857813267</v>
      </c>
      <c r="M12">
        <f>Table3[[#This Row],[A GNG (%)]]-Table3[[#This Row],[B GNG (%)]]</f>
        <v>3.0963528941927017</v>
      </c>
      <c r="N12">
        <f>Table3[[#This Row],[A GNG(Abs)]]-Table3[[#This Row],[B GNG (Abs)]]</f>
        <v>0.18664552969637183</v>
      </c>
    </row>
    <row r="13" spans="1:14" x14ac:dyDescent="0.25">
      <c r="A13">
        <v>192</v>
      </c>
      <c r="B13" t="s">
        <v>298</v>
      </c>
      <c r="C13" t="s">
        <v>233</v>
      </c>
      <c r="D13">
        <v>1</v>
      </c>
      <c r="F13" t="s">
        <v>402</v>
      </c>
      <c r="G13" t="s">
        <v>227</v>
      </c>
      <c r="H13">
        <v>50</v>
      </c>
      <c r="I13">
        <v>23.755942360490867</v>
      </c>
      <c r="J13">
        <v>1.2412479883356478</v>
      </c>
      <c r="K13">
        <v>22.619722332585681</v>
      </c>
      <c r="L13">
        <v>1.2531326172252468</v>
      </c>
      <c r="M13">
        <f>Table3[[#This Row],[A GNG (%)]]-Table3[[#This Row],[B GNG (%)]]</f>
        <v>1.1362200279051855</v>
      </c>
      <c r="N13">
        <f>Table3[[#This Row],[A GNG(Abs)]]-Table3[[#This Row],[B GNG (Abs)]]</f>
        <v>-1.1884628889599069E-2</v>
      </c>
    </row>
    <row r="14" spans="1:14" x14ac:dyDescent="0.25">
      <c r="A14">
        <v>194</v>
      </c>
      <c r="B14" t="s">
        <v>299</v>
      </c>
      <c r="C14" t="s">
        <v>233</v>
      </c>
      <c r="D14">
        <v>1</v>
      </c>
      <c r="F14" t="s">
        <v>404</v>
      </c>
      <c r="G14" t="s">
        <v>228</v>
      </c>
      <c r="H14">
        <v>52</v>
      </c>
      <c r="I14">
        <v>35.470264374175002</v>
      </c>
      <c r="J14">
        <v>1.9746296177103224</v>
      </c>
      <c r="K14">
        <v>24.745203725678294</v>
      </c>
      <c r="L14">
        <v>1.3223836871002481</v>
      </c>
      <c r="M14">
        <f>Table3[[#This Row],[A GNG (%)]]-Table3[[#This Row],[B GNG (%)]]</f>
        <v>10.725060648496708</v>
      </c>
      <c r="N14">
        <f>Table3[[#This Row],[A GNG(Abs)]]-Table3[[#This Row],[B GNG (Abs)]]</f>
        <v>0.6522459306100743</v>
      </c>
    </row>
    <row r="15" spans="1:14" x14ac:dyDescent="0.25">
      <c r="A15">
        <v>196</v>
      </c>
      <c r="B15" t="s">
        <v>300</v>
      </c>
      <c r="C15" t="s">
        <v>233</v>
      </c>
      <c r="D15">
        <v>1</v>
      </c>
      <c r="F15" t="s">
        <v>403</v>
      </c>
      <c r="G15" t="s">
        <v>227</v>
      </c>
      <c r="H15">
        <v>53</v>
      </c>
      <c r="I15">
        <v>31.188395767825195</v>
      </c>
      <c r="J15">
        <v>1.5269838567927214</v>
      </c>
      <c r="K15">
        <v>25.884924817051498</v>
      </c>
      <c r="L15">
        <v>1.3258258491293777</v>
      </c>
      <c r="M15">
        <f>Table3[[#This Row],[A GNG (%)]]-Table3[[#This Row],[B GNG (%)]]</f>
        <v>5.303470950773697</v>
      </c>
      <c r="N15">
        <f>Table3[[#This Row],[A GNG(Abs)]]-Table3[[#This Row],[B GNG (Abs)]]</f>
        <v>0.20115800766334369</v>
      </c>
    </row>
    <row r="16" spans="1:14" x14ac:dyDescent="0.25">
      <c r="A16">
        <v>198</v>
      </c>
      <c r="B16" t="s">
        <v>301</v>
      </c>
      <c r="C16" t="s">
        <v>233</v>
      </c>
      <c r="D16">
        <v>1</v>
      </c>
      <c r="F16" t="s">
        <v>405</v>
      </c>
      <c r="G16" t="s">
        <v>227</v>
      </c>
      <c r="H16">
        <v>45</v>
      </c>
      <c r="I16">
        <v>29.785001479710697</v>
      </c>
      <c r="J16">
        <v>1.5112909750805208</v>
      </c>
      <c r="K16">
        <v>23.041759270260759</v>
      </c>
      <c r="L16">
        <v>1.1737472172270831</v>
      </c>
      <c r="M16">
        <f>Table3[[#This Row],[A GNG (%)]]-Table3[[#This Row],[B GNG (%)]]</f>
        <v>6.7432422094499387</v>
      </c>
      <c r="N16">
        <f>Table3[[#This Row],[A GNG(Abs)]]-Table3[[#This Row],[B GNG (Abs)]]</f>
        <v>0.33754375785343771</v>
      </c>
    </row>
    <row r="17" spans="1:14" x14ac:dyDescent="0.25">
      <c r="A17">
        <v>200</v>
      </c>
      <c r="B17" t="s">
        <v>302</v>
      </c>
      <c r="C17" t="s">
        <v>233</v>
      </c>
      <c r="D17">
        <v>1</v>
      </c>
      <c r="F17" t="s">
        <v>406</v>
      </c>
      <c r="G17" t="s">
        <v>228</v>
      </c>
      <c r="H17">
        <v>45</v>
      </c>
      <c r="I17">
        <v>28.353253410609469</v>
      </c>
      <c r="J17">
        <v>1.3640750215844215</v>
      </c>
      <c r="K17">
        <v>20.766366532152031</v>
      </c>
      <c r="L17">
        <v>1.0160983144181988</v>
      </c>
      <c r="M17">
        <f>Table3[[#This Row],[A GNG (%)]]-Table3[[#This Row],[B GNG (%)]]</f>
        <v>7.5868868784574381</v>
      </c>
      <c r="N17">
        <f>Table3[[#This Row],[A GNG(Abs)]]-Table3[[#This Row],[B GNG (Abs)]]</f>
        <v>0.34797670716622275</v>
      </c>
    </row>
  </sheetData>
  <conditionalFormatting sqref="M1:N1">
    <cfRule type="cellIs" dxfId="1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F85F-AC60-A04E-9888-D5709277155B}">
  <dimension ref="A1:BN17"/>
  <sheetViews>
    <sheetView topLeftCell="AJ1" workbookViewId="0">
      <selection activeCell="AJ1" sqref="A1:XFD1"/>
    </sheetView>
  </sheetViews>
  <sheetFormatPr defaultColWidth="11.42578125" defaultRowHeight="15" x14ac:dyDescent="0.25"/>
  <cols>
    <col min="39" max="39" width="25.28515625" customWidth="1"/>
  </cols>
  <sheetData>
    <row r="1" spans="1:66" x14ac:dyDescent="0.25">
      <c r="A1" t="s">
        <v>322</v>
      </c>
      <c r="B1" t="s">
        <v>0</v>
      </c>
      <c r="C1" t="s">
        <v>1</v>
      </c>
      <c r="D1" t="s">
        <v>10</v>
      </c>
      <c r="E1" t="s">
        <v>11</v>
      </c>
      <c r="F1" t="s">
        <v>390</v>
      </c>
      <c r="G1" t="s">
        <v>2</v>
      </c>
      <c r="H1" t="s">
        <v>6</v>
      </c>
      <c r="I1" t="s">
        <v>28</v>
      </c>
      <c r="J1" t="s">
        <v>29</v>
      </c>
      <c r="K1" t="s">
        <v>3</v>
      </c>
      <c r="L1" t="s">
        <v>4</v>
      </c>
      <c r="M1" t="s">
        <v>5</v>
      </c>
      <c r="N1" s="1" t="s">
        <v>7</v>
      </c>
      <c r="O1" s="1" t="s">
        <v>30</v>
      </c>
      <c r="P1" s="1" t="s">
        <v>286</v>
      </c>
      <c r="Q1" t="s">
        <v>12</v>
      </c>
      <c r="R1" s="2" t="s">
        <v>13</v>
      </c>
      <c r="S1" s="2" t="s">
        <v>14</v>
      </c>
      <c r="T1" s="4" t="s">
        <v>15</v>
      </c>
      <c r="U1" s="4" t="s">
        <v>16</v>
      </c>
      <c r="V1" t="s">
        <v>8</v>
      </c>
      <c r="W1" t="s">
        <v>9</v>
      </c>
      <c r="X1" s="3" t="s">
        <v>423</v>
      </c>
      <c r="Y1" s="3" t="s">
        <v>422</v>
      </c>
      <c r="Z1" s="3" t="s">
        <v>17</v>
      </c>
      <c r="AA1" s="3" t="s">
        <v>421</v>
      </c>
      <c r="AB1" t="s">
        <v>420</v>
      </c>
      <c r="AC1" t="s">
        <v>419</v>
      </c>
      <c r="AD1" t="s">
        <v>418</v>
      </c>
      <c r="AE1" t="s">
        <v>417</v>
      </c>
      <c r="AF1" t="s">
        <v>416</v>
      </c>
      <c r="AG1" s="3" t="s">
        <v>21</v>
      </c>
      <c r="AH1" t="s">
        <v>415</v>
      </c>
      <c r="AI1" t="s">
        <v>414</v>
      </c>
      <c r="AJ1" t="s">
        <v>320</v>
      </c>
      <c r="AK1" t="s">
        <v>388</v>
      </c>
      <c r="AL1" t="s">
        <v>319</v>
      </c>
      <c r="AM1" t="s">
        <v>389</v>
      </c>
      <c r="AN1" t="s">
        <v>453</v>
      </c>
      <c r="AO1" t="s">
        <v>454</v>
      </c>
      <c r="AP1" s="1" t="s">
        <v>455</v>
      </c>
      <c r="AQ1" s="1" t="s">
        <v>456</v>
      </c>
      <c r="AR1" t="s">
        <v>457</v>
      </c>
      <c r="AS1" s="2" t="s">
        <v>458</v>
      </c>
      <c r="AT1" s="2" t="s">
        <v>459</v>
      </c>
      <c r="AU1" s="4" t="s">
        <v>460</v>
      </c>
      <c r="AV1" s="4" t="s">
        <v>461</v>
      </c>
      <c r="AW1" t="s">
        <v>462</v>
      </c>
      <c r="AX1" t="s">
        <v>463</v>
      </c>
      <c r="AY1" s="3" t="s">
        <v>464</v>
      </c>
      <c r="AZ1" s="3" t="s">
        <v>465</v>
      </c>
      <c r="BA1" s="3" t="s">
        <v>466</v>
      </c>
      <c r="BB1" s="3" t="s">
        <v>467</v>
      </c>
      <c r="BC1" t="s">
        <v>468</v>
      </c>
      <c r="BD1" t="s">
        <v>469</v>
      </c>
      <c r="BE1" t="s">
        <v>470</v>
      </c>
      <c r="BF1" t="s">
        <v>471</v>
      </c>
      <c r="BG1" t="s">
        <v>472</v>
      </c>
      <c r="BH1" s="3" t="s">
        <v>473</v>
      </c>
      <c r="BI1" t="s">
        <v>474</v>
      </c>
      <c r="BJ1" t="s">
        <v>475</v>
      </c>
      <c r="BK1" t="s">
        <v>476</v>
      </c>
      <c r="BL1" t="s">
        <v>477</v>
      </c>
      <c r="BM1" t="s">
        <v>478</v>
      </c>
      <c r="BN1" t="s">
        <v>479</v>
      </c>
    </row>
    <row r="2" spans="1:66" x14ac:dyDescent="0.25">
      <c r="A2">
        <v>170</v>
      </c>
      <c r="B2" t="s">
        <v>287</v>
      </c>
      <c r="C2" t="s">
        <v>233</v>
      </c>
      <c r="D2">
        <v>1</v>
      </c>
      <c r="F2" t="s">
        <v>391</v>
      </c>
      <c r="G2" t="s">
        <v>228</v>
      </c>
      <c r="H2">
        <v>53</v>
      </c>
      <c r="K2">
        <v>166</v>
      </c>
      <c r="L2">
        <v>75.8</v>
      </c>
      <c r="M2">
        <v>27.507620844825084</v>
      </c>
      <c r="N2">
        <v>85</v>
      </c>
      <c r="P2" t="e">
        <v>#DIV/0!</v>
      </c>
      <c r="Q2">
        <v>11757.809644860001</v>
      </c>
      <c r="R2">
        <v>62617.963468372996</v>
      </c>
      <c r="S2">
        <v>74375.773113232994</v>
      </c>
      <c r="T2">
        <v>15.808655362760918</v>
      </c>
      <c r="U2">
        <v>84.191344637239084</v>
      </c>
      <c r="V2">
        <v>44.081997781406997</v>
      </c>
      <c r="W2">
        <v>1.084542857243836</v>
      </c>
      <c r="X2">
        <v>4.8150000000000004</v>
      </c>
      <c r="Y2">
        <v>5.1594999999999995</v>
      </c>
      <c r="Z2">
        <v>1.104133</v>
      </c>
      <c r="AA2">
        <v>263.697</v>
      </c>
      <c r="AB2">
        <v>595.93499999999995</v>
      </c>
      <c r="AC2">
        <v>44.2</v>
      </c>
      <c r="AD2">
        <v>4.82</v>
      </c>
      <c r="AE2">
        <v>1.62</v>
      </c>
      <c r="AF2">
        <v>3.2</v>
      </c>
      <c r="AG2">
        <v>2.9291204545454548</v>
      </c>
      <c r="AH2">
        <v>175.53442149184397</v>
      </c>
      <c r="AI2">
        <v>3.5590794305319804E-3</v>
      </c>
      <c r="AJ2">
        <v>1.2601837306102144</v>
      </c>
      <c r="AK2">
        <v>2.2120562212609771</v>
      </c>
      <c r="AL2">
        <v>27.947320387818447</v>
      </c>
      <c r="AM2">
        <v>1.3456634766734583</v>
      </c>
      <c r="AN2">
        <v>77.2</v>
      </c>
      <c r="AO2">
        <v>28.015677166497316</v>
      </c>
      <c r="AP2">
        <v>86</v>
      </c>
      <c r="AR2">
        <v>11768.160810453999</v>
      </c>
      <c r="AS2">
        <v>61266.338075175001</v>
      </c>
      <c r="AT2">
        <v>73034.498885629</v>
      </c>
      <c r="AU2">
        <v>16.113153359048543</v>
      </c>
      <c r="AV2">
        <v>83.886846640951461</v>
      </c>
      <c r="AW2">
        <v>160.29951236034</v>
      </c>
      <c r="AX2">
        <v>1.3885395218795316</v>
      </c>
      <c r="AY2">
        <v>4.774</v>
      </c>
      <c r="AZ2">
        <v>5.5305</v>
      </c>
      <c r="BA2">
        <v>1.1734492000000001</v>
      </c>
      <c r="BB2">
        <v>248.965</v>
      </c>
      <c r="BC2">
        <v>533.66</v>
      </c>
      <c r="BD2">
        <v>24.4</v>
      </c>
      <c r="BE2">
        <v>5.22</v>
      </c>
      <c r="BF2">
        <v>1.46</v>
      </c>
      <c r="BG2">
        <v>3.76</v>
      </c>
      <c r="BH2">
        <v>3.5174272727272724</v>
      </c>
      <c r="BI2">
        <v>327.76220804687506</v>
      </c>
      <c r="BJ2">
        <v>4.0383969416869156E-3</v>
      </c>
      <c r="BK2">
        <v>7.1547175518632473</v>
      </c>
      <c r="BL2">
        <v>23.450460227504305</v>
      </c>
      <c r="BM2">
        <v>18.232156528689224</v>
      </c>
      <c r="BN2">
        <v>0.87040315267962365</v>
      </c>
    </row>
    <row r="3" spans="1:66" x14ac:dyDescent="0.25">
      <c r="A3">
        <v>172</v>
      </c>
      <c r="B3" t="s">
        <v>288</v>
      </c>
      <c r="C3" t="s">
        <v>233</v>
      </c>
      <c r="D3">
        <v>1</v>
      </c>
      <c r="F3" t="s">
        <v>392</v>
      </c>
      <c r="G3" t="s">
        <v>228</v>
      </c>
      <c r="H3">
        <v>47</v>
      </c>
      <c r="K3">
        <v>180</v>
      </c>
      <c r="L3">
        <v>76.2</v>
      </c>
      <c r="M3">
        <v>23.518518518518519</v>
      </c>
      <c r="N3">
        <v>85</v>
      </c>
      <c r="P3" t="e">
        <v>#DIV/0!</v>
      </c>
      <c r="Q3">
        <v>11903.336743541</v>
      </c>
      <c r="R3">
        <v>60716.528168696001</v>
      </c>
      <c r="S3">
        <v>72619.864912236997</v>
      </c>
      <c r="T3">
        <v>16.39129562954502</v>
      </c>
      <c r="U3">
        <v>83.608704370454987</v>
      </c>
      <c r="V3">
        <v>660.67841184813005</v>
      </c>
      <c r="W3">
        <v>0.94905089054151737</v>
      </c>
      <c r="X3">
        <v>5.0540000000000003</v>
      </c>
      <c r="Y3">
        <v>4.4824999999999999</v>
      </c>
      <c r="Z3">
        <v>1.0068691111111112</v>
      </c>
      <c r="AA3">
        <v>1054.307</v>
      </c>
      <c r="AB3">
        <v>1057.212</v>
      </c>
      <c r="AC3">
        <v>83.1</v>
      </c>
      <c r="AD3">
        <v>3.82</v>
      </c>
      <c r="AE3">
        <v>1.34</v>
      </c>
      <c r="AF3">
        <v>2.4799999999999995</v>
      </c>
      <c r="AG3">
        <v>1.9994490909090905</v>
      </c>
      <c r="AH3">
        <v>345.70378355209294</v>
      </c>
      <c r="AI3">
        <v>3.1536991666440755E-3</v>
      </c>
      <c r="AJ3">
        <v>3.0448128132182481</v>
      </c>
      <c r="AK3">
        <v>10.526033097374405</v>
      </c>
      <c r="AL3">
        <v>28.527042801843994</v>
      </c>
      <c r="AM3">
        <v>1.4417567432051954</v>
      </c>
      <c r="AN3">
        <v>76.599999999999994</v>
      </c>
      <c r="AO3">
        <v>23.641975308641971</v>
      </c>
      <c r="AP3">
        <v>84</v>
      </c>
      <c r="AR3">
        <v>11281.60185418</v>
      </c>
      <c r="AS3">
        <v>61806.750897696002</v>
      </c>
      <c r="AT3">
        <v>73088.352751875995</v>
      </c>
      <c r="AU3">
        <v>15.435567268124577</v>
      </c>
      <c r="AV3">
        <v>84.564432731875428</v>
      </c>
      <c r="AW3">
        <v>585.96722371099997</v>
      </c>
      <c r="AX3">
        <v>1.2331769638359893</v>
      </c>
      <c r="AY3">
        <v>4.6890000000000001</v>
      </c>
      <c r="AZ3">
        <v>4.9105000000000008</v>
      </c>
      <c r="BA3">
        <v>1.0233482</v>
      </c>
      <c r="BB3">
        <v>637.40800000000002</v>
      </c>
      <c r="BC3">
        <v>1413.1009999999999</v>
      </c>
      <c r="BD3">
        <v>30.6</v>
      </c>
      <c r="BE3">
        <v>4.1500000000000004</v>
      </c>
      <c r="BF3">
        <v>1.1299999999999999</v>
      </c>
      <c r="BG3">
        <v>3.0200000000000005</v>
      </c>
      <c r="BH3">
        <v>2.3776813636363641</v>
      </c>
      <c r="BI3">
        <v>363.31560935894413</v>
      </c>
      <c r="BJ3">
        <v>3.7061243143809677E-3</v>
      </c>
      <c r="BK3">
        <v>7.2411797115949108</v>
      </c>
      <c r="BL3">
        <v>26.308336193957285</v>
      </c>
      <c r="BM3">
        <v>25.543030106050189</v>
      </c>
      <c r="BN3">
        <v>1.1977126816726935</v>
      </c>
    </row>
    <row r="4" spans="1:66" x14ac:dyDescent="0.25">
      <c r="A4">
        <v>174</v>
      </c>
      <c r="B4" t="s">
        <v>289</v>
      </c>
      <c r="C4" t="s">
        <v>233</v>
      </c>
      <c r="D4">
        <v>1</v>
      </c>
      <c r="F4" t="s">
        <v>393</v>
      </c>
      <c r="G4" t="s">
        <v>228</v>
      </c>
      <c r="H4">
        <v>51</v>
      </c>
      <c r="K4">
        <v>178</v>
      </c>
      <c r="L4">
        <v>94.2</v>
      </c>
      <c r="M4">
        <v>29.731094558767833</v>
      </c>
      <c r="N4">
        <v>104</v>
      </c>
      <c r="P4" t="e">
        <v>#DIV/0!</v>
      </c>
      <c r="Q4">
        <v>32473.931995497001</v>
      </c>
      <c r="R4">
        <v>58930.257620119002</v>
      </c>
      <c r="S4">
        <v>91404.189615616007</v>
      </c>
      <c r="T4">
        <v>35.527837544493664</v>
      </c>
      <c r="U4">
        <v>64.472162455506336</v>
      </c>
      <c r="V4">
        <v>2109.1224918564999</v>
      </c>
      <c r="W4">
        <v>5.8724242455643303</v>
      </c>
      <c r="X4">
        <v>5.1840000000000002</v>
      </c>
      <c r="Y4">
        <v>6.4525000000000006</v>
      </c>
      <c r="Z4">
        <v>1.4866560000000002</v>
      </c>
      <c r="AA4">
        <v>325.45499999999998</v>
      </c>
      <c r="AB4">
        <v>1689.855</v>
      </c>
      <c r="AC4">
        <v>20.6</v>
      </c>
      <c r="AD4">
        <v>5.03</v>
      </c>
      <c r="AE4">
        <v>1.32</v>
      </c>
      <c r="AF4">
        <v>3.71</v>
      </c>
      <c r="AG4">
        <v>2.9418840909090909</v>
      </c>
      <c r="AH4">
        <v>511.45450058244364</v>
      </c>
      <c r="AI4">
        <v>4.0512145442337978E-3</v>
      </c>
      <c r="AJ4">
        <v>6.3895985519542373</v>
      </c>
      <c r="AK4">
        <v>32.679889363120594</v>
      </c>
      <c r="AL4">
        <v>18.29235587562453</v>
      </c>
      <c r="AM4">
        <v>0.94827572859237563</v>
      </c>
      <c r="AN4">
        <v>93.2</v>
      </c>
      <c r="AO4">
        <v>29.415477843706604</v>
      </c>
      <c r="AP4">
        <v>103</v>
      </c>
      <c r="AR4">
        <v>31600.458702348002</v>
      </c>
      <c r="AS4">
        <v>58284.392326882997</v>
      </c>
      <c r="AT4">
        <v>89884.851029230995</v>
      </c>
      <c r="AU4">
        <v>35.156601296553717</v>
      </c>
      <c r="AV4">
        <v>64.843398703446283</v>
      </c>
      <c r="AW4">
        <v>1906.7877035772001</v>
      </c>
      <c r="AX4">
        <v>6.1384262264244587</v>
      </c>
      <c r="AY4">
        <v>4.9539999999999997</v>
      </c>
      <c r="AZ4">
        <v>6.5569999999999995</v>
      </c>
      <c r="BA4">
        <v>1.4437056888888886</v>
      </c>
      <c r="BB4">
        <v>485.233</v>
      </c>
      <c r="BC4">
        <v>2602.8939999999998</v>
      </c>
      <c r="BD4">
        <v>13.3</v>
      </c>
      <c r="BE4">
        <v>5.05</v>
      </c>
      <c r="BF4">
        <v>1.25</v>
      </c>
      <c r="BG4">
        <v>3.8</v>
      </c>
      <c r="BH4">
        <v>2.6168663636363636</v>
      </c>
      <c r="BI4">
        <v>693.32739632332289</v>
      </c>
      <c r="BJ4">
        <v>4.9005788788948007E-3</v>
      </c>
      <c r="BK4">
        <v>11.076131569788005</v>
      </c>
      <c r="BL4">
        <v>76.793854626156772</v>
      </c>
      <c r="BM4">
        <v>13.063752224378716</v>
      </c>
      <c r="BN4">
        <v>0.64717828519572163</v>
      </c>
    </row>
    <row r="5" spans="1:66" x14ac:dyDescent="0.25">
      <c r="A5">
        <v>176</v>
      </c>
      <c r="B5" t="s">
        <v>290</v>
      </c>
      <c r="C5" t="s">
        <v>233</v>
      </c>
      <c r="D5">
        <v>1</v>
      </c>
      <c r="F5" t="s">
        <v>394</v>
      </c>
      <c r="G5" t="s">
        <v>227</v>
      </c>
      <c r="H5">
        <v>48</v>
      </c>
      <c r="K5">
        <v>155</v>
      </c>
      <c r="L5">
        <v>52.9</v>
      </c>
      <c r="M5">
        <v>22.018730489073878</v>
      </c>
      <c r="N5">
        <v>71</v>
      </c>
      <c r="P5" t="e">
        <v>#DIV/0!</v>
      </c>
      <c r="Q5">
        <v>14716.867839397</v>
      </c>
      <c r="R5">
        <v>36187.919547156998</v>
      </c>
      <c r="S5">
        <v>50904.787386554002</v>
      </c>
      <c r="T5">
        <v>28.910577167609024</v>
      </c>
      <c r="U5">
        <v>71.089422832390966</v>
      </c>
      <c r="V5">
        <v>0.152158584253</v>
      </c>
      <c r="W5">
        <v>0.88460371196806031</v>
      </c>
      <c r="X5">
        <v>4.6120000000000001</v>
      </c>
      <c r="Y5">
        <v>1.7887500000000001</v>
      </c>
      <c r="Z5">
        <v>0.36665399999999998</v>
      </c>
      <c r="AA5">
        <v>662.00300000000004</v>
      </c>
      <c r="AB5">
        <v>361.71999999999997</v>
      </c>
      <c r="AC5">
        <v>280.2</v>
      </c>
      <c r="AD5">
        <v>4.53</v>
      </c>
      <c r="AE5">
        <v>2.2400000000000002</v>
      </c>
      <c r="AF5">
        <v>2.29</v>
      </c>
      <c r="AG5">
        <v>2.1255818181818182</v>
      </c>
      <c r="AI5">
        <v>4.5286009601113661E-3</v>
      </c>
      <c r="AJ5">
        <v>1.0576987156113189</v>
      </c>
      <c r="AL5">
        <v>23.427910260990448</v>
      </c>
      <c r="AM5">
        <v>1.0804952212368795</v>
      </c>
      <c r="AN5">
        <v>54.5</v>
      </c>
      <c r="AO5">
        <v>22.684703433922994</v>
      </c>
      <c r="AP5">
        <v>70</v>
      </c>
      <c r="AR5">
        <v>15040.542793189001</v>
      </c>
      <c r="AS5">
        <v>36187.919547156998</v>
      </c>
      <c r="AT5">
        <v>51228.462340345999</v>
      </c>
      <c r="AU5">
        <v>29.359738914793702</v>
      </c>
      <c r="AV5">
        <v>70.640261085206305</v>
      </c>
      <c r="AW5">
        <v>74.178363432846993</v>
      </c>
      <c r="AX5">
        <v>1.0780861565608957</v>
      </c>
      <c r="AY5">
        <v>5.0579999999999998</v>
      </c>
      <c r="AZ5">
        <v>1.069</v>
      </c>
      <c r="BA5">
        <v>0.24031119999999997</v>
      </c>
      <c r="BB5">
        <v>464.93599999999998</v>
      </c>
      <c r="BC5">
        <v>415</v>
      </c>
      <c r="BD5">
        <v>23.9</v>
      </c>
      <c r="BE5">
        <v>3.69</v>
      </c>
      <c r="BF5">
        <v>1.79</v>
      </c>
      <c r="BG5">
        <v>1.9</v>
      </c>
      <c r="BH5">
        <v>1.7113636363636362</v>
      </c>
      <c r="BJ5">
        <v>5.4080054807680447E-3</v>
      </c>
      <c r="BK5">
        <v>9.7339949800664609</v>
      </c>
      <c r="BM5">
        <v>18.119124660660272</v>
      </c>
      <c r="BN5">
        <v>0.91646532533619651</v>
      </c>
    </row>
    <row r="6" spans="1:66" x14ac:dyDescent="0.25">
      <c r="A6">
        <v>178</v>
      </c>
      <c r="B6" t="s">
        <v>291</v>
      </c>
      <c r="C6" t="s">
        <v>233</v>
      </c>
      <c r="D6">
        <v>1</v>
      </c>
      <c r="F6" t="s">
        <v>395</v>
      </c>
      <c r="G6" t="s">
        <v>228</v>
      </c>
      <c r="H6">
        <v>51</v>
      </c>
      <c r="K6">
        <v>172</v>
      </c>
      <c r="L6">
        <v>101.1</v>
      </c>
      <c r="M6">
        <v>34.173877771768524</v>
      </c>
      <c r="N6">
        <v>110</v>
      </c>
      <c r="P6" t="e">
        <v>#DIV/0!</v>
      </c>
      <c r="Q6">
        <v>41876.253297304</v>
      </c>
      <c r="R6">
        <v>55137.732429055002</v>
      </c>
      <c r="S6">
        <v>97013.985726359009</v>
      </c>
      <c r="T6">
        <v>43.165171478905734</v>
      </c>
      <c r="U6">
        <v>56.834828521094259</v>
      </c>
      <c r="V6">
        <v>3347.3785451910999</v>
      </c>
      <c r="W6">
        <v>13.360367421718401</v>
      </c>
      <c r="X6">
        <v>5.3849999999999998</v>
      </c>
      <c r="Y6">
        <v>26.11375</v>
      </c>
      <c r="Z6">
        <v>6.2498908333333336</v>
      </c>
      <c r="AA6">
        <v>650.9</v>
      </c>
      <c r="AB6">
        <v>1936.6999999999998</v>
      </c>
      <c r="AC6">
        <v>228.1</v>
      </c>
      <c r="AD6">
        <v>4.13</v>
      </c>
      <c r="AE6">
        <v>0.87</v>
      </c>
      <c r="AF6">
        <v>3.26</v>
      </c>
      <c r="AG6">
        <v>2.379681818181818</v>
      </c>
      <c r="AH6">
        <v>630.72301339591638</v>
      </c>
      <c r="AI6">
        <v>4.6447236832245324E-3</v>
      </c>
      <c r="AJ6">
        <v>4.796355216622195</v>
      </c>
      <c r="AK6">
        <v>30.251716155451742</v>
      </c>
      <c r="AL6">
        <v>27.618721471000505</v>
      </c>
      <c r="AM6">
        <v>1.4872681512133772</v>
      </c>
      <c r="AN6">
        <v>102</v>
      </c>
      <c r="AO6">
        <v>34.478096268253111</v>
      </c>
      <c r="AP6">
        <v>111</v>
      </c>
      <c r="AR6">
        <v>42455.238010679001</v>
      </c>
      <c r="AS6">
        <v>55149.112174645001</v>
      </c>
      <c r="AT6">
        <v>97604.350185324001</v>
      </c>
      <c r="AU6">
        <v>43.497280531111677</v>
      </c>
      <c r="AV6">
        <v>56.502719468888316</v>
      </c>
      <c r="AW6">
        <v>3325.7360139984999</v>
      </c>
      <c r="AX6">
        <v>16.841328813142425</v>
      </c>
      <c r="AY6">
        <v>5.226</v>
      </c>
      <c r="AZ6">
        <v>22.372499999999999</v>
      </c>
      <c r="BA6">
        <v>5.1963859999999995</v>
      </c>
      <c r="BB6">
        <v>573.9</v>
      </c>
      <c r="BC6">
        <v>2262.5</v>
      </c>
      <c r="BD6">
        <v>46.6</v>
      </c>
      <c r="BE6">
        <v>4.71</v>
      </c>
      <c r="BF6">
        <v>0.88</v>
      </c>
      <c r="BG6">
        <v>3.83</v>
      </c>
      <c r="BH6">
        <v>2.8015909090909092</v>
      </c>
      <c r="BI6">
        <v>464.13234175992784</v>
      </c>
      <c r="BJ6">
        <v>6.1552859751944199E-3</v>
      </c>
      <c r="BK6">
        <v>12.879656667306886</v>
      </c>
      <c r="BL6">
        <v>59.778652100610124</v>
      </c>
      <c r="BM6">
        <v>22.112520376957562</v>
      </c>
      <c r="BN6">
        <v>1.1556003148998022</v>
      </c>
    </row>
    <row r="7" spans="1:66" x14ac:dyDescent="0.25">
      <c r="A7">
        <v>180</v>
      </c>
      <c r="B7" t="s">
        <v>292</v>
      </c>
      <c r="C7" t="s">
        <v>233</v>
      </c>
      <c r="D7">
        <v>1</v>
      </c>
      <c r="F7" t="s">
        <v>396</v>
      </c>
      <c r="G7" t="s">
        <v>227</v>
      </c>
      <c r="H7">
        <v>49</v>
      </c>
      <c r="K7">
        <v>166</v>
      </c>
      <c r="L7">
        <v>63.5</v>
      </c>
      <c r="M7">
        <v>23.043983161561911</v>
      </c>
      <c r="N7">
        <v>75</v>
      </c>
      <c r="P7" t="e">
        <v>#DIV/0!</v>
      </c>
      <c r="Q7">
        <v>19569.043729361001</v>
      </c>
      <c r="R7">
        <v>41413.576709948</v>
      </c>
      <c r="S7">
        <v>60982.620439309001</v>
      </c>
      <c r="T7">
        <v>32.089542214468239</v>
      </c>
      <c r="U7">
        <v>67.910457785531747</v>
      </c>
      <c r="V7">
        <v>623.77211829369003</v>
      </c>
      <c r="W7">
        <v>1.4468706877171309</v>
      </c>
      <c r="X7">
        <v>5.6340000000000003</v>
      </c>
      <c r="Y7">
        <v>12.521000000000001</v>
      </c>
      <c r="Z7">
        <v>3.1352584000000006</v>
      </c>
      <c r="AA7">
        <v>416.1</v>
      </c>
      <c r="AB7">
        <v>2034.4999999999998</v>
      </c>
      <c r="AC7">
        <v>31</v>
      </c>
      <c r="AD7">
        <v>3.96</v>
      </c>
      <c r="AE7">
        <v>0.91</v>
      </c>
      <c r="AF7">
        <v>3.05</v>
      </c>
      <c r="AG7">
        <v>2.1252272727272725</v>
      </c>
      <c r="AH7">
        <v>367.44571939256684</v>
      </c>
      <c r="AI7">
        <v>5.6078369066862093E-3</v>
      </c>
      <c r="AJ7">
        <v>4.8781816561912672</v>
      </c>
      <c r="AK7">
        <v>17.924669679868234</v>
      </c>
      <c r="AL7">
        <v>13.156735399284189</v>
      </c>
      <c r="AM7">
        <v>0.74125047239567121</v>
      </c>
      <c r="AN7">
        <v>63.7</v>
      </c>
      <c r="AO7">
        <v>23.116562636086517</v>
      </c>
      <c r="AP7">
        <v>74</v>
      </c>
      <c r="AR7">
        <v>19881.333785890001</v>
      </c>
      <c r="AS7">
        <v>41161.789583867001</v>
      </c>
      <c r="AT7">
        <v>61043.123369756999</v>
      </c>
      <c r="AU7">
        <v>32.569325893536998</v>
      </c>
      <c r="AV7">
        <v>67.430674106463002</v>
      </c>
      <c r="AW7">
        <v>596.98182924054004</v>
      </c>
      <c r="AX7">
        <v>1.2461134544600578</v>
      </c>
      <c r="AY7">
        <v>6.048</v>
      </c>
      <c r="AZ7">
        <v>12.301500000000001</v>
      </c>
      <c r="BA7">
        <v>3.3066432000000003</v>
      </c>
      <c r="BB7">
        <v>391.9</v>
      </c>
      <c r="BC7">
        <v>1524</v>
      </c>
      <c r="BD7">
        <v>34.700000000000003</v>
      </c>
      <c r="BE7">
        <v>4.13</v>
      </c>
      <c r="BF7">
        <v>1.04</v>
      </c>
      <c r="BG7">
        <v>3.09</v>
      </c>
      <c r="BH7">
        <v>2.397272727272727</v>
      </c>
      <c r="BI7">
        <v>546.85929523108848</v>
      </c>
      <c r="BJ7">
        <v>5.9989440550630747E-3</v>
      </c>
      <c r="BK7">
        <v>11.434463732810638</v>
      </c>
      <c r="BL7">
        <v>62.530427782702667</v>
      </c>
      <c r="BM7">
        <v>9.9312198666720022</v>
      </c>
      <c r="BN7">
        <v>0.60064017753632271</v>
      </c>
    </row>
    <row r="8" spans="1:66" x14ac:dyDescent="0.25">
      <c r="A8">
        <v>182</v>
      </c>
      <c r="B8" t="s">
        <v>293</v>
      </c>
      <c r="C8" t="s">
        <v>233</v>
      </c>
      <c r="D8">
        <v>1</v>
      </c>
      <c r="F8" t="s">
        <v>397</v>
      </c>
      <c r="G8" t="s">
        <v>228</v>
      </c>
      <c r="H8">
        <v>47</v>
      </c>
      <c r="K8">
        <v>184</v>
      </c>
      <c r="L8">
        <v>105.7</v>
      </c>
      <c r="M8">
        <v>31.220463137996219</v>
      </c>
      <c r="N8">
        <v>105</v>
      </c>
      <c r="P8" t="e">
        <v>#DIV/0!</v>
      </c>
      <c r="Q8">
        <v>33884.635297781002</v>
      </c>
      <c r="R8">
        <v>67575.288749337997</v>
      </c>
      <c r="S8">
        <v>101459.924047119</v>
      </c>
      <c r="T8">
        <v>33.397063536184632</v>
      </c>
      <c r="U8">
        <v>66.602936463815368</v>
      </c>
      <c r="V8">
        <v>2099.9199084451998</v>
      </c>
      <c r="W8">
        <v>4.3729280712400396</v>
      </c>
      <c r="X8">
        <v>5.7149999999999999</v>
      </c>
      <c r="Y8">
        <v>11.161999999999999</v>
      </c>
      <c r="Z8">
        <v>2.8351479999999998</v>
      </c>
      <c r="AA8">
        <v>589.9</v>
      </c>
      <c r="AB8">
        <v>1263.9000000000001</v>
      </c>
      <c r="AC8">
        <v>153.1</v>
      </c>
      <c r="AD8">
        <v>5.34</v>
      </c>
      <c r="AE8">
        <v>0.88</v>
      </c>
      <c r="AF8">
        <v>4.46</v>
      </c>
      <c r="AG8">
        <v>3.8855</v>
      </c>
      <c r="AH8">
        <v>376.38064756596009</v>
      </c>
      <c r="AI8">
        <v>4.7159381146575606E-3</v>
      </c>
      <c r="AJ8">
        <v>3.4602616037070848</v>
      </c>
      <c r="AK8">
        <v>13.023755031509001</v>
      </c>
      <c r="AL8">
        <v>26.047019318455611</v>
      </c>
      <c r="AM8">
        <v>1.4885871540497382</v>
      </c>
      <c r="AN8">
        <v>107.3</v>
      </c>
      <c r="AO8">
        <v>31.693052930056709</v>
      </c>
      <c r="AP8">
        <v>107</v>
      </c>
      <c r="AR8">
        <v>33722.398504488003</v>
      </c>
      <c r="AS8">
        <v>68762.354195826003</v>
      </c>
      <c r="AT8">
        <v>102484.75270031401</v>
      </c>
      <c r="AU8">
        <v>32.904795704683082</v>
      </c>
      <c r="AV8">
        <v>67.095204295316918</v>
      </c>
      <c r="AW8">
        <v>2167.9806801926002</v>
      </c>
      <c r="AX8">
        <v>5.9814592678801377</v>
      </c>
      <c r="AY8">
        <v>5.4850000000000003</v>
      </c>
      <c r="AZ8">
        <v>12.977499999999999</v>
      </c>
      <c r="BA8">
        <v>3.1636261111111112</v>
      </c>
      <c r="BB8">
        <v>171.8</v>
      </c>
      <c r="BC8">
        <v>1728.1000000000001</v>
      </c>
      <c r="BD8">
        <v>25</v>
      </c>
      <c r="BE8">
        <v>5.52</v>
      </c>
      <c r="BF8">
        <v>0.86</v>
      </c>
      <c r="BG8">
        <v>4.6599999999999993</v>
      </c>
      <c r="BH8">
        <v>3.8744999999999994</v>
      </c>
      <c r="BI8">
        <v>422.81276771940463</v>
      </c>
      <c r="BJ8">
        <v>6.5594002416359681E-3</v>
      </c>
      <c r="BK8">
        <v>8.3683259260141689</v>
      </c>
      <c r="BL8">
        <v>35.38235045956101</v>
      </c>
      <c r="BM8">
        <v>22.096778741320261</v>
      </c>
      <c r="BN8">
        <v>1.2120083139614164</v>
      </c>
    </row>
    <row r="9" spans="1:66" x14ac:dyDescent="0.25">
      <c r="A9">
        <v>184</v>
      </c>
      <c r="B9" t="s">
        <v>294</v>
      </c>
      <c r="C9" t="s">
        <v>233</v>
      </c>
      <c r="D9">
        <v>1</v>
      </c>
      <c r="F9" t="s">
        <v>398</v>
      </c>
      <c r="G9" t="s">
        <v>228</v>
      </c>
      <c r="H9">
        <v>45</v>
      </c>
      <c r="K9">
        <v>180</v>
      </c>
      <c r="L9">
        <v>80.2</v>
      </c>
      <c r="M9">
        <v>24.753086419753085</v>
      </c>
      <c r="N9">
        <v>90</v>
      </c>
      <c r="P9" t="e">
        <v>#DIV/0!</v>
      </c>
      <c r="Q9">
        <v>21692.878159070999</v>
      </c>
      <c r="R9">
        <v>54920.472689157999</v>
      </c>
      <c r="S9">
        <v>76613.350848228991</v>
      </c>
      <c r="T9">
        <v>28.314749216549188</v>
      </c>
      <c r="U9">
        <v>71.685250783450826</v>
      </c>
      <c r="V9">
        <v>1127.3825293934999</v>
      </c>
      <c r="W9">
        <v>1.7130874565484364</v>
      </c>
      <c r="X9">
        <v>4.83</v>
      </c>
      <c r="Y9">
        <v>10.323499999999999</v>
      </c>
      <c r="Z9">
        <v>2.2161113333333331</v>
      </c>
      <c r="AA9">
        <v>339.9</v>
      </c>
      <c r="AB9">
        <v>1153</v>
      </c>
      <c r="AC9">
        <v>106.7</v>
      </c>
      <c r="AD9">
        <v>3.95</v>
      </c>
      <c r="AE9">
        <v>0.73</v>
      </c>
      <c r="AF9">
        <v>3.22</v>
      </c>
      <c r="AG9">
        <v>2.6959090909090913</v>
      </c>
      <c r="AH9">
        <v>271.96287354444547</v>
      </c>
      <c r="AI9">
        <v>3.1165525573768667E-3</v>
      </c>
      <c r="AJ9">
        <v>10.434802176977733</v>
      </c>
      <c r="AK9">
        <v>28.378787849186999</v>
      </c>
      <c r="AL9">
        <v>32.205762588276841</v>
      </c>
      <c r="AM9">
        <v>1.5555383330137715</v>
      </c>
      <c r="AN9">
        <v>81.7</v>
      </c>
      <c r="AO9">
        <v>25.216049382716047</v>
      </c>
      <c r="AR9">
        <v>23367.834807620999</v>
      </c>
      <c r="AS9">
        <v>55213.413544169998</v>
      </c>
      <c r="AT9">
        <v>78581.248351791</v>
      </c>
      <c r="AU9">
        <v>29.737164142529693</v>
      </c>
      <c r="AV9">
        <v>70.262835857470307</v>
      </c>
      <c r="AW9">
        <v>1147.5537507935001</v>
      </c>
      <c r="AX9">
        <v>3.1685316205237588</v>
      </c>
      <c r="AY9">
        <v>5.1369999999999996</v>
      </c>
      <c r="AZ9">
        <v>11.9015</v>
      </c>
      <c r="BA9">
        <v>2.717244688888889</v>
      </c>
      <c r="BB9">
        <v>239.3</v>
      </c>
      <c r="BC9">
        <v>1481.1999999999998</v>
      </c>
      <c r="BD9">
        <v>28.9</v>
      </c>
      <c r="BE9">
        <v>4.4400000000000004</v>
      </c>
      <c r="BF9">
        <v>0.82</v>
      </c>
      <c r="BG9">
        <v>3.6200000000000006</v>
      </c>
      <c r="BH9">
        <v>2.9467272727272733</v>
      </c>
      <c r="BI9">
        <v>408.80977798871561</v>
      </c>
      <c r="BJ9">
        <v>3.3549041099210407E-3</v>
      </c>
      <c r="BK9">
        <v>15.703199028596732</v>
      </c>
      <c r="BL9">
        <v>64.196213085932442</v>
      </c>
      <c r="BM9">
        <v>26.077636893130641</v>
      </c>
      <c r="BN9">
        <v>1.339608207200121</v>
      </c>
    </row>
    <row r="10" spans="1:66" x14ac:dyDescent="0.25">
      <c r="A10">
        <v>186</v>
      </c>
      <c r="B10" t="s">
        <v>295</v>
      </c>
      <c r="C10" t="s">
        <v>233</v>
      </c>
      <c r="D10">
        <v>1</v>
      </c>
      <c r="F10" t="s">
        <v>399</v>
      </c>
      <c r="G10" t="s">
        <v>227</v>
      </c>
      <c r="H10">
        <v>50</v>
      </c>
      <c r="K10">
        <v>169</v>
      </c>
      <c r="L10">
        <v>73</v>
      </c>
      <c r="M10">
        <v>25.559329155141629</v>
      </c>
      <c r="N10">
        <v>87</v>
      </c>
      <c r="P10" t="e">
        <v>#DIV/0!</v>
      </c>
      <c r="Q10">
        <v>29886.621720990999</v>
      </c>
      <c r="R10">
        <v>40250.981458141003</v>
      </c>
      <c r="S10">
        <v>70137.603179131998</v>
      </c>
      <c r="T10">
        <v>42.611410094326047</v>
      </c>
      <c r="U10">
        <v>57.38858990567396</v>
      </c>
      <c r="V10">
        <v>441.72048109870002</v>
      </c>
      <c r="W10">
        <v>2.8518256781942486</v>
      </c>
      <c r="X10">
        <v>3.4239999999999999</v>
      </c>
      <c r="Y10">
        <v>11.028</v>
      </c>
      <c r="Z10">
        <v>1.6782165333333334</v>
      </c>
      <c r="AA10">
        <v>602.70000000000005</v>
      </c>
      <c r="AB10">
        <v>321.20000000000005</v>
      </c>
      <c r="AC10">
        <v>311.5</v>
      </c>
      <c r="AD10">
        <v>3.26</v>
      </c>
      <c r="AE10">
        <v>0.86</v>
      </c>
      <c r="AF10">
        <v>2.4</v>
      </c>
      <c r="AG10">
        <v>2.254</v>
      </c>
      <c r="AH10">
        <v>181.02301933130985</v>
      </c>
      <c r="AI10">
        <v>4.074478159026753E-3</v>
      </c>
      <c r="AJ10">
        <v>5.2686793137225143</v>
      </c>
      <c r="AK10">
        <v>9.5375223725846308</v>
      </c>
      <c r="AL10">
        <v>29.06265780313106</v>
      </c>
      <c r="AM10">
        <v>0.99510540317920748</v>
      </c>
      <c r="AN10">
        <v>74.2</v>
      </c>
      <c r="AO10">
        <v>25.979482511116561</v>
      </c>
      <c r="AP10">
        <v>87</v>
      </c>
      <c r="AR10">
        <v>29755.486082037001</v>
      </c>
      <c r="AS10">
        <v>42098.234487414004</v>
      </c>
      <c r="AT10">
        <v>71853.720569451005</v>
      </c>
      <c r="AU10">
        <v>41.411197424740884</v>
      </c>
      <c r="AV10">
        <v>58.588802575259123</v>
      </c>
      <c r="AW10">
        <v>423.77481483477999</v>
      </c>
      <c r="AX10">
        <v>3.3537949714354238</v>
      </c>
      <c r="AY10">
        <v>4.3040000000000003</v>
      </c>
      <c r="AZ10">
        <v>13.327999999999999</v>
      </c>
      <c r="BA10">
        <v>2.5494983111111109</v>
      </c>
      <c r="BB10">
        <v>471.75</v>
      </c>
      <c r="BC10">
        <v>1050.4000000000001</v>
      </c>
      <c r="BD10">
        <v>25.6</v>
      </c>
      <c r="BE10">
        <v>2.87</v>
      </c>
      <c r="BF10">
        <v>0.64</v>
      </c>
      <c r="BG10">
        <v>2.23</v>
      </c>
      <c r="BH10">
        <v>1.7525454545454544</v>
      </c>
      <c r="BI10">
        <v>304.6473791558866</v>
      </c>
      <c r="BJ10">
        <v>4.5086275292538589E-3</v>
      </c>
      <c r="BK10">
        <v>25.728903168441875</v>
      </c>
      <c r="BL10">
        <v>78.382429188214033</v>
      </c>
      <c r="BM10">
        <v>35.437698108410522</v>
      </c>
      <c r="BN10">
        <v>1.5252385265859889</v>
      </c>
    </row>
    <row r="11" spans="1:66" x14ac:dyDescent="0.25">
      <c r="A11">
        <v>188</v>
      </c>
      <c r="B11" t="s">
        <v>296</v>
      </c>
      <c r="C11" t="s">
        <v>233</v>
      </c>
      <c r="D11">
        <v>1</v>
      </c>
      <c r="F11" t="s">
        <v>400</v>
      </c>
      <c r="G11" t="s">
        <v>228</v>
      </c>
      <c r="H11">
        <v>51</v>
      </c>
      <c r="K11">
        <v>173</v>
      </c>
      <c r="L11">
        <v>81.5</v>
      </c>
      <c r="M11">
        <v>27.231113635604263</v>
      </c>
      <c r="N11">
        <v>97</v>
      </c>
      <c r="P11" t="e">
        <v>#DIV/0!</v>
      </c>
      <c r="Q11">
        <v>21381.668348531999</v>
      </c>
      <c r="R11">
        <v>56223.318220931003</v>
      </c>
      <c r="S11">
        <v>77604.986569462999</v>
      </c>
      <c r="T11">
        <v>27.551925840994258</v>
      </c>
      <c r="U11">
        <v>72.448074159005742</v>
      </c>
      <c r="V11">
        <v>1518.8444895192999</v>
      </c>
      <c r="W11">
        <v>6.7552550088048848</v>
      </c>
      <c r="X11">
        <v>3.911</v>
      </c>
      <c r="Y11">
        <v>9.4089999999999989</v>
      </c>
      <c r="Z11">
        <v>1.6354932888888887</v>
      </c>
      <c r="AA11">
        <v>419.3</v>
      </c>
      <c r="AB11">
        <v>459.4</v>
      </c>
      <c r="AC11">
        <v>27.3</v>
      </c>
      <c r="AD11">
        <v>2.8</v>
      </c>
      <c r="AE11">
        <v>0.62</v>
      </c>
      <c r="AF11">
        <v>2.1799999999999997</v>
      </c>
      <c r="AG11">
        <v>1.9711818181818179</v>
      </c>
      <c r="AH11">
        <v>393.91650366178135</v>
      </c>
      <c r="AI11">
        <v>3.081966072222264E-3</v>
      </c>
      <c r="AJ11">
        <v>0.72308076625762097</v>
      </c>
      <c r="AK11">
        <v>2.8483344730928382</v>
      </c>
      <c r="AL11">
        <v>23.758868012873059</v>
      </c>
      <c r="AM11">
        <v>0.92920932798346534</v>
      </c>
      <c r="AN11">
        <v>81.3</v>
      </c>
      <c r="AO11">
        <v>27.164288816866581</v>
      </c>
      <c r="AP11">
        <v>98</v>
      </c>
      <c r="AR11">
        <v>20987.190994361001</v>
      </c>
      <c r="AS11">
        <v>56676.304925588003</v>
      </c>
      <c r="AT11">
        <v>77663.495919948997</v>
      </c>
      <c r="AU11">
        <v>27.023237552933971</v>
      </c>
      <c r="AV11">
        <v>72.976762447066037</v>
      </c>
      <c r="AW11">
        <v>1394.2534871477999</v>
      </c>
      <c r="AX11">
        <v>8.6872182834664322</v>
      </c>
      <c r="AY11">
        <v>5.2469999999999999</v>
      </c>
      <c r="AZ11">
        <v>13.55</v>
      </c>
      <c r="BA11">
        <v>3.1598600000000001</v>
      </c>
      <c r="BB11">
        <v>84.6</v>
      </c>
      <c r="BC11">
        <v>818.3</v>
      </c>
      <c r="BD11">
        <v>60.2</v>
      </c>
      <c r="BE11">
        <v>3.39</v>
      </c>
      <c r="BF11">
        <v>0.75</v>
      </c>
      <c r="BG11">
        <v>2.64</v>
      </c>
      <c r="BH11">
        <v>2.2680454545454545</v>
      </c>
      <c r="BI11">
        <v>286.53787567847513</v>
      </c>
      <c r="BJ11">
        <v>3.7813311489643545E-3</v>
      </c>
      <c r="BK11">
        <v>13.090464354451955</v>
      </c>
      <c r="BL11">
        <v>37.509138477694648</v>
      </c>
      <c r="BM11">
        <v>31.564431044212494</v>
      </c>
      <c r="BN11">
        <v>1.6561856968898294</v>
      </c>
    </row>
    <row r="12" spans="1:66" x14ac:dyDescent="0.25">
      <c r="A12">
        <v>190</v>
      </c>
      <c r="B12" t="s">
        <v>297</v>
      </c>
      <c r="C12" t="s">
        <v>233</v>
      </c>
      <c r="D12">
        <v>1</v>
      </c>
      <c r="F12" t="s">
        <v>401</v>
      </c>
      <c r="G12" t="s">
        <v>228</v>
      </c>
      <c r="H12">
        <v>39</v>
      </c>
      <c r="K12">
        <v>182</v>
      </c>
      <c r="L12">
        <v>93.6</v>
      </c>
      <c r="M12">
        <v>28.257456828885395</v>
      </c>
      <c r="N12">
        <v>95</v>
      </c>
      <c r="P12" t="e">
        <v>#DIV/0!</v>
      </c>
      <c r="Q12">
        <v>24852.048039926001</v>
      </c>
      <c r="R12">
        <v>65431.701525853998</v>
      </c>
      <c r="S12">
        <v>90283.749565780003</v>
      </c>
      <c r="T12">
        <v>27.526601586057303</v>
      </c>
      <c r="U12">
        <v>72.473398413942689</v>
      </c>
      <c r="V12">
        <v>964</v>
      </c>
      <c r="W12">
        <v>0</v>
      </c>
      <c r="X12">
        <v>5.258</v>
      </c>
      <c r="Y12">
        <v>8.5374999999999996</v>
      </c>
      <c r="Z12">
        <v>1.9951188888888889</v>
      </c>
      <c r="AA12">
        <v>481.1</v>
      </c>
      <c r="AB12">
        <v>707.5</v>
      </c>
      <c r="AC12">
        <v>65.099999999999994</v>
      </c>
      <c r="AD12">
        <v>3.05</v>
      </c>
      <c r="AE12">
        <v>0.6</v>
      </c>
      <c r="AF12">
        <v>2.4499999999999997</v>
      </c>
      <c r="AG12">
        <v>2.1284090909090905</v>
      </c>
      <c r="AH12">
        <v>222.51253348728</v>
      </c>
      <c r="AI12">
        <v>2.93360483517848E-3</v>
      </c>
      <c r="AJ12">
        <v>14.644502486562608</v>
      </c>
      <c r="AK12">
        <v>32.585853499458175</v>
      </c>
      <c r="AL12">
        <v>32.218441646856824</v>
      </c>
      <c r="AM12">
        <v>1.6940456617917319</v>
      </c>
      <c r="AN12">
        <v>92.5</v>
      </c>
      <c r="AO12">
        <v>30.906478666176618</v>
      </c>
      <c r="AP12">
        <v>95</v>
      </c>
      <c r="AR12">
        <v>24922.507142495</v>
      </c>
      <c r="AS12">
        <v>63402.705490316999</v>
      </c>
      <c r="AT12">
        <v>88325.212632812007</v>
      </c>
      <c r="AU12">
        <v>28.216753064726298</v>
      </c>
      <c r="AV12">
        <v>71.783246935273695</v>
      </c>
      <c r="AW12">
        <v>995</v>
      </c>
      <c r="AX12">
        <v>2.3068207019882414</v>
      </c>
      <c r="AY12">
        <v>5.1760000000000002</v>
      </c>
      <c r="AZ12">
        <v>10.016999999999999</v>
      </c>
      <c r="BA12">
        <v>2.3043551999999998</v>
      </c>
      <c r="BB12">
        <v>356.8</v>
      </c>
      <c r="BC12">
        <v>854</v>
      </c>
      <c r="BD12">
        <v>35.5</v>
      </c>
      <c r="BE12">
        <v>3.64</v>
      </c>
      <c r="BF12">
        <v>0.79</v>
      </c>
      <c r="BG12">
        <v>2.85</v>
      </c>
      <c r="BH12">
        <v>2.4618181818181819</v>
      </c>
      <c r="BI12">
        <v>243.38989952229602</v>
      </c>
      <c r="BJ12">
        <v>3.6365302503970007E-3</v>
      </c>
      <c r="BK12">
        <v>16.931976415477145</v>
      </c>
      <c r="BL12">
        <v>41.210720384768685</v>
      </c>
      <c r="BM12">
        <v>29.112466812544234</v>
      </c>
      <c r="BN12">
        <v>1.5068612822172898</v>
      </c>
    </row>
    <row r="13" spans="1:66" x14ac:dyDescent="0.25">
      <c r="A13">
        <v>192</v>
      </c>
      <c r="B13" t="s">
        <v>298</v>
      </c>
      <c r="C13" t="s">
        <v>233</v>
      </c>
      <c r="D13">
        <v>1</v>
      </c>
      <c r="F13" t="s">
        <v>402</v>
      </c>
      <c r="G13" t="s">
        <v>227</v>
      </c>
      <c r="H13">
        <v>50</v>
      </c>
      <c r="K13">
        <v>164</v>
      </c>
      <c r="L13">
        <v>67.8</v>
      </c>
      <c r="M13">
        <v>25.208209399167167</v>
      </c>
      <c r="N13">
        <v>82</v>
      </c>
      <c r="P13" t="e">
        <v>#DIV/0!</v>
      </c>
      <c r="Q13">
        <v>40691.265298514001</v>
      </c>
      <c r="R13">
        <v>2915.8921932241001</v>
      </c>
      <c r="S13">
        <v>43607.1574917381</v>
      </c>
      <c r="T13">
        <v>93.313271579839736</v>
      </c>
      <c r="U13">
        <v>6.6867284201602706</v>
      </c>
      <c r="X13">
        <v>5.2249999999999996</v>
      </c>
      <c r="Y13">
        <v>6.8419999999999996</v>
      </c>
      <c r="Z13">
        <v>1.5888644444444442</v>
      </c>
      <c r="AA13">
        <v>369.5</v>
      </c>
      <c r="AB13">
        <v>602.80000000000007</v>
      </c>
      <c r="AC13">
        <v>28</v>
      </c>
      <c r="AD13">
        <v>3.41</v>
      </c>
      <c r="AE13">
        <v>0.95</v>
      </c>
      <c r="AF13">
        <v>2.46</v>
      </c>
      <c r="AG13">
        <v>2.1859999999999999</v>
      </c>
      <c r="AH13">
        <v>193.12737844785613</v>
      </c>
      <c r="AI13">
        <v>3.6856125558538313E-3</v>
      </c>
      <c r="AJ13">
        <v>0.8865191846686129</v>
      </c>
      <c r="AK13">
        <v>1.7121112607878006</v>
      </c>
      <c r="AL13">
        <v>23.795564009124099</v>
      </c>
      <c r="AM13">
        <v>1.243318219476734</v>
      </c>
      <c r="AN13">
        <v>67.8</v>
      </c>
      <c r="AO13">
        <v>25.208209399167167</v>
      </c>
      <c r="AP13">
        <v>84</v>
      </c>
      <c r="AR13">
        <v>41743.319068154997</v>
      </c>
      <c r="AS13">
        <v>2885.3341594792</v>
      </c>
      <c r="AT13">
        <v>44628.653227634197</v>
      </c>
      <c r="AU13">
        <v>93.534794463184483</v>
      </c>
      <c r="AV13">
        <v>6.4652055368155104</v>
      </c>
      <c r="AY13">
        <v>5.54</v>
      </c>
      <c r="AZ13">
        <v>4.5514999999999999</v>
      </c>
      <c r="BA13">
        <v>1.1206804444444445</v>
      </c>
      <c r="BB13">
        <v>391.1</v>
      </c>
      <c r="BC13">
        <v>587.69999999999993</v>
      </c>
      <c r="BD13">
        <v>20.6</v>
      </c>
      <c r="BE13">
        <v>2.4300000000000002</v>
      </c>
      <c r="BF13">
        <v>0.83</v>
      </c>
      <c r="BG13">
        <v>1.6</v>
      </c>
      <c r="BH13">
        <v>1.3328636363636366</v>
      </c>
      <c r="BI13">
        <v>105.68744955223434</v>
      </c>
      <c r="BJ13">
        <v>5.2694259510986498E-3</v>
      </c>
      <c r="BK13">
        <v>4.6549014242995828</v>
      </c>
      <c r="BL13">
        <v>4.9196465945128587</v>
      </c>
      <c r="BM13">
        <v>22.647435037354942</v>
      </c>
      <c r="BN13">
        <v>1.2546679010694639</v>
      </c>
    </row>
    <row r="14" spans="1:66" x14ac:dyDescent="0.25">
      <c r="A14">
        <v>194</v>
      </c>
      <c r="B14" t="s">
        <v>299</v>
      </c>
      <c r="C14" t="s">
        <v>233</v>
      </c>
      <c r="D14">
        <v>1</v>
      </c>
      <c r="F14" t="s">
        <v>404</v>
      </c>
      <c r="G14" t="s">
        <v>228</v>
      </c>
      <c r="H14">
        <v>52</v>
      </c>
      <c r="K14">
        <v>176</v>
      </c>
      <c r="L14">
        <v>86.9</v>
      </c>
      <c r="M14">
        <v>28.053977272727277</v>
      </c>
      <c r="N14">
        <v>96</v>
      </c>
      <c r="P14" t="e">
        <v>#DIV/0!</v>
      </c>
      <c r="Q14">
        <v>20759</v>
      </c>
      <c r="R14">
        <v>61988</v>
      </c>
      <c r="S14">
        <v>82747</v>
      </c>
      <c r="T14">
        <v>25.087314343722433</v>
      </c>
      <c r="U14">
        <v>74.91268565627756</v>
      </c>
      <c r="V14">
        <v>1005</v>
      </c>
      <c r="W14">
        <v>5.0858087726031043</v>
      </c>
      <c r="X14">
        <v>5.5670000000000002</v>
      </c>
      <c r="Y14">
        <v>9.218</v>
      </c>
      <c r="Z14">
        <v>2.2807380444444445</v>
      </c>
      <c r="AA14">
        <v>469</v>
      </c>
      <c r="AB14">
        <v>1084.8</v>
      </c>
      <c r="AC14">
        <v>84</v>
      </c>
      <c r="AD14">
        <v>4.6900000000000004</v>
      </c>
      <c r="AE14">
        <v>1.01</v>
      </c>
      <c r="AF14">
        <v>3.6800000000000006</v>
      </c>
      <c r="AG14">
        <v>3.1869090909090914</v>
      </c>
      <c r="AH14">
        <v>159.79308806044665</v>
      </c>
      <c r="AI14">
        <v>3.1276630428931163E-3</v>
      </c>
      <c r="AJ14">
        <v>5.5181529443918258</v>
      </c>
      <c r="AK14">
        <v>8.8176269937421594</v>
      </c>
      <c r="AL14">
        <v>35.51695420095097</v>
      </c>
      <c r="AM14">
        <v>1.9772288403669405</v>
      </c>
      <c r="AN14">
        <v>88.2</v>
      </c>
      <c r="AO14">
        <v>28.47365702479339</v>
      </c>
      <c r="AP14">
        <v>95</v>
      </c>
      <c r="AR14">
        <v>21021</v>
      </c>
      <c r="AS14">
        <v>62957</v>
      </c>
      <c r="AT14">
        <v>83978</v>
      </c>
      <c r="AU14">
        <v>25.031555883683822</v>
      </c>
      <c r="AV14">
        <v>74.968444116316178</v>
      </c>
      <c r="AW14">
        <v>1061</v>
      </c>
      <c r="AX14">
        <v>8.3647271517572293</v>
      </c>
      <c r="AY14">
        <v>5.3440000000000003</v>
      </c>
      <c r="AZ14">
        <v>13.673</v>
      </c>
      <c r="BA14">
        <v>3.2474894222222224</v>
      </c>
      <c r="BB14">
        <v>261.10000000000002</v>
      </c>
      <c r="BC14">
        <v>1567.1000000000001</v>
      </c>
      <c r="BD14">
        <v>27.3</v>
      </c>
      <c r="BE14">
        <v>4.66</v>
      </c>
      <c r="BF14">
        <v>1</v>
      </c>
      <c r="BG14">
        <v>3.66</v>
      </c>
      <c r="BH14">
        <v>2.9476818181818185</v>
      </c>
      <c r="BI14">
        <v>276.33062435636896</v>
      </c>
      <c r="BJ14">
        <v>3.8750298762057819E-3</v>
      </c>
      <c r="BK14">
        <v>15.15595427029321</v>
      </c>
      <c r="BL14">
        <v>41.880543062266987</v>
      </c>
      <c r="BM14">
        <v>24.782888608208612</v>
      </c>
      <c r="BN14">
        <v>1.3243975672226682</v>
      </c>
    </row>
    <row r="15" spans="1:66" x14ac:dyDescent="0.25">
      <c r="A15">
        <v>196</v>
      </c>
      <c r="B15" t="s">
        <v>300</v>
      </c>
      <c r="C15" t="s">
        <v>233</v>
      </c>
      <c r="D15">
        <v>1</v>
      </c>
      <c r="F15" t="s">
        <v>403</v>
      </c>
      <c r="G15" t="s">
        <v>227</v>
      </c>
      <c r="H15">
        <v>53</v>
      </c>
      <c r="K15">
        <v>179</v>
      </c>
      <c r="L15">
        <v>69.599999999999994</v>
      </c>
      <c r="M15">
        <v>21.722168471645702</v>
      </c>
      <c r="N15">
        <v>71</v>
      </c>
      <c r="P15" t="e">
        <v>#DIV/0!</v>
      </c>
      <c r="Q15">
        <v>22378.823537112999</v>
      </c>
      <c r="R15">
        <v>44287.288047581002</v>
      </c>
      <c r="S15">
        <v>66666.111584694008</v>
      </c>
      <c r="T15">
        <v>33.568514804830755</v>
      </c>
      <c r="U15">
        <v>66.431485195169245</v>
      </c>
      <c r="V15">
        <v>357</v>
      </c>
      <c r="W15">
        <v>1.1039157831216204</v>
      </c>
      <c r="X15">
        <v>4.8959999999999999</v>
      </c>
      <c r="Y15">
        <v>3.8319999999999999</v>
      </c>
      <c r="Z15">
        <v>0.8338431999999999</v>
      </c>
      <c r="AA15">
        <v>1072.9000000000001</v>
      </c>
      <c r="AB15">
        <v>558</v>
      </c>
      <c r="AC15">
        <v>159.9</v>
      </c>
      <c r="AD15">
        <v>4.84</v>
      </c>
      <c r="AE15">
        <v>1.57</v>
      </c>
      <c r="AF15">
        <v>3.2699999999999996</v>
      </c>
      <c r="AG15">
        <v>3.0163636363636357</v>
      </c>
      <c r="AH15">
        <v>74.084146115263749</v>
      </c>
      <c r="AI15">
        <v>2.9791065172619165E-3</v>
      </c>
      <c r="AJ15">
        <v>0.402655571591372</v>
      </c>
      <c r="AK15">
        <v>0.29830394199900245</v>
      </c>
      <c r="AL15">
        <v>31.237413835772792</v>
      </c>
      <c r="AM15">
        <v>1.529383781399436</v>
      </c>
      <c r="AN15">
        <v>68.8</v>
      </c>
      <c r="AO15">
        <v>21.472488374270466</v>
      </c>
      <c r="AP15">
        <v>75</v>
      </c>
      <c r="AR15">
        <v>22981.9868494</v>
      </c>
      <c r="AS15">
        <v>43620.559101480001</v>
      </c>
      <c r="AT15">
        <v>66602.545950879998</v>
      </c>
      <c r="AU15">
        <v>34.506168677619968</v>
      </c>
      <c r="AV15">
        <v>65.493831322380032</v>
      </c>
      <c r="AW15">
        <v>358</v>
      </c>
      <c r="AX15">
        <v>1.1491357557775612</v>
      </c>
      <c r="AY15">
        <v>5.1219999999999999</v>
      </c>
      <c r="AZ15">
        <v>4.694</v>
      </c>
      <c r="BA15">
        <v>1.0685630222222222</v>
      </c>
      <c r="BB15">
        <v>547.20000000000005</v>
      </c>
      <c r="BC15">
        <v>644.20000000000005</v>
      </c>
      <c r="BD15">
        <v>43.7</v>
      </c>
      <c r="BE15">
        <v>4.78</v>
      </c>
      <c r="BF15">
        <v>1.38</v>
      </c>
      <c r="BG15">
        <v>3.4000000000000004</v>
      </c>
      <c r="BH15">
        <v>3.1071818181818185</v>
      </c>
      <c r="BI15">
        <v>141.92118032027739</v>
      </c>
      <c r="BJ15">
        <v>3.3104071920638414E-3</v>
      </c>
      <c r="BK15">
        <v>18.990784678025168</v>
      </c>
      <c r="BL15">
        <v>26.951945767135708</v>
      </c>
      <c r="BM15">
        <v>25.929037228973616</v>
      </c>
      <c r="BN15">
        <v>1.3280852868680286</v>
      </c>
    </row>
    <row r="16" spans="1:66" x14ac:dyDescent="0.25">
      <c r="A16">
        <v>198</v>
      </c>
      <c r="B16" t="s">
        <v>301</v>
      </c>
      <c r="C16" t="s">
        <v>233</v>
      </c>
      <c r="D16">
        <v>1</v>
      </c>
      <c r="F16" t="s">
        <v>405</v>
      </c>
      <c r="G16" t="s">
        <v>227</v>
      </c>
      <c r="H16">
        <v>45</v>
      </c>
      <c r="K16">
        <v>170</v>
      </c>
      <c r="L16">
        <v>90.4</v>
      </c>
      <c r="M16">
        <v>31.280276816609003</v>
      </c>
      <c r="N16">
        <v>100</v>
      </c>
      <c r="P16" t="e">
        <v>#DIV/0!</v>
      </c>
      <c r="Q16">
        <v>37266.947008203002</v>
      </c>
      <c r="R16">
        <v>49762.837621191997</v>
      </c>
      <c r="S16">
        <v>87029.784629394999</v>
      </c>
      <c r="T16">
        <v>42.820911446465651</v>
      </c>
      <c r="U16">
        <v>57.179088553534349</v>
      </c>
      <c r="V16">
        <v>630</v>
      </c>
      <c r="W16">
        <v>0</v>
      </c>
      <c r="X16">
        <v>5.0739999999999998</v>
      </c>
      <c r="Y16">
        <v>1.202</v>
      </c>
      <c r="Z16">
        <v>0.27106435555555558</v>
      </c>
      <c r="AA16">
        <v>472.7</v>
      </c>
      <c r="AB16">
        <v>548.70000000000005</v>
      </c>
      <c r="AC16">
        <v>69.099999999999994</v>
      </c>
      <c r="AD16">
        <v>3.64</v>
      </c>
      <c r="AE16">
        <v>0.98</v>
      </c>
      <c r="AF16">
        <v>2.66</v>
      </c>
      <c r="AG16">
        <v>2.4105909090909092</v>
      </c>
      <c r="AH16">
        <v>102.69520325992178</v>
      </c>
      <c r="AI16">
        <v>3.9687963032977152E-3</v>
      </c>
      <c r="AJ16">
        <v>3.6656896450923617</v>
      </c>
      <c r="AK16">
        <v>3.7644874319055064</v>
      </c>
      <c r="AL16">
        <v>29.821796022571199</v>
      </c>
      <c r="AM16">
        <v>1.5131579301852627</v>
      </c>
      <c r="AN16">
        <v>87.9</v>
      </c>
      <c r="AO16">
        <v>30.415224913494814</v>
      </c>
      <c r="AP16">
        <v>89</v>
      </c>
      <c r="AR16">
        <v>35510.432083658001</v>
      </c>
      <c r="AS16">
        <v>49124.436832302003</v>
      </c>
      <c r="AT16">
        <v>84634.868915960004</v>
      </c>
      <c r="AU16">
        <v>41.957212834959122</v>
      </c>
      <c r="AV16">
        <v>58.042787165040878</v>
      </c>
      <c r="AW16">
        <v>537</v>
      </c>
      <c r="AX16">
        <v>3.592554108773899</v>
      </c>
      <c r="AY16">
        <v>5.0940000000000003</v>
      </c>
      <c r="AZ16">
        <v>3.4420000000000002</v>
      </c>
      <c r="BA16">
        <v>0.77926880000000009</v>
      </c>
      <c r="BB16">
        <v>577.6</v>
      </c>
      <c r="BC16">
        <v>645.79999999999995</v>
      </c>
      <c r="BD16">
        <v>61.6</v>
      </c>
      <c r="BE16">
        <v>3.33</v>
      </c>
      <c r="BF16">
        <v>0.85</v>
      </c>
      <c r="BG16">
        <v>2.48</v>
      </c>
      <c r="BH16">
        <v>2.1864545454545454</v>
      </c>
      <c r="BI16">
        <v>92.989471692936064</v>
      </c>
      <c r="BJ16">
        <v>4.1832748957112125E-3</v>
      </c>
      <c r="BK16">
        <v>7.6079561609417565</v>
      </c>
      <c r="BL16">
        <v>7.0745982406899195</v>
      </c>
      <c r="BM16">
        <v>23.076667338539032</v>
      </c>
      <c r="BN16">
        <v>1.1755254342251784</v>
      </c>
    </row>
    <row r="17" spans="1:66" x14ac:dyDescent="0.25">
      <c r="A17">
        <v>200</v>
      </c>
      <c r="B17" t="s">
        <v>302</v>
      </c>
      <c r="C17" t="s">
        <v>233</v>
      </c>
      <c r="D17">
        <v>1</v>
      </c>
      <c r="F17" t="s">
        <v>406</v>
      </c>
      <c r="G17" t="s">
        <v>228</v>
      </c>
      <c r="H17">
        <v>45</v>
      </c>
      <c r="K17">
        <v>181</v>
      </c>
      <c r="L17">
        <v>83.2</v>
      </c>
      <c r="M17">
        <v>25.396050181618389</v>
      </c>
      <c r="N17">
        <v>89</v>
      </c>
      <c r="P17" t="e">
        <v>#DIV/0!</v>
      </c>
      <c r="Q17">
        <v>18049</v>
      </c>
      <c r="R17">
        <v>61237</v>
      </c>
      <c r="S17">
        <v>79286</v>
      </c>
      <c r="T17">
        <v>22.764422470549654</v>
      </c>
      <c r="U17">
        <v>77.235577529450339</v>
      </c>
      <c r="V17">
        <v>906</v>
      </c>
      <c r="W17">
        <v>1.1491357557775612</v>
      </c>
      <c r="X17">
        <v>4.8109999999999999</v>
      </c>
      <c r="Y17">
        <v>6.3369999999999997</v>
      </c>
      <c r="Z17">
        <v>1.3549914222222221</v>
      </c>
      <c r="AA17">
        <v>478.7</v>
      </c>
      <c r="AB17">
        <v>978.9</v>
      </c>
      <c r="AC17">
        <v>40</v>
      </c>
      <c r="AD17">
        <v>4.4000000000000004</v>
      </c>
      <c r="AE17">
        <v>1.01</v>
      </c>
      <c r="AF17">
        <v>3.3900000000000006</v>
      </c>
      <c r="AG17">
        <v>2.945045454545455</v>
      </c>
      <c r="AH17">
        <v>59.586991801668567</v>
      </c>
      <c r="AI17">
        <v>2.9791065172619165E-3</v>
      </c>
      <c r="AL17">
        <v>28.402271478557061</v>
      </c>
      <c r="AM17">
        <v>1.3664332808333803</v>
      </c>
      <c r="AN17">
        <v>82.7</v>
      </c>
      <c r="AO17">
        <v>25.24342968773847</v>
      </c>
      <c r="AP17">
        <v>90</v>
      </c>
      <c r="AR17">
        <v>17226</v>
      </c>
      <c r="AS17">
        <v>61215</v>
      </c>
      <c r="AT17">
        <v>78441</v>
      </c>
      <c r="AU17">
        <v>21.960454354228016</v>
      </c>
      <c r="AV17">
        <v>78.03954564577198</v>
      </c>
      <c r="AW17">
        <v>887</v>
      </c>
      <c r="AX17">
        <v>0</v>
      </c>
      <c r="AY17">
        <v>4.8929999999999998</v>
      </c>
      <c r="AZ17">
        <v>4.7629999999999999</v>
      </c>
      <c r="BA17">
        <v>1.0357937333333334</v>
      </c>
      <c r="BB17">
        <v>486</v>
      </c>
      <c r="BC17">
        <v>938.69999999999993</v>
      </c>
      <c r="BD17">
        <v>39.1</v>
      </c>
      <c r="BE17">
        <v>4.8499999999999996</v>
      </c>
      <c r="BF17">
        <v>1.04</v>
      </c>
      <c r="BG17">
        <v>3.8099999999999996</v>
      </c>
      <c r="BH17">
        <v>3.3833181818181814</v>
      </c>
      <c r="BI17">
        <v>239.00212107732014</v>
      </c>
      <c r="BJ17">
        <v>3.3104071920638414E-3</v>
      </c>
      <c r="BM17">
        <v>20.810478944074156</v>
      </c>
      <c r="BN17">
        <v>1.0182567347335485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5"/>
  <sheetViews>
    <sheetView workbookViewId="0">
      <selection activeCell="O7" sqref="O7"/>
    </sheetView>
  </sheetViews>
  <sheetFormatPr defaultColWidth="8.85546875" defaultRowHeight="15" x14ac:dyDescent="0.25"/>
  <cols>
    <col min="1" max="1" width="15" customWidth="1"/>
    <col min="5" max="5" width="14.42578125" customWidth="1"/>
    <col min="8" max="8" width="12.42578125" customWidth="1"/>
    <col min="9" max="9" width="13.85546875" customWidth="1"/>
    <col min="10" max="10" width="12.42578125" customWidth="1"/>
    <col min="11" max="11" width="14.140625" customWidth="1"/>
    <col min="12" max="12" width="14.42578125" customWidth="1"/>
    <col min="13" max="13" width="16.140625" customWidth="1"/>
  </cols>
  <sheetData>
    <row r="1" spans="1:13" x14ac:dyDescent="0.25">
      <c r="A1" s="75" t="s">
        <v>322</v>
      </c>
      <c r="B1" s="75" t="s">
        <v>0</v>
      </c>
      <c r="C1" s="75" t="s">
        <v>1</v>
      </c>
      <c r="D1" s="75" t="s">
        <v>10</v>
      </c>
      <c r="E1" s="75" t="s">
        <v>390</v>
      </c>
      <c r="F1" s="75" t="s">
        <v>2</v>
      </c>
      <c r="G1" s="75" t="s">
        <v>6</v>
      </c>
      <c r="H1" s="75" t="s">
        <v>439</v>
      </c>
      <c r="I1" s="75" t="s">
        <v>440</v>
      </c>
      <c r="J1" s="75" t="s">
        <v>441</v>
      </c>
      <c r="K1" s="75" t="s">
        <v>442</v>
      </c>
      <c r="L1" s="75" t="s">
        <v>443</v>
      </c>
      <c r="M1" s="75" t="s">
        <v>444</v>
      </c>
    </row>
    <row r="2" spans="1:13" x14ac:dyDescent="0.25">
      <c r="A2">
        <v>266</v>
      </c>
      <c r="B2" t="s">
        <v>445</v>
      </c>
      <c r="C2" t="s">
        <v>226</v>
      </c>
      <c r="D2" t="s">
        <v>387</v>
      </c>
      <c r="F2" t="s">
        <v>227</v>
      </c>
      <c r="G2">
        <v>45</v>
      </c>
      <c r="H2">
        <v>31.852153204443429</v>
      </c>
      <c r="I2">
        <v>1.3110346258948915</v>
      </c>
      <c r="J2">
        <v>26.638991384190859</v>
      </c>
      <c r="K2">
        <v>1.2847985544595251</v>
      </c>
      <c r="L2">
        <f>Table4[[#This Row],[G GNG (%)]]-Table4[[#This Row],[F GNG (%)]]</f>
        <v>5.2131618202525694</v>
      </c>
      <c r="M2">
        <f>Table4[[#This Row],[G GNG(Abs)]]-Table4[[#This Row],[F GNG (Abs)]]</f>
        <v>2.6236071435366437E-2</v>
      </c>
    </row>
    <row r="3" spans="1:13" x14ac:dyDescent="0.25">
      <c r="A3">
        <v>268</v>
      </c>
      <c r="B3" t="s">
        <v>446</v>
      </c>
      <c r="C3" t="s">
        <v>226</v>
      </c>
      <c r="D3" t="s">
        <v>387</v>
      </c>
      <c r="F3" t="s">
        <v>227</v>
      </c>
      <c r="G3">
        <v>47</v>
      </c>
      <c r="H3">
        <v>38.812182526824031</v>
      </c>
      <c r="I3">
        <v>1.9499240501476391</v>
      </c>
      <c r="J3">
        <v>28.461741292664332</v>
      </c>
      <c r="K3">
        <v>1.5235570113963217</v>
      </c>
      <c r="L3">
        <f>Table4[[#This Row],[G GNG (%)]]-Table4[[#This Row],[F GNG (%)]]</f>
        <v>10.3504412341597</v>
      </c>
      <c r="M3">
        <f>Table4[[#This Row],[G GNG(Abs)]]-Table4[[#This Row],[F GNG (Abs)]]</f>
        <v>0.42636703875131743</v>
      </c>
    </row>
    <row r="4" spans="1:13" x14ac:dyDescent="0.25">
      <c r="A4">
        <v>126</v>
      </c>
      <c r="B4" t="s">
        <v>447</v>
      </c>
      <c r="C4" t="s">
        <v>226</v>
      </c>
      <c r="D4" t="s">
        <v>386</v>
      </c>
      <c r="F4" t="s">
        <v>227</v>
      </c>
      <c r="G4">
        <v>47</v>
      </c>
      <c r="H4">
        <v>30.77689052104941</v>
      </c>
      <c r="I4">
        <v>1.4080427413380106</v>
      </c>
      <c r="J4">
        <v>26.744914001179527</v>
      </c>
      <c r="K4">
        <v>0.99651549568394915</v>
      </c>
      <c r="L4">
        <f>Table4[[#This Row],[G GNG (%)]]-Table4[[#This Row],[F GNG (%)]]</f>
        <v>4.0319765198698825</v>
      </c>
      <c r="M4">
        <f>Table4[[#This Row],[G GNG(Abs)]]-Table4[[#This Row],[F GNG (Abs)]]</f>
        <v>0.4115272456540614</v>
      </c>
    </row>
    <row r="5" spans="1:13" x14ac:dyDescent="0.25">
      <c r="A5">
        <v>127</v>
      </c>
      <c r="B5" t="s">
        <v>448</v>
      </c>
      <c r="C5" t="s">
        <v>226</v>
      </c>
      <c r="D5" t="s">
        <v>386</v>
      </c>
      <c r="F5" t="s">
        <v>228</v>
      </c>
      <c r="G5">
        <v>42</v>
      </c>
      <c r="H5">
        <v>36.152178485262141</v>
      </c>
      <c r="I5">
        <v>2.3762826918362809</v>
      </c>
      <c r="J5">
        <v>27.059423933553596</v>
      </c>
      <c r="K5">
        <v>1.3692068510378117</v>
      </c>
      <c r="L5">
        <f>Table4[[#This Row],[G GNG (%)]]-Table4[[#This Row],[F GNG (%)]]</f>
        <v>9.0927545517085449</v>
      </c>
      <c r="M5">
        <f>Table4[[#This Row],[G GNG(Abs)]]-Table4[[#This Row],[F GNG (Abs)]]</f>
        <v>1.0070758407984692</v>
      </c>
    </row>
    <row r="6" spans="1:13" x14ac:dyDescent="0.25">
      <c r="A6">
        <v>272</v>
      </c>
      <c r="B6" t="s">
        <v>449</v>
      </c>
      <c r="C6" t="s">
        <v>226</v>
      </c>
      <c r="D6" t="s">
        <v>387</v>
      </c>
      <c r="F6" t="s">
        <v>227</v>
      </c>
      <c r="G6">
        <v>46</v>
      </c>
      <c r="H6">
        <v>41.727891889084148</v>
      </c>
      <c r="I6">
        <v>2.5591716095575308</v>
      </c>
      <c r="J6">
        <v>26.845846119052307</v>
      </c>
      <c r="K6">
        <v>1.5420254010783645</v>
      </c>
      <c r="L6">
        <f>Table4[[#This Row],[G GNG (%)]]-Table4[[#This Row],[F GNG (%)]]</f>
        <v>14.882045770031841</v>
      </c>
      <c r="M6">
        <f>Table4[[#This Row],[G GNG(Abs)]]-Table4[[#This Row],[F GNG (Abs)]]</f>
        <v>1.0171462084791663</v>
      </c>
    </row>
    <row r="7" spans="1:13" x14ac:dyDescent="0.25">
      <c r="A7">
        <v>273</v>
      </c>
      <c r="B7" t="s">
        <v>450</v>
      </c>
      <c r="C7" t="s">
        <v>226</v>
      </c>
      <c r="D7" t="s">
        <v>387</v>
      </c>
      <c r="F7" t="s">
        <v>228</v>
      </c>
      <c r="G7">
        <v>38</v>
      </c>
      <c r="H7">
        <v>10.878464352371944</v>
      </c>
      <c r="I7">
        <v>0.70089945822332433</v>
      </c>
      <c r="J7">
        <v>45.278517290703604</v>
      </c>
      <c r="K7">
        <v>2.7112776153673317</v>
      </c>
      <c r="L7">
        <f>Table4[[#This Row],[G GNG (%)]]-Table4[[#This Row],[F GNG (%)]]</f>
        <v>-34.400052938331662</v>
      </c>
      <c r="M7">
        <f>Table4[[#This Row],[G GNG(Abs)]]-Table4[[#This Row],[F GNG (Abs)]]</f>
        <v>-2.0103781571440074</v>
      </c>
    </row>
    <row r="8" spans="1:13" x14ac:dyDescent="0.25">
      <c r="A8">
        <v>130</v>
      </c>
      <c r="B8" t="s">
        <v>451</v>
      </c>
      <c r="C8" t="s">
        <v>226</v>
      </c>
      <c r="D8" t="s">
        <v>386</v>
      </c>
      <c r="F8" t="s">
        <v>228</v>
      </c>
      <c r="G8">
        <v>46</v>
      </c>
      <c r="H8">
        <v>21.716742006038658</v>
      </c>
      <c r="I8">
        <v>1.1898602945108581</v>
      </c>
      <c r="J8">
        <v>28.983479167636727</v>
      </c>
      <c r="K8">
        <v>1.5480076223434778</v>
      </c>
      <c r="L8">
        <f>Table4[[#This Row],[G GNG (%)]]-Table4[[#This Row],[F GNG (%)]]</f>
        <v>-7.2667371615980692</v>
      </c>
      <c r="M8">
        <f>Table4[[#This Row],[G GNG(Abs)]]-Table4[[#This Row],[F GNG (Abs)]]</f>
        <v>-0.35814732783261971</v>
      </c>
    </row>
    <row r="9" spans="1:13" x14ac:dyDescent="0.25">
      <c r="A9">
        <v>275</v>
      </c>
      <c r="B9" t="s">
        <v>219</v>
      </c>
      <c r="C9" t="s">
        <v>226</v>
      </c>
      <c r="D9" t="s">
        <v>387</v>
      </c>
      <c r="F9" t="s">
        <v>227</v>
      </c>
      <c r="G9">
        <v>42</v>
      </c>
      <c r="H9">
        <v>30.045799592044649</v>
      </c>
      <c r="I9">
        <v>1.5305330312187544</v>
      </c>
      <c r="J9">
        <v>19.237163175181919</v>
      </c>
      <c r="K9">
        <v>1.081128570445224</v>
      </c>
      <c r="L9">
        <f>Table4[[#This Row],[G GNG (%)]]-Table4[[#This Row],[F GNG (%)]]</f>
        <v>10.808636416862729</v>
      </c>
      <c r="M9">
        <f>Table4[[#This Row],[G GNG(Abs)]]-Table4[[#This Row],[F GNG (Abs)]]</f>
        <v>0.44940446077353036</v>
      </c>
    </row>
    <row r="10" spans="1:13" x14ac:dyDescent="0.25">
      <c r="A10">
        <v>132</v>
      </c>
      <c r="B10" t="s">
        <v>220</v>
      </c>
      <c r="C10" t="s">
        <v>226</v>
      </c>
      <c r="D10" t="s">
        <v>386</v>
      </c>
      <c r="F10" t="s">
        <v>228</v>
      </c>
      <c r="G10">
        <v>39</v>
      </c>
      <c r="H10">
        <v>33.205504152020929</v>
      </c>
      <c r="I10">
        <v>1.6984615373758705</v>
      </c>
      <c r="J10">
        <v>36.815556533781333</v>
      </c>
      <c r="K10">
        <v>1.8488772491264986</v>
      </c>
      <c r="L10">
        <f>Table4[[#This Row],[G GNG (%)]]-Table4[[#This Row],[F GNG (%)]]</f>
        <v>-3.6100523817604042</v>
      </c>
      <c r="M10">
        <f>Table4[[#This Row],[G GNG(Abs)]]-Table4[[#This Row],[F GNG (Abs)]]</f>
        <v>-0.15041571175062818</v>
      </c>
    </row>
    <row r="11" spans="1:13" x14ac:dyDescent="0.25">
      <c r="A11">
        <v>277</v>
      </c>
      <c r="B11" t="s">
        <v>221</v>
      </c>
      <c r="C11" t="s">
        <v>226</v>
      </c>
      <c r="D11" t="s">
        <v>387</v>
      </c>
      <c r="F11" t="s">
        <v>228</v>
      </c>
      <c r="G11">
        <v>47</v>
      </c>
      <c r="H11">
        <v>23.066000813042653</v>
      </c>
      <c r="I11">
        <v>1.3705817683109944</v>
      </c>
      <c r="J11">
        <v>17.703011909409771</v>
      </c>
      <c r="K11">
        <v>0.97702922728032526</v>
      </c>
      <c r="L11">
        <f>Table4[[#This Row],[G GNG (%)]]-Table4[[#This Row],[F GNG (%)]]</f>
        <v>5.3629889036328819</v>
      </c>
      <c r="M11">
        <f>Table4[[#This Row],[G GNG(Abs)]]-Table4[[#This Row],[F GNG (Abs)]]</f>
        <v>0.39355254103066917</v>
      </c>
    </row>
    <row r="12" spans="1:13" x14ac:dyDescent="0.25">
      <c r="A12">
        <v>278</v>
      </c>
      <c r="B12" t="s">
        <v>222</v>
      </c>
      <c r="C12" t="s">
        <v>226</v>
      </c>
      <c r="D12" t="s">
        <v>387</v>
      </c>
      <c r="F12" t="s">
        <v>228</v>
      </c>
      <c r="G12">
        <v>35</v>
      </c>
      <c r="H12">
        <v>19.724256635901792</v>
      </c>
      <c r="I12">
        <v>0.98838250002503891</v>
      </c>
      <c r="J12">
        <v>38.243589748204968</v>
      </c>
      <c r="K12">
        <v>2.0074060258832787</v>
      </c>
      <c r="L12">
        <f>Table4[[#This Row],[G GNG (%)]]-Table4[[#This Row],[F GNG (%)]]</f>
        <v>-18.519333112303176</v>
      </c>
      <c r="M12">
        <f>Table4[[#This Row],[G GNG(Abs)]]-Table4[[#This Row],[F GNG (Abs)]]</f>
        <v>-1.0190235258582399</v>
      </c>
    </row>
    <row r="13" spans="1:13" x14ac:dyDescent="0.25">
      <c r="A13">
        <v>135</v>
      </c>
      <c r="B13" t="s">
        <v>223</v>
      </c>
      <c r="C13" t="s">
        <v>226</v>
      </c>
      <c r="D13" t="s">
        <v>386</v>
      </c>
      <c r="F13" t="s">
        <v>228</v>
      </c>
      <c r="G13">
        <v>47</v>
      </c>
      <c r="H13">
        <v>49.037409535462984</v>
      </c>
      <c r="I13">
        <v>2.517090231455315</v>
      </c>
      <c r="J13">
        <v>18.31132913857839</v>
      </c>
      <c r="K13">
        <v>0.93003240694839651</v>
      </c>
      <c r="L13">
        <f>Table4[[#This Row],[G GNG (%)]]-Table4[[#This Row],[F GNG (%)]]</f>
        <v>30.726080396884594</v>
      </c>
      <c r="M13">
        <f>Table4[[#This Row],[G GNG(Abs)]]-Table4[[#This Row],[F GNG (Abs)]]</f>
        <v>1.5870578245069185</v>
      </c>
    </row>
    <row r="14" spans="1:13" x14ac:dyDescent="0.25">
      <c r="A14">
        <v>136</v>
      </c>
      <c r="B14" t="s">
        <v>224</v>
      </c>
      <c r="C14" t="s">
        <v>226</v>
      </c>
      <c r="D14" t="s">
        <v>386</v>
      </c>
      <c r="F14" t="s">
        <v>227</v>
      </c>
      <c r="G14">
        <v>50</v>
      </c>
      <c r="H14">
        <v>29.591654706401165</v>
      </c>
      <c r="I14">
        <v>1.393175103577367</v>
      </c>
      <c r="J14">
        <v>25.385123294819394</v>
      </c>
      <c r="K14">
        <v>1.1755850597830861</v>
      </c>
      <c r="L14">
        <f>Table4[[#This Row],[G GNG (%)]]-Table4[[#This Row],[F GNG (%)]]</f>
        <v>4.2065314115817714</v>
      </c>
      <c r="M14">
        <f>Table4[[#This Row],[G GNG(Abs)]]-Table4[[#This Row],[F GNG (Abs)]]</f>
        <v>0.21759004379428082</v>
      </c>
    </row>
    <row r="15" spans="1:13" x14ac:dyDescent="0.25">
      <c r="A15">
        <v>281</v>
      </c>
      <c r="B15" t="s">
        <v>225</v>
      </c>
      <c r="C15" t="s">
        <v>226</v>
      </c>
      <c r="D15" t="s">
        <v>387</v>
      </c>
      <c r="F15" t="s">
        <v>227</v>
      </c>
      <c r="G15">
        <v>46</v>
      </c>
      <c r="H15">
        <v>30.337204056022181</v>
      </c>
      <c r="I15">
        <v>1.6005908859957303</v>
      </c>
      <c r="J15">
        <v>35.879905077767617</v>
      </c>
      <c r="K15">
        <v>2.1140440071820681</v>
      </c>
      <c r="L15">
        <f>Table4[[#This Row],[G GNG (%)]]-Table4[[#This Row],[F GNG (%)]]</f>
        <v>-5.5427010217454367</v>
      </c>
      <c r="M15">
        <f>Table4[[#This Row],[G GNG(Abs)]]-Table4[[#This Row],[F GNG (Abs)]]</f>
        <v>-0.51345312118633779</v>
      </c>
    </row>
  </sheetData>
  <conditionalFormatting sqref="L1:M1">
    <cfRule type="cellIs" dxfId="0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data</vt:lpstr>
      <vt:lpstr>All data A visit only</vt:lpstr>
      <vt:lpstr>Fasting</vt:lpstr>
      <vt:lpstr>Sample Numbers</vt:lpstr>
      <vt:lpstr>PostPrandial</vt:lpstr>
      <vt:lpstr>HFHS</vt:lpstr>
      <vt:lpstr>FOS</vt:lpstr>
      <vt:lpstr>SMASH</vt:lpstr>
      <vt:lpstr>SOS</vt:lpstr>
      <vt:lpstr>SOS Full</vt:lpstr>
      <vt:lpstr>Sugar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Sion Parry</dc:creator>
  <cp:lastModifiedBy>Felix Westcott</cp:lastModifiedBy>
  <cp:lastPrinted>2020-11-20T11:53:40Z</cp:lastPrinted>
  <dcterms:created xsi:type="dcterms:W3CDTF">2020-10-05T15:16:15Z</dcterms:created>
  <dcterms:modified xsi:type="dcterms:W3CDTF">2022-06-07T10:31:40Z</dcterms:modified>
</cp:coreProperties>
</file>